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pivotCache/pivotCacheDefinition10.xml" ContentType="application/vnd.openxmlformats-officedocument.spreadsheetml.pivotCacheDefinition+xml"/>
  <Override PartName="/xl/pivotCache/pivotCacheDefinition11.xml" ContentType="application/vnd.openxmlformats-officedocument.spreadsheetml.pivotCacheDefinition+xml"/>
  <Override PartName="/xl/slicerCaches/slicerCache1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2.xml" ContentType="application/vnd.openxmlformats-officedocument.drawing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4.xml" ContentType="application/vnd.openxmlformats-officedocument.spreadsheetml.pivot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customXml/itemProps33.xml" ContentType="application/vnd.openxmlformats-officedocument.customXmlProperties+xml"/>
  <Override PartName="/customXml/itemProps34.xml" ContentType="application/vnd.openxmlformats-officedocument.customXmlProperties+xml"/>
  <Override PartName="/customXml/itemProps35.xml" ContentType="application/vnd.openxmlformats-officedocument.customXmlProperties+xml"/>
  <Override PartName="/customXml/itemProps36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charly\Downloads\"/>
    </mc:Choice>
  </mc:AlternateContent>
  <xr:revisionPtr revIDLastSave="0" documentId="13_ncr:1_{6A15D111-B638-4CC4-B4A5-49729606F2DE}" xr6:coauthVersionLast="47" xr6:coauthVersionMax="47" xr10:uidLastSave="{00000000-0000-0000-0000-000000000000}"/>
  <bookViews>
    <workbookView xWindow="-108" yWindow="-108" windowWidth="23256" windowHeight="12576" tabRatio="828" firstSheet="16" activeTab="16" xr2:uid="{00000000-000D-0000-FFFF-FFFF00000000}"/>
  </bookViews>
  <sheets>
    <sheet name="22-23" sheetId="2" state="hidden" r:id="rId1"/>
    <sheet name="23-24" sheetId="5" state="hidden" r:id="rId2"/>
    <sheet name="Hoja2" sheetId="21" state="hidden" r:id="rId3"/>
    <sheet name="Hoja6" sheetId="12" state="hidden" r:id="rId4"/>
    <sheet name="Base de datos" sheetId="11" state="hidden" r:id="rId5"/>
    <sheet name="Hoja3" sheetId="26" state="hidden" r:id="rId6"/>
    <sheet name="RESUMEN" sheetId="28" r:id="rId7"/>
    <sheet name="Documentos" sheetId="39" state="hidden" r:id="rId8"/>
    <sheet name="Hoja5" sheetId="46" state="hidden" r:id="rId9"/>
    <sheet name="Hoja8" sheetId="48" state="hidden" r:id="rId10"/>
    <sheet name="Hoja10" sheetId="51" state="hidden" r:id="rId11"/>
    <sheet name="Hoja11" sheetId="52" state="hidden" r:id="rId12"/>
    <sheet name="Graf. avance censo 2025" sheetId="63" state="hidden" r:id="rId13"/>
    <sheet name="Hoja12" sheetId="64" state="hidden" r:id="rId14"/>
    <sheet name="supervisores" sheetId="72" state="hidden" r:id="rId15"/>
    <sheet name="Asistentes de proceso agr. 2026" sheetId="77" r:id="rId16"/>
    <sheet name="MAESTRO DE LOTES 2026" sheetId="57" r:id="rId17"/>
    <sheet name="Hoja13" sheetId="73" state="hidden" r:id="rId18"/>
    <sheet name="Censo 2025 (avance)" sheetId="61" state="hidden" r:id="rId19"/>
    <sheet name="2024" sheetId="36" state="hidden" r:id="rId20"/>
    <sheet name="FUNDOS" sheetId="53" state="hidden" r:id="rId21"/>
    <sheet name="caso especial" sheetId="62" state="hidden" r:id="rId22"/>
    <sheet name="Hoja9" sheetId="50" state="hidden" r:id="rId23"/>
    <sheet name="Análisis Var Censo 2024" sheetId="49" state="hidden" r:id="rId24"/>
    <sheet name="Hoja7" sheetId="45" state="hidden" r:id="rId25"/>
    <sheet name="DATABASE DATOS SUP" sheetId="37" state="hidden" r:id="rId26"/>
    <sheet name="1ra_plant" sheetId="71" state="hidden" r:id="rId27"/>
    <sheet name="Datos Hispatec PoC" sheetId="65" state="hidden" r:id="rId28"/>
    <sheet name="Has por valvula" sheetId="68" state="hidden" r:id="rId29"/>
    <sheet name="Fechas_crop" sheetId="69" state="hidden" r:id="rId30"/>
    <sheet name="Programación supervisores TN" sheetId="38" state="hidden" r:id="rId31"/>
    <sheet name="2023" sheetId="22" state="hidden" r:id="rId32"/>
    <sheet name="Memoria de actualizaciones" sheetId="34" state="hidden" r:id="rId33"/>
    <sheet name="Análisis 2024" sheetId="30" state="hidden" r:id="rId34"/>
    <sheet name="Análisis 2025" sheetId="33" state="hidden" r:id="rId35"/>
    <sheet name="Hoja4" sheetId="27" state="hidden" r:id="rId36"/>
    <sheet name="Comparación" sheetId="25" state="hidden" r:id="rId37"/>
    <sheet name="Hoja1" sheetId="16" state="hidden" r:id="rId38"/>
    <sheet name="Base de datos_" sheetId="14" state="hidden" r:id="rId39"/>
    <sheet name="PACHECO" sheetId="20" state="hidden" r:id="rId40"/>
    <sheet name="Resumen por variedad y lote" sheetId="15" state="hidden" r:id="rId41"/>
  </sheets>
  <functionGroups builtInGroupCount="19"/>
  <definedNames>
    <definedName name="_xlnm._FilterDatabase" localSheetId="31" hidden="1">'2023'!$B$1:$B$90</definedName>
    <definedName name="_xlnm._FilterDatabase" localSheetId="19" hidden="1">'2024'!$B$1:$B$90</definedName>
    <definedName name="_xlnm._FilterDatabase" localSheetId="23" hidden="1">'Análisis Var Censo 2024'!$A$1:$L$79</definedName>
    <definedName name="_xlnm._FilterDatabase" localSheetId="25" hidden="1">'DATABASE DATOS SUP'!$A$1:$A$57</definedName>
    <definedName name="_xlnm._FilterDatabase" localSheetId="16" hidden="1">'MAESTRO DE LOTES 2026'!$C$1:$C$93</definedName>
    <definedName name="_xlcn.WorksheetConnection_MAESTRODELOTES2026al25.11.2025.xlsmTabla131" hidden="1">Tabla13[]</definedName>
    <definedName name="_xleta.MIN" hidden="1" xlm="1">#NAME?</definedName>
    <definedName name="_xlnm.Print_Area" localSheetId="7">Documentos!$B$1:$G$38</definedName>
    <definedName name="_xlnm.Print_Area" localSheetId="6">RESUMEN!$C$1:$P$23</definedName>
    <definedName name="_xlnm.Criteria" localSheetId="31">'2023'!$B$92:$B$100</definedName>
    <definedName name="_xlnm.Criteria" localSheetId="19">'2024'!$B$92:$B$100</definedName>
    <definedName name="_xlnm.Criteria" localSheetId="16">'MAESTRO DE LOTES 2026'!#REF!</definedName>
    <definedName name="SegmentaciónDeDatos_Jefe_Campo">#N/A</definedName>
    <definedName name="_xlnm.Print_Titles" localSheetId="6">RESUMEN!$3:$3</definedName>
  </definedNames>
  <calcPr calcId="191029"/>
  <pivotCaches>
    <pivotCache cacheId="0" r:id="rId42"/>
    <pivotCache cacheId="1" r:id="rId43"/>
    <pivotCache cacheId="2" r:id="rId44"/>
    <pivotCache cacheId="3" r:id="rId45"/>
    <pivotCache cacheId="4" r:id="rId46"/>
    <pivotCache cacheId="5" r:id="rId47"/>
    <pivotCache cacheId="6" r:id="rId48"/>
    <pivotCache cacheId="7" r:id="rId49"/>
    <pivotCache cacheId="8" r:id="rId50"/>
    <pivotCache cacheId="10" r:id="rId51"/>
    <pivotCache cacheId="11" r:id="rId52"/>
  </pivotCaches>
  <extLst>
    <ext xmlns:x14="http://schemas.microsoft.com/office/spreadsheetml/2009/9/main" uri="{BBE1A952-AA13-448e-AADC-164F8A28A991}">
      <x14:slicerCaches>
        <x14:slicerCache r:id="rId53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44" i="28" l="1"/>
  <c r="T4" i="28"/>
  <c r="S4" i="28"/>
  <c r="R4" i="28"/>
  <c r="Q4" i="28"/>
  <c r="T15" i="28"/>
  <c r="S15" i="28"/>
  <c r="R15" i="28"/>
  <c r="Q15" i="28"/>
  <c r="T13" i="28" l="1"/>
  <c r="S13" i="28"/>
  <c r="R13" i="28"/>
  <c r="Q13" i="28"/>
  <c r="Q9" i="28"/>
  <c r="T9" i="28"/>
  <c r="S9" i="28"/>
  <c r="R9" i="28"/>
  <c r="H6" i="73" l="1"/>
  <c r="K6" i="73" s="1"/>
  <c r="H5" i="73"/>
  <c r="K5" i="73" s="1"/>
  <c r="H4" i="73"/>
  <c r="K4" i="73" s="1"/>
  <c r="H3" i="73"/>
  <c r="K3" i="73" s="1"/>
  <c r="H2" i="73"/>
  <c r="K2" i="73" s="1"/>
  <c r="J6" i="73"/>
  <c r="J5" i="73"/>
  <c r="J4" i="73"/>
  <c r="J3" i="73"/>
  <c r="J2" i="73"/>
  <c r="B7" i="73" l="1"/>
  <c r="C7" i="73" s="1"/>
  <c r="I6" i="73"/>
  <c r="I5" i="73"/>
  <c r="I4" i="73"/>
  <c r="I3" i="73"/>
  <c r="I2" i="73"/>
  <c r="E33" i="57"/>
  <c r="A33" i="57" s="1"/>
  <c r="E71" i="71" l="1"/>
  <c r="E70" i="71"/>
  <c r="E69" i="71"/>
  <c r="E68" i="71"/>
  <c r="E67" i="71"/>
  <c r="E66" i="71"/>
  <c r="E65" i="71"/>
  <c r="E64" i="71"/>
  <c r="E63" i="71"/>
  <c r="E62" i="71"/>
  <c r="E61" i="71"/>
  <c r="E60" i="71"/>
  <c r="E59" i="71"/>
  <c r="E58" i="71"/>
  <c r="E57" i="71"/>
  <c r="E56" i="71"/>
  <c r="E55" i="71"/>
  <c r="E54" i="71"/>
  <c r="E53" i="71"/>
  <c r="E52" i="71"/>
  <c r="E51" i="71"/>
  <c r="E50" i="71"/>
  <c r="E49" i="71"/>
  <c r="E48" i="71"/>
  <c r="E47" i="71"/>
  <c r="E46" i="71"/>
  <c r="E45" i="71"/>
  <c r="E44" i="71"/>
  <c r="E43" i="71"/>
  <c r="E42" i="71"/>
  <c r="E41" i="71"/>
  <c r="E40" i="71"/>
  <c r="E39" i="71"/>
  <c r="E38" i="71"/>
  <c r="E37" i="71"/>
  <c r="E36" i="71"/>
  <c r="E35" i="71"/>
  <c r="E34" i="71"/>
  <c r="E33" i="71"/>
  <c r="E32" i="71"/>
  <c r="E31" i="71"/>
  <c r="E30" i="71"/>
  <c r="E29" i="71"/>
  <c r="E28" i="71"/>
  <c r="E27" i="71"/>
  <c r="E26" i="71"/>
  <c r="E25" i="71"/>
  <c r="E24" i="71"/>
  <c r="E23" i="71"/>
  <c r="E22" i="71"/>
  <c r="E21" i="71"/>
  <c r="E20" i="71"/>
  <c r="E19" i="71"/>
  <c r="E18" i="71"/>
  <c r="E17" i="71"/>
  <c r="E16" i="71"/>
  <c r="E15" i="71"/>
  <c r="E14" i="71"/>
  <c r="E13" i="71"/>
  <c r="E12" i="71"/>
  <c r="E11" i="71"/>
  <c r="E10" i="71"/>
  <c r="E9" i="71"/>
  <c r="E8" i="71"/>
  <c r="E7" i="71"/>
  <c r="E6" i="71"/>
  <c r="E5" i="71"/>
  <c r="E4" i="71"/>
  <c r="E3" i="71"/>
  <c r="E2" i="71"/>
  <c r="E14" i="57" l="1"/>
  <c r="A14" i="57" s="1"/>
  <c r="AD90" i="36" l="1"/>
  <c r="AB90" i="36"/>
  <c r="AA90" i="36"/>
  <c r="AD89" i="36"/>
  <c r="AB89" i="36"/>
  <c r="AA89" i="36"/>
  <c r="AD88" i="36"/>
  <c r="AB88" i="36"/>
  <c r="AA88" i="36"/>
  <c r="AD87" i="36"/>
  <c r="AB87" i="36"/>
  <c r="AA87" i="36"/>
  <c r="AD86" i="36"/>
  <c r="AB86" i="36"/>
  <c r="AA86" i="36"/>
  <c r="AD85" i="36"/>
  <c r="AB85" i="36"/>
  <c r="AA85" i="36"/>
  <c r="AD84" i="36"/>
  <c r="AB84" i="36"/>
  <c r="AA84" i="36"/>
  <c r="AD83" i="36"/>
  <c r="AB83" i="36"/>
  <c r="AA83" i="36"/>
  <c r="AD82" i="36"/>
  <c r="AB82" i="36"/>
  <c r="AA82" i="36"/>
  <c r="AD81" i="36"/>
  <c r="AB81" i="36"/>
  <c r="AA81" i="36"/>
  <c r="AD80" i="36"/>
  <c r="AB80" i="36"/>
  <c r="AA80" i="36"/>
  <c r="AD79" i="36"/>
  <c r="AB79" i="36"/>
  <c r="AA79" i="36"/>
  <c r="AD78" i="36"/>
  <c r="AB78" i="36"/>
  <c r="AA78" i="36"/>
  <c r="AD77" i="36"/>
  <c r="AB77" i="36"/>
  <c r="AA77" i="36"/>
  <c r="AD76" i="36"/>
  <c r="AB76" i="36"/>
  <c r="AA76" i="36"/>
  <c r="AD75" i="36"/>
  <c r="AB75" i="36"/>
  <c r="AA75" i="36"/>
  <c r="AD74" i="36"/>
  <c r="AB74" i="36"/>
  <c r="AA74" i="36"/>
  <c r="AD73" i="36"/>
  <c r="AB73" i="36"/>
  <c r="AA73" i="36"/>
  <c r="AD72" i="36"/>
  <c r="AB72" i="36"/>
  <c r="AA72" i="36"/>
  <c r="AD71" i="36"/>
  <c r="AB71" i="36"/>
  <c r="AA71" i="36"/>
  <c r="AD70" i="36"/>
  <c r="AB70" i="36"/>
  <c r="AA70" i="36"/>
  <c r="AD69" i="36"/>
  <c r="AB69" i="36"/>
  <c r="AA69" i="36"/>
  <c r="AD68" i="36"/>
  <c r="AB68" i="36"/>
  <c r="AA68" i="36"/>
  <c r="AD67" i="36"/>
  <c r="AB67" i="36"/>
  <c r="AA67" i="36"/>
  <c r="AD66" i="36"/>
  <c r="AB66" i="36"/>
  <c r="AA66" i="36"/>
  <c r="AD65" i="36"/>
  <c r="AB65" i="36"/>
  <c r="AA65" i="36"/>
  <c r="AD64" i="36"/>
  <c r="AB64" i="36"/>
  <c r="AA64" i="36"/>
  <c r="AD63" i="36"/>
  <c r="AB63" i="36"/>
  <c r="AA63" i="36"/>
  <c r="AD62" i="36"/>
  <c r="AB62" i="36"/>
  <c r="AA62" i="36"/>
  <c r="AD61" i="36"/>
  <c r="AB61" i="36"/>
  <c r="AA61" i="36"/>
  <c r="AD60" i="36"/>
  <c r="AB60" i="36"/>
  <c r="AA60" i="36"/>
  <c r="AD59" i="36"/>
  <c r="AB59" i="36"/>
  <c r="AA59" i="36"/>
  <c r="AD58" i="36"/>
  <c r="AB58" i="36"/>
  <c r="AA58" i="36"/>
  <c r="AD57" i="36"/>
  <c r="AB57" i="36"/>
  <c r="AA57" i="36"/>
  <c r="AD56" i="36"/>
  <c r="AB56" i="36"/>
  <c r="AA56" i="36"/>
  <c r="AD55" i="36"/>
  <c r="AB55" i="36"/>
  <c r="AA55" i="36"/>
  <c r="AD54" i="36"/>
  <c r="AB54" i="36"/>
  <c r="AA54" i="36"/>
  <c r="AD53" i="36"/>
  <c r="AB53" i="36"/>
  <c r="AA53" i="36"/>
  <c r="AD52" i="36"/>
  <c r="AB52" i="36"/>
  <c r="AA52" i="36"/>
  <c r="AD51" i="36"/>
  <c r="AB51" i="36"/>
  <c r="AA51" i="36"/>
  <c r="AD50" i="36"/>
  <c r="AB50" i="36"/>
  <c r="AA50" i="36"/>
  <c r="AD49" i="36"/>
  <c r="AB49" i="36"/>
  <c r="AA49" i="36"/>
  <c r="AD48" i="36"/>
  <c r="AB48" i="36"/>
  <c r="AA48" i="36"/>
  <c r="AD47" i="36"/>
  <c r="AB47" i="36"/>
  <c r="AA47" i="36"/>
  <c r="AD46" i="36"/>
  <c r="AB46" i="36"/>
  <c r="AA46" i="36"/>
  <c r="AD45" i="36"/>
  <c r="AB45" i="36"/>
  <c r="AA45" i="36"/>
  <c r="AD44" i="36"/>
  <c r="AB44" i="36"/>
  <c r="AA44" i="36"/>
  <c r="AD43" i="36"/>
  <c r="AB43" i="36"/>
  <c r="AA43" i="36"/>
  <c r="AD42" i="36"/>
  <c r="AB42" i="36"/>
  <c r="AA42" i="36"/>
  <c r="AD41" i="36"/>
  <c r="AB41" i="36"/>
  <c r="AA41" i="36"/>
  <c r="AD40" i="36"/>
  <c r="AB40" i="36"/>
  <c r="AA40" i="36"/>
  <c r="AD39" i="36"/>
  <c r="AB39" i="36"/>
  <c r="AA39" i="36"/>
  <c r="AD38" i="36"/>
  <c r="AB38" i="36"/>
  <c r="AA38" i="36"/>
  <c r="AD37" i="36"/>
  <c r="AB37" i="36"/>
  <c r="AA37" i="36"/>
  <c r="AD36" i="36"/>
  <c r="AB36" i="36"/>
  <c r="AA36" i="36"/>
  <c r="AD35" i="36"/>
  <c r="AB35" i="36"/>
  <c r="AA35" i="36"/>
  <c r="AD34" i="36"/>
  <c r="AB34" i="36"/>
  <c r="AA34" i="36"/>
  <c r="AD33" i="36"/>
  <c r="AB33" i="36"/>
  <c r="AA33" i="36"/>
  <c r="AD32" i="36"/>
  <c r="AB32" i="36"/>
  <c r="AA32" i="36"/>
  <c r="AD31" i="36"/>
  <c r="AB31" i="36"/>
  <c r="AA31" i="36"/>
  <c r="AD30" i="36"/>
  <c r="AB30" i="36"/>
  <c r="AA30" i="36"/>
  <c r="AD29" i="36"/>
  <c r="AB29" i="36"/>
  <c r="AA29" i="36"/>
  <c r="AD28" i="36"/>
  <c r="AB28" i="36"/>
  <c r="AA28" i="36"/>
  <c r="AD27" i="36"/>
  <c r="AB27" i="36"/>
  <c r="AA27" i="36"/>
  <c r="AD26" i="36"/>
  <c r="AB26" i="36"/>
  <c r="AA26" i="36"/>
  <c r="AD25" i="36"/>
  <c r="AB25" i="36"/>
  <c r="AA25" i="36"/>
  <c r="AD24" i="36"/>
  <c r="AB24" i="36"/>
  <c r="AA24" i="36"/>
  <c r="AD23" i="36"/>
  <c r="AB23" i="36"/>
  <c r="AA23" i="36"/>
  <c r="AD22" i="36"/>
  <c r="AB22" i="36"/>
  <c r="AA22" i="36"/>
  <c r="AD21" i="36"/>
  <c r="AB21" i="36"/>
  <c r="AA21" i="36"/>
  <c r="AD20" i="36"/>
  <c r="AB20" i="36"/>
  <c r="AA20" i="36"/>
  <c r="AD19" i="36"/>
  <c r="AB19" i="36"/>
  <c r="AA19" i="36"/>
  <c r="AD18" i="36"/>
  <c r="AB18" i="36"/>
  <c r="AA18" i="36"/>
  <c r="AD17" i="36"/>
  <c r="AB17" i="36"/>
  <c r="AA17" i="36"/>
  <c r="AD16" i="36"/>
  <c r="AB16" i="36"/>
  <c r="AA16" i="36"/>
  <c r="AD15" i="36"/>
  <c r="AB15" i="36"/>
  <c r="AA15" i="36"/>
  <c r="AD14" i="36"/>
  <c r="AB14" i="36"/>
  <c r="AA14" i="36"/>
  <c r="AD13" i="36"/>
  <c r="AB13" i="36"/>
  <c r="AA13" i="36"/>
  <c r="AD12" i="36"/>
  <c r="AB12" i="36"/>
  <c r="AA12" i="36"/>
  <c r="AD11" i="36"/>
  <c r="AB11" i="36"/>
  <c r="AA11" i="36"/>
  <c r="AD10" i="36"/>
  <c r="AB10" i="36"/>
  <c r="AA10" i="36"/>
  <c r="AD9" i="36"/>
  <c r="AB9" i="36"/>
  <c r="AA9" i="36"/>
  <c r="AD8" i="36"/>
  <c r="AB8" i="36"/>
  <c r="AA8" i="36"/>
  <c r="AD7" i="36"/>
  <c r="AB7" i="36"/>
  <c r="AA7" i="36"/>
  <c r="AD6" i="36"/>
  <c r="AB6" i="36"/>
  <c r="AA6" i="36"/>
  <c r="AD5" i="36"/>
  <c r="AB5" i="36"/>
  <c r="AA5" i="36"/>
  <c r="AD4" i="36"/>
  <c r="AB4" i="36"/>
  <c r="AA4" i="36"/>
  <c r="AD3" i="36"/>
  <c r="AB3" i="36"/>
  <c r="AA3" i="36"/>
  <c r="AD2" i="36"/>
  <c r="AB2" i="36"/>
  <c r="AA2" i="36"/>
  <c r="L14" i="61"/>
  <c r="L8" i="61"/>
  <c r="L34" i="61"/>
  <c r="L13" i="61"/>
  <c r="L31" i="61"/>
  <c r="L12" i="61"/>
  <c r="L29" i="61"/>
  <c r="L21" i="61"/>
  <c r="L2" i="61"/>
  <c r="L19" i="61"/>
  <c r="L4" i="61"/>
  <c r="L11" i="61"/>
  <c r="L36" i="61"/>
  <c r="L22" i="61"/>
  <c r="L16" i="61"/>
  <c r="L27" i="61"/>
  <c r="L5" i="61"/>
  <c r="L18" i="61"/>
  <c r="L10" i="61"/>
  <c r="L6" i="61"/>
  <c r="L15" i="61"/>
  <c r="L26" i="61"/>
  <c r="L24" i="61"/>
  <c r="L17" i="61"/>
  <c r="L7" i="61"/>
  <c r="L30" i="61"/>
  <c r="L9" i="61"/>
  <c r="L25" i="61"/>
  <c r="L23" i="61"/>
  <c r="L28" i="61"/>
  <c r="L32" i="61"/>
  <c r="L3" i="61"/>
  <c r="L20" i="61"/>
  <c r="L33" i="61"/>
  <c r="L35" i="61"/>
  <c r="E81" i="57" l="1"/>
  <c r="F84" i="20" l="1"/>
  <c r="F83" i="20"/>
  <c r="F82" i="20"/>
  <c r="F81" i="20"/>
  <c r="F80" i="20"/>
  <c r="F79" i="20"/>
  <c r="F78" i="20"/>
  <c r="F77" i="20"/>
  <c r="F76" i="20"/>
  <c r="F75" i="20"/>
  <c r="F74" i="20"/>
  <c r="F73" i="20"/>
  <c r="F72" i="20"/>
  <c r="F71" i="20"/>
  <c r="F70" i="20"/>
  <c r="F69" i="20"/>
  <c r="F68" i="20"/>
  <c r="F67" i="20"/>
  <c r="F66" i="20"/>
  <c r="F65" i="20"/>
  <c r="F64" i="20"/>
  <c r="F63" i="20"/>
  <c r="F62" i="20"/>
  <c r="F61" i="20"/>
  <c r="F60" i="20"/>
  <c r="F59" i="20"/>
  <c r="F58" i="20"/>
  <c r="F57" i="20"/>
  <c r="F56" i="20"/>
  <c r="F55" i="20"/>
  <c r="F54" i="20"/>
  <c r="F53" i="20"/>
  <c r="F52" i="20"/>
  <c r="F51" i="20"/>
  <c r="F50" i="20"/>
  <c r="F49" i="20"/>
  <c r="F48" i="20"/>
  <c r="F47" i="20"/>
  <c r="F46" i="20"/>
  <c r="F45" i="20"/>
  <c r="F44" i="20"/>
  <c r="F43" i="20"/>
  <c r="F42" i="20"/>
  <c r="F41" i="20"/>
  <c r="F40" i="20"/>
  <c r="F39" i="20"/>
  <c r="F38" i="20"/>
  <c r="F37" i="20"/>
  <c r="F36" i="20"/>
  <c r="F35" i="20"/>
  <c r="F34" i="20"/>
  <c r="F33" i="20"/>
  <c r="F32" i="20"/>
  <c r="F31" i="20"/>
  <c r="F30" i="20"/>
  <c r="F29" i="20"/>
  <c r="F28" i="20"/>
  <c r="F27" i="20"/>
  <c r="F26" i="20"/>
  <c r="F25" i="20"/>
  <c r="F24" i="20"/>
  <c r="F23" i="20"/>
  <c r="F22" i="20"/>
  <c r="F21" i="20"/>
  <c r="F20" i="20"/>
  <c r="F19" i="20"/>
  <c r="F18" i="20"/>
  <c r="F17" i="20"/>
  <c r="F16" i="20"/>
  <c r="F15" i="20"/>
  <c r="F14" i="20"/>
  <c r="F13" i="20"/>
  <c r="F12" i="20"/>
  <c r="F11" i="20"/>
  <c r="F10" i="20"/>
  <c r="F9" i="20"/>
  <c r="F8" i="20"/>
  <c r="F7" i="20"/>
  <c r="F6" i="20"/>
  <c r="F5" i="20"/>
  <c r="F4" i="20"/>
  <c r="F3" i="20"/>
  <c r="F2" i="20"/>
  <c r="H771" i="14"/>
  <c r="H748" i="14"/>
  <c r="H747" i="14"/>
  <c r="G744" i="14"/>
  <c r="H717" i="14"/>
  <c r="H713" i="14"/>
  <c r="H712" i="14"/>
  <c r="G709" i="14"/>
  <c r="H709" i="14" s="1"/>
  <c r="G708" i="14"/>
  <c r="H708" i="14" s="1"/>
  <c r="G707" i="14"/>
  <c r="H707" i="14" s="1"/>
  <c r="G706" i="14"/>
  <c r="H706" i="14" s="1"/>
  <c r="H702" i="14"/>
  <c r="G686" i="14"/>
  <c r="H686" i="14" s="1"/>
  <c r="G685" i="14"/>
  <c r="H685" i="14" s="1"/>
  <c r="H684" i="14"/>
  <c r="H683" i="14"/>
  <c r="H682" i="14"/>
  <c r="H681" i="14"/>
  <c r="H668" i="14"/>
  <c r="G668" i="14"/>
  <c r="G665" i="14"/>
  <c r="H665" i="14" s="1"/>
  <c r="H660" i="14"/>
  <c r="H659" i="14"/>
  <c r="H658" i="14"/>
  <c r="H656" i="14"/>
  <c r="H655" i="14"/>
  <c r="H654" i="14"/>
  <c r="H653" i="14"/>
  <c r="H652" i="14"/>
  <c r="G652" i="14"/>
  <c r="H651" i="14"/>
  <c r="G651" i="14"/>
  <c r="H650" i="14"/>
  <c r="G650" i="14"/>
  <c r="G649" i="14"/>
  <c r="H649" i="14" s="1"/>
  <c r="G648" i="14"/>
  <c r="H648" i="14" s="1"/>
  <c r="G647" i="14"/>
  <c r="H647" i="14" s="1"/>
  <c r="G646" i="14"/>
  <c r="H646" i="14" s="1"/>
  <c r="G645" i="14"/>
  <c r="H645" i="14" s="1"/>
  <c r="G644" i="14"/>
  <c r="H644" i="14" s="1"/>
  <c r="H642" i="14"/>
  <c r="H641" i="14"/>
  <c r="H640" i="14"/>
  <c r="H639" i="14"/>
  <c r="H638" i="14"/>
  <c r="H630" i="14"/>
  <c r="H629" i="14"/>
  <c r="H628" i="14"/>
  <c r="H627" i="14"/>
  <c r="G621" i="14"/>
  <c r="H621" i="14" s="1"/>
  <c r="H620" i="14"/>
  <c r="G617" i="14"/>
  <c r="H617" i="14" s="1"/>
  <c r="H616" i="14"/>
  <c r="H615" i="14"/>
  <c r="H614" i="14"/>
  <c r="H613" i="14"/>
  <c r="H612" i="14"/>
  <c r="G611" i="14"/>
  <c r="H608" i="14"/>
  <c r="G607" i="14"/>
  <c r="G606" i="14"/>
  <c r="G605" i="14"/>
  <c r="H602" i="14"/>
  <c r="G602" i="14"/>
  <c r="H601" i="14"/>
  <c r="G601" i="14"/>
  <c r="H592" i="14"/>
  <c r="H591" i="14"/>
  <c r="H590" i="14"/>
  <c r="H589" i="14"/>
  <c r="H588" i="14"/>
  <c r="G587" i="14"/>
  <c r="H587" i="14" s="1"/>
  <c r="H574" i="14"/>
  <c r="H571" i="14"/>
  <c r="H570" i="14"/>
  <c r="H568" i="14"/>
  <c r="H567" i="14"/>
  <c r="H566" i="14"/>
  <c r="H565" i="14"/>
  <c r="H564" i="14"/>
  <c r="H563" i="14"/>
  <c r="H562" i="14"/>
  <c r="H561" i="14"/>
  <c r="H560" i="14"/>
  <c r="H559" i="14"/>
  <c r="H555" i="14"/>
  <c r="H554" i="14"/>
  <c r="H553" i="14"/>
  <c r="H552" i="14"/>
  <c r="H551" i="14"/>
  <c r="H550" i="14"/>
  <c r="H548" i="14"/>
  <c r="H547" i="14"/>
  <c r="H546" i="14"/>
  <c r="H545" i="14"/>
  <c r="H544" i="14"/>
  <c r="G540" i="14"/>
  <c r="H537" i="14"/>
  <c r="H536" i="14"/>
  <c r="H535" i="14"/>
  <c r="H534" i="14"/>
  <c r="H533" i="14"/>
  <c r="H529" i="14"/>
  <c r="H528" i="14"/>
  <c r="H527" i="14"/>
  <c r="H526" i="14"/>
  <c r="H525" i="14"/>
  <c r="H524" i="14"/>
  <c r="H523" i="14"/>
  <c r="H522" i="14"/>
  <c r="H498" i="14"/>
  <c r="H475" i="14"/>
  <c r="H474" i="14"/>
  <c r="G471" i="14"/>
  <c r="H444" i="14"/>
  <c r="H440" i="14"/>
  <c r="H439" i="14"/>
  <c r="G436" i="14"/>
  <c r="H436" i="14" s="1"/>
  <c r="G435" i="14"/>
  <c r="H435" i="14" s="1"/>
  <c r="G434" i="14"/>
  <c r="H434" i="14" s="1"/>
  <c r="G433" i="14"/>
  <c r="H433" i="14" s="1"/>
  <c r="H429" i="14"/>
  <c r="G413" i="14"/>
  <c r="H413" i="14" s="1"/>
  <c r="G412" i="14"/>
  <c r="H412" i="14" s="1"/>
  <c r="H411" i="14"/>
  <c r="H410" i="14"/>
  <c r="H409" i="14"/>
  <c r="H408" i="14"/>
  <c r="G395" i="14"/>
  <c r="H395" i="14" s="1"/>
  <c r="G392" i="14"/>
  <c r="H392" i="14" s="1"/>
  <c r="H387" i="14"/>
  <c r="H386" i="14"/>
  <c r="H385" i="14"/>
  <c r="H383" i="14"/>
  <c r="H382" i="14"/>
  <c r="H381" i="14"/>
  <c r="H380" i="14"/>
  <c r="H379" i="14"/>
  <c r="G379" i="14"/>
  <c r="H378" i="14"/>
  <c r="G378" i="14"/>
  <c r="H377" i="14"/>
  <c r="G377" i="14"/>
  <c r="G376" i="14"/>
  <c r="H376" i="14" s="1"/>
  <c r="G375" i="14"/>
  <c r="H375" i="14" s="1"/>
  <c r="G374" i="14"/>
  <c r="H374" i="14" s="1"/>
  <c r="G373" i="14"/>
  <c r="H373" i="14" s="1"/>
  <c r="H372" i="14"/>
  <c r="G372" i="14"/>
  <c r="G371" i="14"/>
  <c r="H371" i="14" s="1"/>
  <c r="H369" i="14"/>
  <c r="H368" i="14"/>
  <c r="H367" i="14"/>
  <c r="H366" i="14"/>
  <c r="H365" i="14"/>
  <c r="H357" i="14"/>
  <c r="H356" i="14"/>
  <c r="H355" i="14"/>
  <c r="H354" i="14"/>
  <c r="G348" i="14"/>
  <c r="H348" i="14" s="1"/>
  <c r="H347" i="14"/>
  <c r="G344" i="14"/>
  <c r="H344" i="14" s="1"/>
  <c r="H343" i="14"/>
  <c r="H342" i="14"/>
  <c r="H341" i="14"/>
  <c r="H340" i="14"/>
  <c r="H339" i="14"/>
  <c r="G338" i="14"/>
  <c r="H335" i="14"/>
  <c r="G334" i="14"/>
  <c r="G333" i="14"/>
  <c r="G332" i="14"/>
  <c r="H329" i="14"/>
  <c r="G329" i="14"/>
  <c r="H328" i="14"/>
  <c r="G328" i="14"/>
  <c r="H319" i="14"/>
  <c r="H318" i="14"/>
  <c r="H317" i="14"/>
  <c r="H316" i="14"/>
  <c r="H315" i="14"/>
  <c r="G314" i="14"/>
  <c r="H314" i="14" s="1"/>
  <c r="H301" i="14"/>
  <c r="H298" i="14"/>
  <c r="H297" i="14"/>
  <c r="H295" i="14"/>
  <c r="H294" i="14"/>
  <c r="H293" i="14"/>
  <c r="H292" i="14"/>
  <c r="H291" i="14"/>
  <c r="H290" i="14"/>
  <c r="H289" i="14"/>
  <c r="H288" i="14"/>
  <c r="H287" i="14"/>
  <c r="H286" i="14"/>
  <c r="H282" i="14"/>
  <c r="H281" i="14"/>
  <c r="H280" i="14"/>
  <c r="H279" i="14"/>
  <c r="H278" i="14"/>
  <c r="H277" i="14"/>
  <c r="H275" i="14"/>
  <c r="H274" i="14"/>
  <c r="H273" i="14"/>
  <c r="H272" i="14"/>
  <c r="H271" i="14"/>
  <c r="G267" i="14"/>
  <c r="H264" i="14"/>
  <c r="H263" i="14"/>
  <c r="H262" i="14"/>
  <c r="H261" i="14"/>
  <c r="H260" i="14"/>
  <c r="H256" i="14"/>
  <c r="H255" i="14"/>
  <c r="H254" i="14"/>
  <c r="H253" i="14"/>
  <c r="H252" i="14"/>
  <c r="H251" i="14"/>
  <c r="H250" i="14"/>
  <c r="H249" i="14"/>
  <c r="W77" i="25"/>
  <c r="Y77" i="25" s="1"/>
  <c r="T77" i="25"/>
  <c r="V77" i="25" s="1"/>
  <c r="W76" i="25"/>
  <c r="Y76" i="25" s="1"/>
  <c r="T76" i="25"/>
  <c r="V76" i="25" s="1"/>
  <c r="W75" i="25"/>
  <c r="Y75" i="25" s="1"/>
  <c r="T75" i="25"/>
  <c r="V75" i="25" s="1"/>
  <c r="W74" i="25"/>
  <c r="Y74" i="25" s="1"/>
  <c r="T74" i="25"/>
  <c r="V74" i="25" s="1"/>
  <c r="Y73" i="25"/>
  <c r="W73" i="25"/>
  <c r="T73" i="25"/>
  <c r="V73" i="25" s="1"/>
  <c r="W72" i="25"/>
  <c r="Y72" i="25" s="1"/>
  <c r="T72" i="25"/>
  <c r="V72" i="25" s="1"/>
  <c r="W71" i="25"/>
  <c r="Y71" i="25" s="1"/>
  <c r="T71" i="25"/>
  <c r="V71" i="25" s="1"/>
  <c r="W70" i="25"/>
  <c r="Y70" i="25" s="1"/>
  <c r="T70" i="25"/>
  <c r="V70" i="25" s="1"/>
  <c r="W69" i="25"/>
  <c r="Y69" i="25" s="1"/>
  <c r="T69" i="25"/>
  <c r="V69" i="25" s="1"/>
  <c r="W68" i="25"/>
  <c r="Y68" i="25" s="1"/>
  <c r="T68" i="25"/>
  <c r="V68" i="25" s="1"/>
  <c r="W67" i="25"/>
  <c r="Y67" i="25" s="1"/>
  <c r="T67" i="25"/>
  <c r="V67" i="25" s="1"/>
  <c r="Y66" i="25"/>
  <c r="W66" i="25"/>
  <c r="T66" i="25"/>
  <c r="V66" i="25" s="1"/>
  <c r="W65" i="25"/>
  <c r="Y65" i="25" s="1"/>
  <c r="T65" i="25"/>
  <c r="V65" i="25" s="1"/>
  <c r="W64" i="25"/>
  <c r="Y64" i="25" s="1"/>
  <c r="T64" i="25"/>
  <c r="V64" i="25" s="1"/>
  <c r="W63" i="25"/>
  <c r="Y63" i="25" s="1"/>
  <c r="T63" i="25"/>
  <c r="V63" i="25" s="1"/>
  <c r="W62" i="25"/>
  <c r="Y62" i="25" s="1"/>
  <c r="T62" i="25"/>
  <c r="V62" i="25" s="1"/>
  <c r="W61" i="25"/>
  <c r="Y61" i="25" s="1"/>
  <c r="T61" i="25"/>
  <c r="V61" i="25" s="1"/>
  <c r="W60" i="25"/>
  <c r="Y60" i="25" s="1"/>
  <c r="T60" i="25"/>
  <c r="V60" i="25" s="1"/>
  <c r="W59" i="25"/>
  <c r="Y59" i="25" s="1"/>
  <c r="T59" i="25"/>
  <c r="V59" i="25" s="1"/>
  <c r="Y58" i="25"/>
  <c r="W58" i="25"/>
  <c r="T58" i="25"/>
  <c r="V58" i="25" s="1"/>
  <c r="W57" i="25"/>
  <c r="Y57" i="25" s="1"/>
  <c r="T57" i="25"/>
  <c r="V57" i="25" s="1"/>
  <c r="W56" i="25"/>
  <c r="Y56" i="25" s="1"/>
  <c r="T56" i="25"/>
  <c r="V56" i="25" s="1"/>
  <c r="W55" i="25"/>
  <c r="Y55" i="25" s="1"/>
  <c r="T55" i="25"/>
  <c r="V55" i="25" s="1"/>
  <c r="W54" i="25"/>
  <c r="Y54" i="25" s="1"/>
  <c r="T54" i="25"/>
  <c r="V54" i="25" s="1"/>
  <c r="Y53" i="25"/>
  <c r="W53" i="25"/>
  <c r="T53" i="25"/>
  <c r="V53" i="25" s="1"/>
  <c r="W52" i="25"/>
  <c r="Y52" i="25" s="1"/>
  <c r="T52" i="25"/>
  <c r="V52" i="25" s="1"/>
  <c r="W51" i="25"/>
  <c r="Y51" i="25" s="1"/>
  <c r="T51" i="25"/>
  <c r="V51" i="25" s="1"/>
  <c r="W50" i="25"/>
  <c r="Y50" i="25" s="1"/>
  <c r="T50" i="25"/>
  <c r="V50" i="25" s="1"/>
  <c r="W49" i="25"/>
  <c r="Y49" i="25" s="1"/>
  <c r="T49" i="25"/>
  <c r="V49" i="25" s="1"/>
  <c r="W48" i="25"/>
  <c r="Y48" i="25" s="1"/>
  <c r="T48" i="25"/>
  <c r="V48" i="25" s="1"/>
  <c r="W47" i="25"/>
  <c r="Y47" i="25" s="1"/>
  <c r="T47" i="25"/>
  <c r="V47" i="25" s="1"/>
  <c r="Y46" i="25"/>
  <c r="W46" i="25"/>
  <c r="T46" i="25"/>
  <c r="V46" i="25" s="1"/>
  <c r="W45" i="25"/>
  <c r="Y45" i="25" s="1"/>
  <c r="T45" i="25"/>
  <c r="V45" i="25" s="1"/>
  <c r="W44" i="25"/>
  <c r="Y44" i="25" s="1"/>
  <c r="T44" i="25"/>
  <c r="V44" i="25" s="1"/>
  <c r="W43" i="25"/>
  <c r="Y43" i="25" s="1"/>
  <c r="T43" i="25"/>
  <c r="V43" i="25" s="1"/>
  <c r="W42" i="25"/>
  <c r="Y42" i="25" s="1"/>
  <c r="T42" i="25"/>
  <c r="V42" i="25" s="1"/>
  <c r="Y41" i="25"/>
  <c r="W41" i="25"/>
  <c r="T41" i="25"/>
  <c r="V41" i="25" s="1"/>
  <c r="W40" i="25"/>
  <c r="Y40" i="25" s="1"/>
  <c r="T40" i="25"/>
  <c r="V40" i="25" s="1"/>
  <c r="W39" i="25"/>
  <c r="Y39" i="25" s="1"/>
  <c r="T39" i="25"/>
  <c r="V39" i="25" s="1"/>
  <c r="W38" i="25"/>
  <c r="Y38" i="25" s="1"/>
  <c r="T38" i="25"/>
  <c r="V38" i="25" s="1"/>
  <c r="W37" i="25"/>
  <c r="Y37" i="25" s="1"/>
  <c r="T37" i="25"/>
  <c r="V37" i="25" s="1"/>
  <c r="W36" i="25"/>
  <c r="Y36" i="25" s="1"/>
  <c r="T36" i="25"/>
  <c r="V36" i="25" s="1"/>
  <c r="W35" i="25"/>
  <c r="Y35" i="25" s="1"/>
  <c r="T35" i="25"/>
  <c r="V35" i="25" s="1"/>
  <c r="W34" i="25"/>
  <c r="Y34" i="25" s="1"/>
  <c r="T34" i="25"/>
  <c r="V34" i="25" s="1"/>
  <c r="Y33" i="25"/>
  <c r="W33" i="25"/>
  <c r="T33" i="25"/>
  <c r="V33" i="25" s="1"/>
  <c r="W32" i="25"/>
  <c r="Y32" i="25" s="1"/>
  <c r="T32" i="25"/>
  <c r="V32" i="25" s="1"/>
  <c r="W31" i="25"/>
  <c r="Y31" i="25" s="1"/>
  <c r="T31" i="25"/>
  <c r="V31" i="25" s="1"/>
  <c r="Y30" i="25"/>
  <c r="W30" i="25"/>
  <c r="T30" i="25"/>
  <c r="V30" i="25" s="1"/>
  <c r="W29" i="25"/>
  <c r="Y29" i="25" s="1"/>
  <c r="T29" i="25"/>
  <c r="V29" i="25" s="1"/>
  <c r="W28" i="25"/>
  <c r="Y28" i="25" s="1"/>
  <c r="T28" i="25"/>
  <c r="V28" i="25" s="1"/>
  <c r="W27" i="25"/>
  <c r="Y27" i="25" s="1"/>
  <c r="T27" i="25"/>
  <c r="V27" i="25" s="1"/>
  <c r="W26" i="25"/>
  <c r="Y26" i="25" s="1"/>
  <c r="T26" i="25"/>
  <c r="V26" i="25" s="1"/>
  <c r="W25" i="25"/>
  <c r="Y25" i="25" s="1"/>
  <c r="T25" i="25"/>
  <c r="V25" i="25" s="1"/>
  <c r="W24" i="25"/>
  <c r="Y24" i="25" s="1"/>
  <c r="T24" i="25"/>
  <c r="V24" i="25" s="1"/>
  <c r="W23" i="25"/>
  <c r="Y23" i="25" s="1"/>
  <c r="T23" i="25"/>
  <c r="V23" i="25" s="1"/>
  <c r="W22" i="25"/>
  <c r="Y22" i="25" s="1"/>
  <c r="T22" i="25"/>
  <c r="V22" i="25" s="1"/>
  <c r="W21" i="25"/>
  <c r="Y21" i="25" s="1"/>
  <c r="T21" i="25"/>
  <c r="V21" i="25" s="1"/>
  <c r="W20" i="25"/>
  <c r="Y20" i="25" s="1"/>
  <c r="T20" i="25"/>
  <c r="V20" i="25" s="1"/>
  <c r="W19" i="25"/>
  <c r="Y19" i="25" s="1"/>
  <c r="T19" i="25"/>
  <c r="V19" i="25" s="1"/>
  <c r="Y18" i="25"/>
  <c r="W18" i="25"/>
  <c r="T18" i="25"/>
  <c r="V18" i="25" s="1"/>
  <c r="W17" i="25"/>
  <c r="Y17" i="25" s="1"/>
  <c r="T17" i="25"/>
  <c r="V17" i="25" s="1"/>
  <c r="W16" i="25"/>
  <c r="Y16" i="25" s="1"/>
  <c r="T16" i="25"/>
  <c r="V16" i="25" s="1"/>
  <c r="W15" i="25"/>
  <c r="Y15" i="25" s="1"/>
  <c r="T15" i="25"/>
  <c r="V15" i="25" s="1"/>
  <c r="W14" i="25"/>
  <c r="Y14" i="25" s="1"/>
  <c r="T14" i="25"/>
  <c r="V14" i="25" s="1"/>
  <c r="W13" i="25"/>
  <c r="Y13" i="25" s="1"/>
  <c r="T13" i="25"/>
  <c r="V13" i="25" s="1"/>
  <c r="W12" i="25"/>
  <c r="Y12" i="25" s="1"/>
  <c r="T12" i="25"/>
  <c r="V12" i="25" s="1"/>
  <c r="W11" i="25"/>
  <c r="Y11" i="25" s="1"/>
  <c r="T11" i="25"/>
  <c r="V11" i="25" s="1"/>
  <c r="W10" i="25"/>
  <c r="Y10" i="25" s="1"/>
  <c r="T10" i="25"/>
  <c r="V10" i="25" s="1"/>
  <c r="W9" i="25"/>
  <c r="Y9" i="25" s="1"/>
  <c r="T9" i="25"/>
  <c r="V9" i="25" s="1"/>
  <c r="Y8" i="25"/>
  <c r="W8" i="25"/>
  <c r="T8" i="25"/>
  <c r="V8" i="25" s="1"/>
  <c r="W7" i="25"/>
  <c r="Y7" i="25" s="1"/>
  <c r="T7" i="25"/>
  <c r="V7" i="25" s="1"/>
  <c r="W6" i="25"/>
  <c r="Y6" i="25" s="1"/>
  <c r="T6" i="25"/>
  <c r="V6" i="25" s="1"/>
  <c r="W5" i="25"/>
  <c r="Y5" i="25" s="1"/>
  <c r="T5" i="25"/>
  <c r="V5" i="25" s="1"/>
  <c r="Y4" i="25"/>
  <c r="W4" i="25"/>
  <c r="T4" i="25"/>
  <c r="V4" i="25" s="1"/>
  <c r="W3" i="25"/>
  <c r="Y3" i="25" s="1"/>
  <c r="T3" i="25"/>
  <c r="V3" i="25" s="1"/>
  <c r="Y2" i="25"/>
  <c r="W2" i="25"/>
  <c r="T2" i="25"/>
  <c r="V2" i="25" s="1"/>
  <c r="Y90" i="22"/>
  <c r="Q90" i="22"/>
  <c r="M90" i="22" s="1"/>
  <c r="L90" i="22"/>
  <c r="K90" i="22"/>
  <c r="J90" i="22"/>
  <c r="E90" i="22"/>
  <c r="Y89" i="22"/>
  <c r="Q89" i="22"/>
  <c r="M89" i="22"/>
  <c r="L89" i="22"/>
  <c r="K89" i="22"/>
  <c r="J89" i="22"/>
  <c r="E89" i="22"/>
  <c r="Y88" i="22"/>
  <c r="Q88" i="22"/>
  <c r="M88" i="22" s="1"/>
  <c r="L88" i="22"/>
  <c r="K88" i="22"/>
  <c r="J88" i="22"/>
  <c r="E88" i="22"/>
  <c r="Q87" i="22"/>
  <c r="M87" i="22" s="1"/>
  <c r="L87" i="22"/>
  <c r="K87" i="22"/>
  <c r="J87" i="22"/>
  <c r="E87" i="22"/>
  <c r="Q86" i="22"/>
  <c r="M86" i="22" s="1"/>
  <c r="L86" i="22"/>
  <c r="K86" i="22"/>
  <c r="J86" i="22"/>
  <c r="E86" i="22"/>
  <c r="Y85" i="22"/>
  <c r="Q85" i="22"/>
  <c r="M85" i="22" s="1"/>
  <c r="L85" i="22"/>
  <c r="K85" i="22"/>
  <c r="J85" i="22"/>
  <c r="E85" i="22"/>
  <c r="Y84" i="22"/>
  <c r="Q84" i="22"/>
  <c r="M84" i="22" s="1"/>
  <c r="L84" i="22"/>
  <c r="K84" i="22"/>
  <c r="J84" i="22"/>
  <c r="E84" i="22"/>
  <c r="Y83" i="22"/>
  <c r="Q83" i="22"/>
  <c r="M83" i="22" s="1"/>
  <c r="L83" i="22"/>
  <c r="K83" i="22"/>
  <c r="J83" i="22"/>
  <c r="E83" i="22"/>
  <c r="Y82" i="22"/>
  <c r="Q82" i="22"/>
  <c r="M82" i="22" s="1"/>
  <c r="L82" i="22"/>
  <c r="K82" i="22"/>
  <c r="J82" i="22"/>
  <c r="E82" i="22"/>
  <c r="Y81" i="22"/>
  <c r="Q81" i="22"/>
  <c r="M81" i="22"/>
  <c r="L81" i="22"/>
  <c r="K81" i="22"/>
  <c r="J81" i="22"/>
  <c r="E81" i="22"/>
  <c r="Y80" i="22"/>
  <c r="Q80" i="22"/>
  <c r="M80" i="22" s="1"/>
  <c r="L80" i="22"/>
  <c r="K80" i="22"/>
  <c r="J80" i="22"/>
  <c r="E80" i="22"/>
  <c r="Y79" i="22"/>
  <c r="Q79" i="22"/>
  <c r="M79" i="22" s="1"/>
  <c r="L79" i="22"/>
  <c r="K79" i="22"/>
  <c r="J79" i="22"/>
  <c r="E79" i="22"/>
  <c r="Y78" i="22"/>
  <c r="Q78" i="22"/>
  <c r="M78" i="22" s="1"/>
  <c r="L78" i="22"/>
  <c r="K78" i="22"/>
  <c r="J78" i="22"/>
  <c r="E78" i="22"/>
  <c r="Y77" i="22"/>
  <c r="Q77" i="22"/>
  <c r="M77" i="22" s="1"/>
  <c r="L77" i="22"/>
  <c r="K77" i="22"/>
  <c r="J77" i="22"/>
  <c r="E77" i="22"/>
  <c r="Y76" i="22"/>
  <c r="Q76" i="22"/>
  <c r="M76" i="22" s="1"/>
  <c r="L76" i="22"/>
  <c r="K76" i="22"/>
  <c r="J76" i="22"/>
  <c r="E76" i="22"/>
  <c r="Y75" i="22"/>
  <c r="Q75" i="22"/>
  <c r="M75" i="22"/>
  <c r="L75" i="22"/>
  <c r="K75" i="22"/>
  <c r="J75" i="22"/>
  <c r="E75" i="22"/>
  <c r="Y74" i="22"/>
  <c r="Q74" i="22"/>
  <c r="M74" i="22" s="1"/>
  <c r="L74" i="22"/>
  <c r="K74" i="22"/>
  <c r="J74" i="22"/>
  <c r="E74" i="22"/>
  <c r="Y73" i="22"/>
  <c r="Q73" i="22"/>
  <c r="M73" i="22" s="1"/>
  <c r="L73" i="22"/>
  <c r="K73" i="22"/>
  <c r="J73" i="22"/>
  <c r="E73" i="22"/>
  <c r="Y72" i="22"/>
  <c r="Q72" i="22"/>
  <c r="M72" i="22" s="1"/>
  <c r="L72" i="22"/>
  <c r="K72" i="22"/>
  <c r="J72" i="22"/>
  <c r="E72" i="22"/>
  <c r="Y71" i="22"/>
  <c r="Q71" i="22"/>
  <c r="M71" i="22" s="1"/>
  <c r="L71" i="22"/>
  <c r="K71" i="22"/>
  <c r="J71" i="22"/>
  <c r="E71" i="22"/>
  <c r="Y70" i="22"/>
  <c r="Q70" i="22"/>
  <c r="M70" i="22" s="1"/>
  <c r="L70" i="22"/>
  <c r="K70" i="22"/>
  <c r="J70" i="22"/>
  <c r="E70" i="22"/>
  <c r="Q69" i="22"/>
  <c r="M69" i="22" s="1"/>
  <c r="L69" i="22"/>
  <c r="K69" i="22"/>
  <c r="J69" i="22"/>
  <c r="E69" i="22"/>
  <c r="Y68" i="22"/>
  <c r="Q68" i="22"/>
  <c r="M68" i="22" s="1"/>
  <c r="L68" i="22"/>
  <c r="K68" i="22"/>
  <c r="J68" i="22"/>
  <c r="E68" i="22"/>
  <c r="Y67" i="22"/>
  <c r="Q67" i="22"/>
  <c r="M67" i="22" s="1"/>
  <c r="L67" i="22"/>
  <c r="K67" i="22"/>
  <c r="J67" i="22"/>
  <c r="E67" i="22"/>
  <c r="Y66" i="22"/>
  <c r="Q66" i="22"/>
  <c r="M66" i="22"/>
  <c r="L66" i="22"/>
  <c r="K66" i="22"/>
  <c r="J66" i="22"/>
  <c r="E66" i="22"/>
  <c r="Y65" i="22"/>
  <c r="Q65" i="22"/>
  <c r="M65" i="22" s="1"/>
  <c r="L65" i="22"/>
  <c r="K65" i="22"/>
  <c r="J65" i="22"/>
  <c r="E65" i="22"/>
  <c r="Y64" i="22"/>
  <c r="Q64" i="22"/>
  <c r="M64" i="22" s="1"/>
  <c r="L64" i="22"/>
  <c r="K64" i="22"/>
  <c r="J64" i="22"/>
  <c r="E64" i="22"/>
  <c r="Y63" i="22"/>
  <c r="Q63" i="22"/>
  <c r="M63" i="22" s="1"/>
  <c r="L63" i="22"/>
  <c r="K63" i="22"/>
  <c r="J63" i="22"/>
  <c r="E63" i="22"/>
  <c r="Y62" i="22"/>
  <c r="Q62" i="22"/>
  <c r="M62" i="22" s="1"/>
  <c r="L62" i="22"/>
  <c r="K62" i="22"/>
  <c r="J62" i="22"/>
  <c r="E62" i="22"/>
  <c r="Y61" i="22"/>
  <c r="Q61" i="22"/>
  <c r="M61" i="22" s="1"/>
  <c r="L61" i="22"/>
  <c r="K61" i="22"/>
  <c r="J61" i="22"/>
  <c r="E61" i="22"/>
  <c r="Y60" i="22"/>
  <c r="Q60" i="22"/>
  <c r="M60" i="22" s="1"/>
  <c r="L60" i="22"/>
  <c r="K60" i="22"/>
  <c r="J60" i="22"/>
  <c r="E60" i="22"/>
  <c r="Y59" i="22"/>
  <c r="Q59" i="22"/>
  <c r="M59" i="22" s="1"/>
  <c r="L59" i="22"/>
  <c r="K59" i="22"/>
  <c r="J59" i="22"/>
  <c r="E59" i="22"/>
  <c r="Y58" i="22"/>
  <c r="Q58" i="22"/>
  <c r="M58" i="22" s="1"/>
  <c r="L58" i="22"/>
  <c r="K58" i="22"/>
  <c r="J58" i="22"/>
  <c r="E58" i="22"/>
  <c r="Y57" i="22"/>
  <c r="Q57" i="22"/>
  <c r="M57" i="22" s="1"/>
  <c r="L57" i="22"/>
  <c r="K57" i="22"/>
  <c r="J57" i="22"/>
  <c r="E57" i="22"/>
  <c r="Y56" i="22"/>
  <c r="Q56" i="22"/>
  <c r="M56" i="22" s="1"/>
  <c r="L56" i="22"/>
  <c r="K56" i="22"/>
  <c r="J56" i="22"/>
  <c r="E56" i="22"/>
  <c r="Y55" i="22"/>
  <c r="Q55" i="22"/>
  <c r="M55" i="22" s="1"/>
  <c r="L55" i="22"/>
  <c r="K55" i="22"/>
  <c r="J55" i="22"/>
  <c r="E55" i="22"/>
  <c r="Y54" i="22"/>
  <c r="Q54" i="22"/>
  <c r="M54" i="22" s="1"/>
  <c r="L54" i="22"/>
  <c r="K54" i="22"/>
  <c r="J54" i="22"/>
  <c r="E54" i="22"/>
  <c r="Y53" i="22"/>
  <c r="Q53" i="22"/>
  <c r="M53" i="22" s="1"/>
  <c r="L53" i="22"/>
  <c r="K53" i="22"/>
  <c r="J53" i="22"/>
  <c r="E53" i="22"/>
  <c r="Y52" i="22"/>
  <c r="Q52" i="22"/>
  <c r="M52" i="22" s="1"/>
  <c r="L52" i="22"/>
  <c r="K52" i="22"/>
  <c r="J52" i="22"/>
  <c r="E52" i="22"/>
  <c r="Q51" i="22"/>
  <c r="M51" i="22" s="1"/>
  <c r="L51" i="22"/>
  <c r="K51" i="22"/>
  <c r="J51" i="22"/>
  <c r="E51" i="22"/>
  <c r="Q50" i="22"/>
  <c r="M50" i="22" s="1"/>
  <c r="L50" i="22"/>
  <c r="K50" i="22"/>
  <c r="J50" i="22"/>
  <c r="E50" i="22"/>
  <c r="Q49" i="22"/>
  <c r="M49" i="22" s="1"/>
  <c r="L49" i="22"/>
  <c r="K49" i="22"/>
  <c r="J49" i="22"/>
  <c r="E49" i="22"/>
  <c r="Q48" i="22"/>
  <c r="M48" i="22" s="1"/>
  <c r="L48" i="22"/>
  <c r="K48" i="22"/>
  <c r="J48" i="22"/>
  <c r="E48" i="22"/>
  <c r="Q47" i="22"/>
  <c r="M47" i="22" s="1"/>
  <c r="L47" i="22"/>
  <c r="K47" i="22"/>
  <c r="J47" i="22"/>
  <c r="E47" i="22"/>
  <c r="Q46" i="22"/>
  <c r="M46" i="22" s="1"/>
  <c r="L46" i="22"/>
  <c r="K46" i="22"/>
  <c r="J46" i="22"/>
  <c r="E46" i="22"/>
  <c r="Q45" i="22"/>
  <c r="M45" i="22" s="1"/>
  <c r="L45" i="22"/>
  <c r="K45" i="22"/>
  <c r="J45" i="22"/>
  <c r="E45" i="22"/>
  <c r="Y44" i="22"/>
  <c r="Q44" i="22"/>
  <c r="M44" i="22" s="1"/>
  <c r="L44" i="22"/>
  <c r="K44" i="22"/>
  <c r="J44" i="22"/>
  <c r="E44" i="22"/>
  <c r="Y43" i="22"/>
  <c r="Q43" i="22"/>
  <c r="M43" i="22" s="1"/>
  <c r="L43" i="22"/>
  <c r="K43" i="22"/>
  <c r="J43" i="22"/>
  <c r="E43" i="22"/>
  <c r="Y42" i="22"/>
  <c r="Q42" i="22"/>
  <c r="M42" i="22" s="1"/>
  <c r="L42" i="22"/>
  <c r="K42" i="22"/>
  <c r="J42" i="22"/>
  <c r="E42" i="22"/>
  <c r="Y41" i="22"/>
  <c r="Q41" i="22"/>
  <c r="M41" i="22" s="1"/>
  <c r="L41" i="22"/>
  <c r="K41" i="22"/>
  <c r="J41" i="22"/>
  <c r="E41" i="22"/>
  <c r="Y40" i="22"/>
  <c r="Q40" i="22"/>
  <c r="M40" i="22" s="1"/>
  <c r="L40" i="22"/>
  <c r="K40" i="22"/>
  <c r="J40" i="22"/>
  <c r="E40" i="22"/>
  <c r="Y39" i="22"/>
  <c r="Q39" i="22"/>
  <c r="M39" i="22" s="1"/>
  <c r="L39" i="22"/>
  <c r="K39" i="22"/>
  <c r="J39" i="22"/>
  <c r="E39" i="22"/>
  <c r="Y38" i="22"/>
  <c r="Q38" i="22"/>
  <c r="M38" i="22" s="1"/>
  <c r="L38" i="22"/>
  <c r="K38" i="22"/>
  <c r="J38" i="22"/>
  <c r="E38" i="22"/>
  <c r="Y37" i="22"/>
  <c r="Q37" i="22"/>
  <c r="M37" i="22"/>
  <c r="L37" i="22"/>
  <c r="K37" i="22"/>
  <c r="J37" i="22"/>
  <c r="E37" i="22"/>
  <c r="Y36" i="22"/>
  <c r="Q36" i="22"/>
  <c r="M36" i="22" s="1"/>
  <c r="L36" i="22"/>
  <c r="K36" i="22"/>
  <c r="J36" i="22"/>
  <c r="E36" i="22"/>
  <c r="Y35" i="22"/>
  <c r="Q35" i="22"/>
  <c r="M35" i="22"/>
  <c r="L35" i="22"/>
  <c r="K35" i="22"/>
  <c r="J35" i="22"/>
  <c r="E35" i="22"/>
  <c r="Y34" i="22"/>
  <c r="Q34" i="22"/>
  <c r="M34" i="22" s="1"/>
  <c r="L34" i="22"/>
  <c r="K34" i="22"/>
  <c r="J34" i="22"/>
  <c r="E34" i="22"/>
  <c r="Y33" i="22"/>
  <c r="Q33" i="22"/>
  <c r="M33" i="22" s="1"/>
  <c r="L33" i="22"/>
  <c r="K33" i="22"/>
  <c r="J33" i="22"/>
  <c r="E33" i="22"/>
  <c r="Y32" i="22"/>
  <c r="Q32" i="22"/>
  <c r="M32" i="22" s="1"/>
  <c r="L32" i="22"/>
  <c r="K32" i="22"/>
  <c r="J32" i="22"/>
  <c r="E32" i="22"/>
  <c r="Y31" i="22"/>
  <c r="Q31" i="22"/>
  <c r="M31" i="22" s="1"/>
  <c r="L31" i="22"/>
  <c r="K31" i="22"/>
  <c r="J31" i="22"/>
  <c r="E31" i="22"/>
  <c r="Y30" i="22"/>
  <c r="Q30" i="22"/>
  <c r="M30" i="22" s="1"/>
  <c r="L30" i="22"/>
  <c r="K30" i="22"/>
  <c r="J30" i="22"/>
  <c r="E30" i="22"/>
  <c r="Y29" i="22"/>
  <c r="Q29" i="22"/>
  <c r="M29" i="22" s="1"/>
  <c r="L29" i="22"/>
  <c r="K29" i="22"/>
  <c r="J29" i="22"/>
  <c r="E29" i="22"/>
  <c r="Y28" i="22"/>
  <c r="Q28" i="22"/>
  <c r="M28" i="22" s="1"/>
  <c r="L28" i="22"/>
  <c r="K28" i="22"/>
  <c r="J28" i="22"/>
  <c r="E28" i="22"/>
  <c r="Y27" i="22"/>
  <c r="Q27" i="22"/>
  <c r="M27" i="22" s="1"/>
  <c r="L27" i="22"/>
  <c r="K27" i="22"/>
  <c r="J27" i="22"/>
  <c r="E27" i="22"/>
  <c r="Y26" i="22"/>
  <c r="Q26" i="22"/>
  <c r="M26" i="22" s="1"/>
  <c r="L26" i="22"/>
  <c r="K26" i="22"/>
  <c r="J26" i="22"/>
  <c r="E26" i="22"/>
  <c r="Y25" i="22"/>
  <c r="Q25" i="22"/>
  <c r="M25" i="22" s="1"/>
  <c r="L25" i="22"/>
  <c r="K25" i="22"/>
  <c r="J25" i="22"/>
  <c r="E25" i="22"/>
  <c r="Y24" i="22"/>
  <c r="Q24" i="22"/>
  <c r="M24" i="22" s="1"/>
  <c r="L24" i="22"/>
  <c r="K24" i="22"/>
  <c r="J24" i="22"/>
  <c r="E24" i="22"/>
  <c r="Y23" i="22"/>
  <c r="Q23" i="22"/>
  <c r="M23" i="22" s="1"/>
  <c r="L23" i="22"/>
  <c r="K23" i="22"/>
  <c r="J23" i="22"/>
  <c r="E23" i="22"/>
  <c r="Y22" i="22"/>
  <c r="Q22" i="22"/>
  <c r="M22" i="22" s="1"/>
  <c r="L22" i="22"/>
  <c r="K22" i="22"/>
  <c r="J22" i="22"/>
  <c r="E22" i="22"/>
  <c r="Y21" i="22"/>
  <c r="Q21" i="22"/>
  <c r="M21" i="22" s="1"/>
  <c r="L21" i="22"/>
  <c r="K21" i="22"/>
  <c r="J21" i="22"/>
  <c r="E21" i="22"/>
  <c r="Y20" i="22"/>
  <c r="Q20" i="22"/>
  <c r="M20" i="22" s="1"/>
  <c r="L20" i="22"/>
  <c r="K20" i="22"/>
  <c r="J20" i="22"/>
  <c r="E20" i="22"/>
  <c r="Y19" i="22"/>
  <c r="Q19" i="22"/>
  <c r="M19" i="22" s="1"/>
  <c r="L19" i="22"/>
  <c r="K19" i="22"/>
  <c r="J19" i="22"/>
  <c r="E19" i="22"/>
  <c r="Y18" i="22"/>
  <c r="Q18" i="22"/>
  <c r="M18" i="22"/>
  <c r="L18" i="22"/>
  <c r="K18" i="22"/>
  <c r="J18" i="22"/>
  <c r="E18" i="22"/>
  <c r="Y17" i="22"/>
  <c r="Q17" i="22"/>
  <c r="M17" i="22" s="1"/>
  <c r="L17" i="22"/>
  <c r="K17" i="22"/>
  <c r="J17" i="22"/>
  <c r="E17" i="22"/>
  <c r="Y16" i="22"/>
  <c r="Q16" i="22"/>
  <c r="M16" i="22" s="1"/>
  <c r="L16" i="22"/>
  <c r="K16" i="22"/>
  <c r="J16" i="22"/>
  <c r="E16" i="22"/>
  <c r="Y15" i="22"/>
  <c r="Q15" i="22"/>
  <c r="M15" i="22" s="1"/>
  <c r="L15" i="22"/>
  <c r="K15" i="22"/>
  <c r="J15" i="22"/>
  <c r="E15" i="22"/>
  <c r="Y14" i="22"/>
  <c r="Q14" i="22"/>
  <c r="M14" i="22" s="1"/>
  <c r="L14" i="22"/>
  <c r="K14" i="22"/>
  <c r="J14" i="22"/>
  <c r="E14" i="22"/>
  <c r="Y13" i="22"/>
  <c r="Q13" i="22"/>
  <c r="M13" i="22"/>
  <c r="L13" i="22"/>
  <c r="K13" i="22"/>
  <c r="J13" i="22"/>
  <c r="E13" i="22"/>
  <c r="Y12" i="22"/>
  <c r="Q12" i="22"/>
  <c r="M12" i="22" s="1"/>
  <c r="L12" i="22"/>
  <c r="K12" i="22"/>
  <c r="J12" i="22"/>
  <c r="E12" i="22"/>
  <c r="Y11" i="22"/>
  <c r="Q11" i="22"/>
  <c r="M11" i="22" s="1"/>
  <c r="L11" i="22"/>
  <c r="K11" i="22"/>
  <c r="J11" i="22"/>
  <c r="E11" i="22"/>
  <c r="Y10" i="22"/>
  <c r="Q10" i="22"/>
  <c r="M10" i="22" s="1"/>
  <c r="L10" i="22"/>
  <c r="K10" i="22"/>
  <c r="J10" i="22"/>
  <c r="E10" i="22"/>
  <c r="Y9" i="22"/>
  <c r="Q9" i="22"/>
  <c r="M9" i="22" s="1"/>
  <c r="L9" i="22"/>
  <c r="K9" i="22"/>
  <c r="J9" i="22"/>
  <c r="E9" i="22"/>
  <c r="Y8" i="22"/>
  <c r="Q8" i="22"/>
  <c r="M8" i="22" s="1"/>
  <c r="L8" i="22"/>
  <c r="K8" i="22"/>
  <c r="J8" i="22"/>
  <c r="E8" i="22"/>
  <c r="Y7" i="22"/>
  <c r="Q7" i="22"/>
  <c r="M7" i="22" s="1"/>
  <c r="L7" i="22"/>
  <c r="K7" i="22"/>
  <c r="J7" i="22"/>
  <c r="E7" i="22"/>
  <c r="Y6" i="22"/>
  <c r="Q6" i="22"/>
  <c r="M6" i="22" s="1"/>
  <c r="L6" i="22"/>
  <c r="K6" i="22"/>
  <c r="J6" i="22"/>
  <c r="E6" i="22"/>
  <c r="Y5" i="22"/>
  <c r="Q5" i="22"/>
  <c r="M5" i="22"/>
  <c r="L5" i="22"/>
  <c r="K5" i="22"/>
  <c r="J5" i="22"/>
  <c r="E5" i="22"/>
  <c r="Y4" i="22"/>
  <c r="Q4" i="22"/>
  <c r="M4" i="22" s="1"/>
  <c r="L4" i="22"/>
  <c r="K4" i="22"/>
  <c r="J4" i="22"/>
  <c r="E4" i="22"/>
  <c r="Y3" i="22"/>
  <c r="Q3" i="22"/>
  <c r="M3" i="22"/>
  <c r="L3" i="22"/>
  <c r="K3" i="22"/>
  <c r="J3" i="22"/>
  <c r="E3" i="22"/>
  <c r="Y2" i="22"/>
  <c r="Q2" i="22"/>
  <c r="M2" i="22" s="1"/>
  <c r="L2" i="22"/>
  <c r="K2" i="22"/>
  <c r="J2" i="22"/>
  <c r="E2" i="22"/>
  <c r="O11" i="38"/>
  <c r="M11" i="38"/>
  <c r="K11" i="38"/>
  <c r="I11" i="38"/>
  <c r="G11" i="38"/>
  <c r="E11" i="38"/>
  <c r="C11" i="38"/>
  <c r="O10" i="38"/>
  <c r="M10" i="38"/>
  <c r="K10" i="38"/>
  <c r="I10" i="38"/>
  <c r="G10" i="38"/>
  <c r="E10" i="38"/>
  <c r="C10" i="38"/>
  <c r="O9" i="38"/>
  <c r="M9" i="38"/>
  <c r="K9" i="38"/>
  <c r="I9" i="38"/>
  <c r="G9" i="38"/>
  <c r="E9" i="38"/>
  <c r="C9" i="38"/>
  <c r="O8" i="38"/>
  <c r="M8" i="38"/>
  <c r="K8" i="38"/>
  <c r="I8" i="38"/>
  <c r="G8" i="38"/>
  <c r="E8" i="38"/>
  <c r="C8" i="38"/>
  <c r="O7" i="38"/>
  <c r="M7" i="38"/>
  <c r="K7" i="38"/>
  <c r="I7" i="38"/>
  <c r="G7" i="38"/>
  <c r="E7" i="38"/>
  <c r="C7" i="38"/>
  <c r="O6" i="38"/>
  <c r="M6" i="38"/>
  <c r="K6" i="38"/>
  <c r="I6" i="38"/>
  <c r="G6" i="38"/>
  <c r="E6" i="38"/>
  <c r="C6" i="38"/>
  <c r="O5" i="38"/>
  <c r="M5" i="38"/>
  <c r="K5" i="38"/>
  <c r="I5" i="38"/>
  <c r="G5" i="38"/>
  <c r="E5" i="38"/>
  <c r="C5" i="38"/>
  <c r="O4" i="38"/>
  <c r="M4" i="38"/>
  <c r="K4" i="38"/>
  <c r="I4" i="38"/>
  <c r="G4" i="38"/>
  <c r="E4" i="38"/>
  <c r="C4" i="38"/>
  <c r="O3" i="38"/>
  <c r="M3" i="38"/>
  <c r="K3" i="38"/>
  <c r="I3" i="38"/>
  <c r="G3" i="38"/>
  <c r="E3" i="38"/>
  <c r="C3" i="38"/>
  <c r="H1" i="38"/>
  <c r="J1" i="38" s="1"/>
  <c r="L1" i="38" s="1"/>
  <c r="N1" i="38" s="1"/>
  <c r="D1" i="38"/>
  <c r="L79" i="49"/>
  <c r="I79" i="49"/>
  <c r="F79" i="49"/>
  <c r="L78" i="49"/>
  <c r="I78" i="49"/>
  <c r="F78" i="49"/>
  <c r="L77" i="49"/>
  <c r="I77" i="49"/>
  <c r="F77" i="49"/>
  <c r="L76" i="49"/>
  <c r="I76" i="49"/>
  <c r="F76" i="49"/>
  <c r="L75" i="49"/>
  <c r="I75" i="49"/>
  <c r="F75" i="49"/>
  <c r="L74" i="49"/>
  <c r="I74" i="49"/>
  <c r="F74" i="49"/>
  <c r="L73" i="49"/>
  <c r="I73" i="49"/>
  <c r="F73" i="49"/>
  <c r="L72" i="49"/>
  <c r="I72" i="49"/>
  <c r="F72" i="49"/>
  <c r="L71" i="49"/>
  <c r="I71" i="49"/>
  <c r="F71" i="49"/>
  <c r="L70" i="49"/>
  <c r="I70" i="49"/>
  <c r="F70" i="49"/>
  <c r="L69" i="49"/>
  <c r="I69" i="49"/>
  <c r="F69" i="49"/>
  <c r="L68" i="49"/>
  <c r="I68" i="49"/>
  <c r="F68" i="49"/>
  <c r="L67" i="49"/>
  <c r="I67" i="49"/>
  <c r="F67" i="49"/>
  <c r="L66" i="49"/>
  <c r="I66" i="49"/>
  <c r="F66" i="49"/>
  <c r="L65" i="49"/>
  <c r="I65" i="49"/>
  <c r="F65" i="49"/>
  <c r="L64" i="49"/>
  <c r="I64" i="49"/>
  <c r="F64" i="49"/>
  <c r="L63" i="49"/>
  <c r="I63" i="49"/>
  <c r="F63" i="49"/>
  <c r="L62" i="49"/>
  <c r="I62" i="49"/>
  <c r="F62" i="49"/>
  <c r="L61" i="49"/>
  <c r="I61" i="49"/>
  <c r="F61" i="49"/>
  <c r="L60" i="49"/>
  <c r="I60" i="49"/>
  <c r="F60" i="49"/>
  <c r="L59" i="49"/>
  <c r="I59" i="49"/>
  <c r="F59" i="49"/>
  <c r="L58" i="49"/>
  <c r="I58" i="49"/>
  <c r="F58" i="49"/>
  <c r="L57" i="49"/>
  <c r="I57" i="49"/>
  <c r="F57" i="49"/>
  <c r="L56" i="49"/>
  <c r="I56" i="49"/>
  <c r="F56" i="49"/>
  <c r="L55" i="49"/>
  <c r="I55" i="49"/>
  <c r="F55" i="49"/>
  <c r="L54" i="49"/>
  <c r="I54" i="49"/>
  <c r="F54" i="49"/>
  <c r="L53" i="49"/>
  <c r="I53" i="49"/>
  <c r="F53" i="49"/>
  <c r="L52" i="49"/>
  <c r="I52" i="49"/>
  <c r="F52" i="49"/>
  <c r="L51" i="49"/>
  <c r="I51" i="49"/>
  <c r="F51" i="49"/>
  <c r="L50" i="49"/>
  <c r="I50" i="49"/>
  <c r="F50" i="49"/>
  <c r="L49" i="49"/>
  <c r="I49" i="49"/>
  <c r="F49" i="49"/>
  <c r="L48" i="49"/>
  <c r="I48" i="49"/>
  <c r="F48" i="49"/>
  <c r="L47" i="49"/>
  <c r="I47" i="49"/>
  <c r="F47" i="49"/>
  <c r="L46" i="49"/>
  <c r="I46" i="49"/>
  <c r="F46" i="49"/>
  <c r="L45" i="49"/>
  <c r="I45" i="49"/>
  <c r="F45" i="49"/>
  <c r="L44" i="49"/>
  <c r="I44" i="49"/>
  <c r="F44" i="49"/>
  <c r="L43" i="49"/>
  <c r="I43" i="49"/>
  <c r="F43" i="49"/>
  <c r="L42" i="49"/>
  <c r="I42" i="49"/>
  <c r="F42" i="49"/>
  <c r="L41" i="49"/>
  <c r="I41" i="49"/>
  <c r="F41" i="49"/>
  <c r="L40" i="49"/>
  <c r="I40" i="49"/>
  <c r="F40" i="49"/>
  <c r="L39" i="49"/>
  <c r="I39" i="49"/>
  <c r="F39" i="49"/>
  <c r="L38" i="49"/>
  <c r="I38" i="49"/>
  <c r="F38" i="49"/>
  <c r="L37" i="49"/>
  <c r="I37" i="49"/>
  <c r="F37" i="49"/>
  <c r="L36" i="49"/>
  <c r="I36" i="49"/>
  <c r="F36" i="49"/>
  <c r="L35" i="49"/>
  <c r="I35" i="49"/>
  <c r="F35" i="49"/>
  <c r="L34" i="49"/>
  <c r="I34" i="49"/>
  <c r="F34" i="49"/>
  <c r="L33" i="49"/>
  <c r="I33" i="49"/>
  <c r="F33" i="49"/>
  <c r="L32" i="49"/>
  <c r="I32" i="49"/>
  <c r="F32" i="49"/>
  <c r="L31" i="49"/>
  <c r="I31" i="49"/>
  <c r="F31" i="49"/>
  <c r="L30" i="49"/>
  <c r="I30" i="49"/>
  <c r="F30" i="49"/>
  <c r="L29" i="49"/>
  <c r="I29" i="49"/>
  <c r="F29" i="49"/>
  <c r="L28" i="49"/>
  <c r="I28" i="49"/>
  <c r="F28" i="49"/>
  <c r="L27" i="49"/>
  <c r="I27" i="49"/>
  <c r="F27" i="49"/>
  <c r="L26" i="49"/>
  <c r="I26" i="49"/>
  <c r="F26" i="49"/>
  <c r="L25" i="49"/>
  <c r="I25" i="49"/>
  <c r="F25" i="49"/>
  <c r="L24" i="49"/>
  <c r="I24" i="49"/>
  <c r="F24" i="49"/>
  <c r="L23" i="49"/>
  <c r="I23" i="49"/>
  <c r="F23" i="49"/>
  <c r="L22" i="49"/>
  <c r="I22" i="49"/>
  <c r="F22" i="49"/>
  <c r="L21" i="49"/>
  <c r="I21" i="49"/>
  <c r="F21" i="49"/>
  <c r="L20" i="49"/>
  <c r="I20" i="49"/>
  <c r="F20" i="49"/>
  <c r="L19" i="49"/>
  <c r="I19" i="49"/>
  <c r="F19" i="49"/>
  <c r="L18" i="49"/>
  <c r="I18" i="49"/>
  <c r="F18" i="49"/>
  <c r="L17" i="49"/>
  <c r="I17" i="49"/>
  <c r="F17" i="49"/>
  <c r="L16" i="49"/>
  <c r="I16" i="49"/>
  <c r="F16" i="49"/>
  <c r="L15" i="49"/>
  <c r="I15" i="49"/>
  <c r="F15" i="49"/>
  <c r="L14" i="49"/>
  <c r="I14" i="49"/>
  <c r="F14" i="49"/>
  <c r="L13" i="49"/>
  <c r="I13" i="49"/>
  <c r="F13" i="49"/>
  <c r="L12" i="49"/>
  <c r="I12" i="49"/>
  <c r="F12" i="49"/>
  <c r="L11" i="49"/>
  <c r="I11" i="49"/>
  <c r="F11" i="49"/>
  <c r="L10" i="49"/>
  <c r="I10" i="49"/>
  <c r="F10" i="49"/>
  <c r="L9" i="49"/>
  <c r="I9" i="49"/>
  <c r="F9" i="49"/>
  <c r="L8" i="49"/>
  <c r="I8" i="49"/>
  <c r="F8" i="49"/>
  <c r="L7" i="49"/>
  <c r="I7" i="49"/>
  <c r="F7" i="49"/>
  <c r="L6" i="49"/>
  <c r="I6" i="49"/>
  <c r="F6" i="49"/>
  <c r="L5" i="49"/>
  <c r="I5" i="49"/>
  <c r="F5" i="49"/>
  <c r="L4" i="49"/>
  <c r="I4" i="49"/>
  <c r="F4" i="49"/>
  <c r="L3" i="49"/>
  <c r="I3" i="49"/>
  <c r="F3" i="49"/>
  <c r="L2" i="49"/>
  <c r="I2" i="49"/>
  <c r="F2" i="49"/>
  <c r="AC90" i="36"/>
  <c r="Z90" i="36"/>
  <c r="W90" i="36"/>
  <c r="R90" i="36"/>
  <c r="M90" i="36"/>
  <c r="L90" i="36"/>
  <c r="K90" i="36"/>
  <c r="F90" i="36"/>
  <c r="D90" i="36"/>
  <c r="AC89" i="36"/>
  <c r="Z89" i="36"/>
  <c r="W89" i="36"/>
  <c r="R89" i="36"/>
  <c r="M89" i="36"/>
  <c r="L89" i="36"/>
  <c r="K89" i="36"/>
  <c r="F89" i="36"/>
  <c r="D89" i="36"/>
  <c r="AC88" i="36"/>
  <c r="Z88" i="36"/>
  <c r="W88" i="36"/>
  <c r="R88" i="36"/>
  <c r="M88" i="36"/>
  <c r="L88" i="36"/>
  <c r="K88" i="36"/>
  <c r="F88" i="36"/>
  <c r="D88" i="36"/>
  <c r="AC87" i="36"/>
  <c r="W87" i="36"/>
  <c r="R87" i="36"/>
  <c r="M87" i="36"/>
  <c r="L87" i="36"/>
  <c r="K87" i="36"/>
  <c r="F87" i="36"/>
  <c r="D87" i="36"/>
  <c r="AC86" i="36"/>
  <c r="W86" i="36"/>
  <c r="R86" i="36"/>
  <c r="M86" i="36"/>
  <c r="L86" i="36"/>
  <c r="K86" i="36"/>
  <c r="F86" i="36"/>
  <c r="D86" i="36"/>
  <c r="AC85" i="36"/>
  <c r="Z85" i="36"/>
  <c r="W85" i="36"/>
  <c r="R85" i="36"/>
  <c r="M85" i="36"/>
  <c r="L85" i="36"/>
  <c r="K85" i="36"/>
  <c r="F85" i="36"/>
  <c r="D85" i="36"/>
  <c r="AC84" i="36"/>
  <c r="Z84" i="36"/>
  <c r="W84" i="36"/>
  <c r="R84" i="36"/>
  <c r="M84" i="36"/>
  <c r="L84" i="36"/>
  <c r="K84" i="36"/>
  <c r="F84" i="36"/>
  <c r="D84" i="36"/>
  <c r="AC83" i="36"/>
  <c r="Z83" i="36"/>
  <c r="W83" i="36"/>
  <c r="R83" i="36"/>
  <c r="M83" i="36"/>
  <c r="L83" i="36"/>
  <c r="K83" i="36"/>
  <c r="F83" i="36"/>
  <c r="D83" i="36"/>
  <c r="AC82" i="36"/>
  <c r="Z82" i="36"/>
  <c r="W82" i="36"/>
  <c r="R82" i="36"/>
  <c r="M82" i="36"/>
  <c r="L82" i="36"/>
  <c r="K82" i="36"/>
  <c r="F82" i="36"/>
  <c r="D82" i="36"/>
  <c r="Z81" i="36"/>
  <c r="W81" i="36"/>
  <c r="R81" i="36"/>
  <c r="M81" i="36"/>
  <c r="L81" i="36"/>
  <c r="K81" i="36"/>
  <c r="F81" i="36"/>
  <c r="D81" i="36"/>
  <c r="Z80" i="36"/>
  <c r="W80" i="36"/>
  <c r="R80" i="36"/>
  <c r="M80" i="36"/>
  <c r="L80" i="36"/>
  <c r="K80" i="36"/>
  <c r="F80" i="36"/>
  <c r="D80" i="36"/>
  <c r="AC79" i="36"/>
  <c r="Z79" i="36"/>
  <c r="W79" i="36"/>
  <c r="R79" i="36"/>
  <c r="M79" i="36"/>
  <c r="L79" i="36"/>
  <c r="K79" i="36"/>
  <c r="F79" i="36"/>
  <c r="D79" i="36"/>
  <c r="AC78" i="36"/>
  <c r="Z78" i="36"/>
  <c r="W78" i="36"/>
  <c r="R78" i="36"/>
  <c r="M78" i="36"/>
  <c r="L78" i="36"/>
  <c r="K78" i="36"/>
  <c r="F78" i="36"/>
  <c r="D78" i="36"/>
  <c r="AC77" i="36"/>
  <c r="Z77" i="36"/>
  <c r="W77" i="36"/>
  <c r="R77" i="36"/>
  <c r="M77" i="36"/>
  <c r="L77" i="36"/>
  <c r="K77" i="36"/>
  <c r="F77" i="36"/>
  <c r="D77" i="36"/>
  <c r="AC76" i="36"/>
  <c r="Z76" i="36"/>
  <c r="W76" i="36"/>
  <c r="R76" i="36"/>
  <c r="M76" i="36"/>
  <c r="L76" i="36"/>
  <c r="K76" i="36"/>
  <c r="F76" i="36"/>
  <c r="D76" i="36"/>
  <c r="AC75" i="36"/>
  <c r="Z75" i="36"/>
  <c r="W75" i="36"/>
  <c r="R75" i="36"/>
  <c r="M75" i="36"/>
  <c r="L75" i="36"/>
  <c r="K75" i="36"/>
  <c r="F75" i="36"/>
  <c r="D75" i="36"/>
  <c r="AC74" i="36"/>
  <c r="Z74" i="36"/>
  <c r="W74" i="36"/>
  <c r="R74" i="36"/>
  <c r="M74" i="36"/>
  <c r="L74" i="36"/>
  <c r="K74" i="36"/>
  <c r="F74" i="36"/>
  <c r="D74" i="36"/>
  <c r="AC73" i="36"/>
  <c r="Z73" i="36"/>
  <c r="W73" i="36"/>
  <c r="R73" i="36"/>
  <c r="M73" i="36"/>
  <c r="L73" i="36"/>
  <c r="K73" i="36"/>
  <c r="F73" i="36"/>
  <c r="D73" i="36"/>
  <c r="AC72" i="36"/>
  <c r="Z72" i="36"/>
  <c r="W72" i="36"/>
  <c r="R72" i="36"/>
  <c r="M72" i="36"/>
  <c r="L72" i="36"/>
  <c r="K72" i="36"/>
  <c r="F72" i="36"/>
  <c r="D72" i="36"/>
  <c r="AC71" i="36"/>
  <c r="Z71" i="36"/>
  <c r="W71" i="36"/>
  <c r="R71" i="36"/>
  <c r="M71" i="36"/>
  <c r="L71" i="36"/>
  <c r="K71" i="36"/>
  <c r="F71" i="36"/>
  <c r="D71" i="36"/>
  <c r="AC70" i="36"/>
  <c r="Z70" i="36"/>
  <c r="W70" i="36"/>
  <c r="R70" i="36"/>
  <c r="M70" i="36"/>
  <c r="L70" i="36"/>
  <c r="K70" i="36"/>
  <c r="F70" i="36"/>
  <c r="D70" i="36"/>
  <c r="AC69" i="36"/>
  <c r="W69" i="36"/>
  <c r="R69" i="36"/>
  <c r="M69" i="36"/>
  <c r="L69" i="36"/>
  <c r="K69" i="36"/>
  <c r="F69" i="36"/>
  <c r="D69" i="36"/>
  <c r="AC68" i="36"/>
  <c r="Z68" i="36"/>
  <c r="W68" i="36"/>
  <c r="R68" i="36"/>
  <c r="M68" i="36"/>
  <c r="L68" i="36"/>
  <c r="K68" i="36"/>
  <c r="F68" i="36"/>
  <c r="D68" i="36"/>
  <c r="AC67" i="36"/>
  <c r="Z67" i="36"/>
  <c r="W67" i="36"/>
  <c r="R67" i="36"/>
  <c r="M67" i="36"/>
  <c r="L67" i="36"/>
  <c r="K67" i="36"/>
  <c r="F67" i="36"/>
  <c r="D67" i="36"/>
  <c r="AC66" i="36"/>
  <c r="Z66" i="36"/>
  <c r="W66" i="36"/>
  <c r="R66" i="36"/>
  <c r="M66" i="36"/>
  <c r="L66" i="36"/>
  <c r="K66" i="36"/>
  <c r="F66" i="36"/>
  <c r="D66" i="36"/>
  <c r="AC65" i="36"/>
  <c r="Z65" i="36"/>
  <c r="W65" i="36"/>
  <c r="R65" i="36"/>
  <c r="M65" i="36"/>
  <c r="L65" i="36"/>
  <c r="K65" i="36"/>
  <c r="F65" i="36"/>
  <c r="D65" i="36"/>
  <c r="AC64" i="36"/>
  <c r="Z64" i="36"/>
  <c r="W64" i="36"/>
  <c r="R64" i="36"/>
  <c r="M64" i="36"/>
  <c r="L64" i="36"/>
  <c r="K64" i="36"/>
  <c r="F64" i="36"/>
  <c r="D64" i="36"/>
  <c r="AC63" i="36"/>
  <c r="Z63" i="36"/>
  <c r="W63" i="36"/>
  <c r="R63" i="36"/>
  <c r="M63" i="36"/>
  <c r="L63" i="36"/>
  <c r="K63" i="36"/>
  <c r="F63" i="36"/>
  <c r="D63" i="36"/>
  <c r="AC62" i="36"/>
  <c r="Z62" i="36"/>
  <c r="W62" i="36"/>
  <c r="R62" i="36"/>
  <c r="M62" i="36"/>
  <c r="L62" i="36"/>
  <c r="K62" i="36"/>
  <c r="F62" i="36"/>
  <c r="D62" i="36"/>
  <c r="AC61" i="36"/>
  <c r="Z61" i="36"/>
  <c r="W61" i="36"/>
  <c r="R61" i="36"/>
  <c r="M61" i="36"/>
  <c r="L61" i="36"/>
  <c r="K61" i="36"/>
  <c r="F61" i="36"/>
  <c r="D61" i="36"/>
  <c r="AC60" i="36"/>
  <c r="Z60" i="36"/>
  <c r="W60" i="36"/>
  <c r="R60" i="36"/>
  <c r="M60" i="36"/>
  <c r="L60" i="36"/>
  <c r="K60" i="36"/>
  <c r="F60" i="36"/>
  <c r="D60" i="36"/>
  <c r="AC59" i="36"/>
  <c r="Z59" i="36"/>
  <c r="W59" i="36"/>
  <c r="R59" i="36"/>
  <c r="M59" i="36"/>
  <c r="L59" i="36"/>
  <c r="K59" i="36"/>
  <c r="F59" i="36"/>
  <c r="D59" i="36"/>
  <c r="AC58" i="36"/>
  <c r="Z58" i="36"/>
  <c r="W58" i="36"/>
  <c r="R58" i="36"/>
  <c r="M58" i="36"/>
  <c r="L58" i="36"/>
  <c r="K58" i="36"/>
  <c r="F58" i="36"/>
  <c r="D58" i="36"/>
  <c r="AC57" i="36"/>
  <c r="Z57" i="36"/>
  <c r="W57" i="36"/>
  <c r="R57" i="36"/>
  <c r="M57" i="36"/>
  <c r="L57" i="36"/>
  <c r="K57" i="36"/>
  <c r="F57" i="36"/>
  <c r="D57" i="36"/>
  <c r="AC56" i="36"/>
  <c r="Z56" i="36"/>
  <c r="W56" i="36"/>
  <c r="R56" i="36"/>
  <c r="M56" i="36"/>
  <c r="L56" i="36"/>
  <c r="K56" i="36"/>
  <c r="F56" i="36"/>
  <c r="D56" i="36"/>
  <c r="AC55" i="36"/>
  <c r="Z55" i="36"/>
  <c r="W55" i="36"/>
  <c r="R55" i="36"/>
  <c r="M55" i="36"/>
  <c r="L55" i="36"/>
  <c r="K55" i="36"/>
  <c r="F55" i="36"/>
  <c r="D55" i="36"/>
  <c r="AC54" i="36"/>
  <c r="Z54" i="36"/>
  <c r="W54" i="36"/>
  <c r="R54" i="36"/>
  <c r="M54" i="36"/>
  <c r="L54" i="36"/>
  <c r="K54" i="36"/>
  <c r="F54" i="36"/>
  <c r="D54" i="36"/>
  <c r="AC53" i="36"/>
  <c r="Z53" i="36"/>
  <c r="W53" i="36"/>
  <c r="R53" i="36"/>
  <c r="M53" i="36"/>
  <c r="L53" i="36"/>
  <c r="K53" i="36"/>
  <c r="F53" i="36"/>
  <c r="D53" i="36"/>
  <c r="AC52" i="36"/>
  <c r="Z52" i="36"/>
  <c r="W52" i="36"/>
  <c r="R52" i="36"/>
  <c r="M52" i="36"/>
  <c r="L52" i="36"/>
  <c r="K52" i="36"/>
  <c r="F52" i="36"/>
  <c r="D52" i="36"/>
  <c r="AC51" i="36"/>
  <c r="W51" i="36"/>
  <c r="R51" i="36"/>
  <c r="M51" i="36"/>
  <c r="L51" i="36"/>
  <c r="K51" i="36"/>
  <c r="F51" i="36"/>
  <c r="D51" i="36"/>
  <c r="AC50" i="36"/>
  <c r="W50" i="36"/>
  <c r="R50" i="36"/>
  <c r="M50" i="36"/>
  <c r="L50" i="36"/>
  <c r="K50" i="36"/>
  <c r="F50" i="36"/>
  <c r="D50" i="36"/>
  <c r="AC49" i="36"/>
  <c r="W49" i="36"/>
  <c r="R49" i="36"/>
  <c r="M49" i="36"/>
  <c r="L49" i="36"/>
  <c r="K49" i="36"/>
  <c r="F49" i="36"/>
  <c r="D49" i="36"/>
  <c r="AC48" i="36"/>
  <c r="W48" i="36"/>
  <c r="R48" i="36"/>
  <c r="M48" i="36"/>
  <c r="L48" i="36"/>
  <c r="K48" i="36"/>
  <c r="F48" i="36"/>
  <c r="D48" i="36"/>
  <c r="AC47" i="36"/>
  <c r="W47" i="36"/>
  <c r="R47" i="36"/>
  <c r="M47" i="36"/>
  <c r="L47" i="36"/>
  <c r="K47" i="36"/>
  <c r="F47" i="36"/>
  <c r="D47" i="36"/>
  <c r="AC46" i="36"/>
  <c r="W46" i="36"/>
  <c r="P46" i="36"/>
  <c r="R46" i="36" s="1"/>
  <c r="M46" i="36"/>
  <c r="K46" i="36"/>
  <c r="F46" i="36"/>
  <c r="D46" i="36"/>
  <c r="AC45" i="36"/>
  <c r="W45" i="36"/>
  <c r="P45" i="36"/>
  <c r="L45" i="36" s="1"/>
  <c r="M45" i="36"/>
  <c r="K45" i="36"/>
  <c r="F45" i="36"/>
  <c r="D45" i="36"/>
  <c r="AC44" i="36"/>
  <c r="Z44" i="36"/>
  <c r="W44" i="36"/>
  <c r="P44" i="36"/>
  <c r="R44" i="36" s="1"/>
  <c r="M44" i="36"/>
  <c r="K44" i="36"/>
  <c r="F44" i="36"/>
  <c r="D44" i="36"/>
  <c r="AC43" i="36"/>
  <c r="Z43" i="36"/>
  <c r="W43" i="36"/>
  <c r="R43" i="36"/>
  <c r="M43" i="36"/>
  <c r="L43" i="36"/>
  <c r="K43" i="36"/>
  <c r="F43" i="36"/>
  <c r="D43" i="36"/>
  <c r="AC42" i="36"/>
  <c r="Z42" i="36"/>
  <c r="W42" i="36"/>
  <c r="R42" i="36"/>
  <c r="M42" i="36"/>
  <c r="L42" i="36"/>
  <c r="K42" i="36"/>
  <c r="F42" i="36"/>
  <c r="D42" i="36"/>
  <c r="AC41" i="36"/>
  <c r="Z41" i="36"/>
  <c r="W41" i="36"/>
  <c r="R41" i="36"/>
  <c r="M41" i="36"/>
  <c r="L41" i="36"/>
  <c r="K41" i="36"/>
  <c r="F41" i="36"/>
  <c r="D41" i="36"/>
  <c r="AC40" i="36"/>
  <c r="Z40" i="36"/>
  <c r="W40" i="36"/>
  <c r="R40" i="36"/>
  <c r="M40" i="36"/>
  <c r="L40" i="36"/>
  <c r="K40" i="36"/>
  <c r="F40" i="36"/>
  <c r="D40" i="36"/>
  <c r="AC39" i="36"/>
  <c r="Z39" i="36"/>
  <c r="W39" i="36"/>
  <c r="R39" i="36"/>
  <c r="M39" i="36"/>
  <c r="L39" i="36"/>
  <c r="K39" i="36"/>
  <c r="F39" i="36"/>
  <c r="D39" i="36"/>
  <c r="AC38" i="36"/>
  <c r="Z38" i="36"/>
  <c r="W38" i="36"/>
  <c r="R38" i="36"/>
  <c r="M38" i="36"/>
  <c r="L38" i="36"/>
  <c r="K38" i="36"/>
  <c r="F38" i="36"/>
  <c r="D38" i="36"/>
  <c r="AC37" i="36"/>
  <c r="Z37" i="36"/>
  <c r="W37" i="36"/>
  <c r="R37" i="36"/>
  <c r="M37" i="36"/>
  <c r="L37" i="36"/>
  <c r="K37" i="36"/>
  <c r="F37" i="36"/>
  <c r="D37" i="36"/>
  <c r="AC36" i="36"/>
  <c r="Z36" i="36"/>
  <c r="W36" i="36"/>
  <c r="R36" i="36"/>
  <c r="M36" i="36"/>
  <c r="L36" i="36"/>
  <c r="K36" i="36"/>
  <c r="F36" i="36"/>
  <c r="D36" i="36"/>
  <c r="AC35" i="36"/>
  <c r="Z35" i="36"/>
  <c r="W35" i="36"/>
  <c r="P35" i="36"/>
  <c r="L35" i="36" s="1"/>
  <c r="M35" i="36"/>
  <c r="K35" i="36"/>
  <c r="F35" i="36"/>
  <c r="D35" i="36"/>
  <c r="AC34" i="36"/>
  <c r="Z34" i="36"/>
  <c r="W34" i="36"/>
  <c r="R34" i="36"/>
  <c r="M34" i="36"/>
  <c r="L34" i="36"/>
  <c r="K34" i="36"/>
  <c r="F34" i="36"/>
  <c r="D34" i="36"/>
  <c r="AC33" i="36"/>
  <c r="Z33" i="36"/>
  <c r="W33" i="36"/>
  <c r="R33" i="36"/>
  <c r="M33" i="36"/>
  <c r="L33" i="36"/>
  <c r="K33" i="36"/>
  <c r="F33" i="36"/>
  <c r="D33" i="36"/>
  <c r="AC32" i="36"/>
  <c r="Z32" i="36"/>
  <c r="W32" i="36"/>
  <c r="R32" i="36"/>
  <c r="M32" i="36"/>
  <c r="L32" i="36"/>
  <c r="K32" i="36"/>
  <c r="F32" i="36"/>
  <c r="D32" i="36"/>
  <c r="AC31" i="36"/>
  <c r="Z31" i="36"/>
  <c r="W31" i="36"/>
  <c r="R31" i="36"/>
  <c r="M31" i="36"/>
  <c r="L31" i="36"/>
  <c r="K31" i="36"/>
  <c r="F31" i="36"/>
  <c r="D31" i="36"/>
  <c r="AC30" i="36"/>
  <c r="Z30" i="36"/>
  <c r="W30" i="36"/>
  <c r="R30" i="36"/>
  <c r="M30" i="36"/>
  <c r="L30" i="36"/>
  <c r="K30" i="36"/>
  <c r="F30" i="36"/>
  <c r="D30" i="36"/>
  <c r="AC29" i="36"/>
  <c r="Z29" i="36"/>
  <c r="W29" i="36"/>
  <c r="R29" i="36"/>
  <c r="M29" i="36"/>
  <c r="L29" i="36"/>
  <c r="K29" i="36"/>
  <c r="F29" i="36"/>
  <c r="D29" i="36"/>
  <c r="AC28" i="36"/>
  <c r="Z28" i="36"/>
  <c r="W28" i="36"/>
  <c r="R28" i="36"/>
  <c r="M28" i="36"/>
  <c r="L28" i="36"/>
  <c r="K28" i="36"/>
  <c r="F28" i="36"/>
  <c r="D28" i="36"/>
  <c r="AC27" i="36"/>
  <c r="Z27" i="36"/>
  <c r="W27" i="36"/>
  <c r="R27" i="36"/>
  <c r="M27" i="36"/>
  <c r="L27" i="36"/>
  <c r="K27" i="36"/>
  <c r="F27" i="36"/>
  <c r="D27" i="36"/>
  <c r="AC26" i="36"/>
  <c r="Z26" i="36"/>
  <c r="W26" i="36"/>
  <c r="R26" i="36"/>
  <c r="M26" i="36"/>
  <c r="L26" i="36"/>
  <c r="K26" i="36"/>
  <c r="F26" i="36"/>
  <c r="D26" i="36"/>
  <c r="AC25" i="36"/>
  <c r="Z25" i="36"/>
  <c r="W25" i="36"/>
  <c r="R25" i="36"/>
  <c r="M25" i="36"/>
  <c r="L25" i="36"/>
  <c r="K25" i="36"/>
  <c r="F25" i="36"/>
  <c r="D25" i="36"/>
  <c r="AC24" i="36"/>
  <c r="Z24" i="36"/>
  <c r="W24" i="36"/>
  <c r="R24" i="36"/>
  <c r="M24" i="36"/>
  <c r="L24" i="36"/>
  <c r="K24" i="36"/>
  <c r="F24" i="36"/>
  <c r="D24" i="36"/>
  <c r="AC23" i="36"/>
  <c r="Z23" i="36"/>
  <c r="W23" i="36"/>
  <c r="R23" i="36"/>
  <c r="M23" i="36"/>
  <c r="L23" i="36"/>
  <c r="K23" i="36"/>
  <c r="F23" i="36"/>
  <c r="D23" i="36"/>
  <c r="AC22" i="36"/>
  <c r="Z22" i="36"/>
  <c r="W22" i="36"/>
  <c r="R22" i="36"/>
  <c r="M22" i="36"/>
  <c r="L22" i="36"/>
  <c r="K22" i="36"/>
  <c r="F22" i="36"/>
  <c r="D22" i="36"/>
  <c r="AC21" i="36"/>
  <c r="Z21" i="36"/>
  <c r="W21" i="36"/>
  <c r="R21" i="36"/>
  <c r="M21" i="36"/>
  <c r="L21" i="36"/>
  <c r="K21" i="36"/>
  <c r="F21" i="36"/>
  <c r="D21" i="36"/>
  <c r="AC20" i="36"/>
  <c r="Z20" i="36"/>
  <c r="W20" i="36"/>
  <c r="R20" i="36"/>
  <c r="M20" i="36"/>
  <c r="L20" i="36"/>
  <c r="K20" i="36"/>
  <c r="F20" i="36"/>
  <c r="D20" i="36"/>
  <c r="AC19" i="36"/>
  <c r="Z19" i="36"/>
  <c r="W19" i="36"/>
  <c r="R19" i="36"/>
  <c r="M19" i="36"/>
  <c r="L19" i="36"/>
  <c r="K19" i="36"/>
  <c r="F19" i="36"/>
  <c r="D19" i="36"/>
  <c r="AC18" i="36"/>
  <c r="Z18" i="36"/>
  <c r="W18" i="36"/>
  <c r="R18" i="36"/>
  <c r="M18" i="36"/>
  <c r="L18" i="36"/>
  <c r="K18" i="36"/>
  <c r="F18" i="36"/>
  <c r="D18" i="36"/>
  <c r="AC17" i="36"/>
  <c r="Z17" i="36"/>
  <c r="W17" i="36"/>
  <c r="R17" i="36"/>
  <c r="M17" i="36"/>
  <c r="L17" i="36"/>
  <c r="K17" i="36"/>
  <c r="F17" i="36"/>
  <c r="D17" i="36"/>
  <c r="AC16" i="36"/>
  <c r="Z16" i="36"/>
  <c r="W16" i="36"/>
  <c r="R16" i="36"/>
  <c r="M16" i="36"/>
  <c r="L16" i="36"/>
  <c r="K16" i="36"/>
  <c r="F16" i="36"/>
  <c r="D16" i="36"/>
  <c r="AC15" i="36"/>
  <c r="Z15" i="36"/>
  <c r="W15" i="36"/>
  <c r="R15" i="36"/>
  <c r="M15" i="36"/>
  <c r="L15" i="36"/>
  <c r="K15" i="36"/>
  <c r="F15" i="36"/>
  <c r="D15" i="36"/>
  <c r="AC14" i="36"/>
  <c r="Z14" i="36"/>
  <c r="W14" i="36"/>
  <c r="R14" i="36"/>
  <c r="M14" i="36"/>
  <c r="L14" i="36"/>
  <c r="K14" i="36"/>
  <c r="F14" i="36"/>
  <c r="D14" i="36"/>
  <c r="AC13" i="36"/>
  <c r="Z13" i="36"/>
  <c r="W13" i="36"/>
  <c r="R13" i="36"/>
  <c r="M13" i="36"/>
  <c r="L13" i="36"/>
  <c r="K13" i="36"/>
  <c r="F13" i="36"/>
  <c r="D13" i="36"/>
  <c r="AC12" i="36"/>
  <c r="Z12" i="36"/>
  <c r="W12" i="36"/>
  <c r="R12" i="36"/>
  <c r="M12" i="36"/>
  <c r="L12" i="36"/>
  <c r="K12" i="36"/>
  <c r="F12" i="36"/>
  <c r="D12" i="36"/>
  <c r="AC11" i="36"/>
  <c r="Z11" i="36"/>
  <c r="W11" i="36"/>
  <c r="R11" i="36"/>
  <c r="M11" i="36"/>
  <c r="L11" i="36"/>
  <c r="K11" i="36"/>
  <c r="F11" i="36"/>
  <c r="D11" i="36"/>
  <c r="AC10" i="36"/>
  <c r="Z10" i="36"/>
  <c r="W10" i="36"/>
  <c r="R10" i="36"/>
  <c r="M10" i="36"/>
  <c r="L10" i="36"/>
  <c r="K10" i="36"/>
  <c r="F10" i="36"/>
  <c r="D10" i="36"/>
  <c r="AC9" i="36"/>
  <c r="Z9" i="36"/>
  <c r="W9" i="36"/>
  <c r="R9" i="36"/>
  <c r="M9" i="36"/>
  <c r="L9" i="36"/>
  <c r="K9" i="36"/>
  <c r="F9" i="36"/>
  <c r="D9" i="36"/>
  <c r="AC8" i="36"/>
  <c r="Z8" i="36"/>
  <c r="W8" i="36"/>
  <c r="R8" i="36"/>
  <c r="M8" i="36"/>
  <c r="L8" i="36"/>
  <c r="K8" i="36"/>
  <c r="F8" i="36"/>
  <c r="D8" i="36"/>
  <c r="AC7" i="36"/>
  <c r="Z7" i="36"/>
  <c r="W7" i="36"/>
  <c r="R7" i="36"/>
  <c r="M7" i="36"/>
  <c r="L7" i="36"/>
  <c r="K7" i="36"/>
  <c r="F7" i="36"/>
  <c r="D7" i="36"/>
  <c r="AC6" i="36"/>
  <c r="Z6" i="36"/>
  <c r="W6" i="36"/>
  <c r="R6" i="36"/>
  <c r="M6" i="36"/>
  <c r="L6" i="36"/>
  <c r="K6" i="36"/>
  <c r="F6" i="36"/>
  <c r="D6" i="36"/>
  <c r="AC5" i="36"/>
  <c r="Z5" i="36"/>
  <c r="W5" i="36"/>
  <c r="R5" i="36"/>
  <c r="M5" i="36"/>
  <c r="L5" i="36"/>
  <c r="K5" i="36"/>
  <c r="F5" i="36"/>
  <c r="D5" i="36"/>
  <c r="AC4" i="36"/>
  <c r="Z4" i="36"/>
  <c r="W4" i="36"/>
  <c r="R4" i="36"/>
  <c r="M4" i="36"/>
  <c r="L4" i="36"/>
  <c r="K4" i="36"/>
  <c r="F4" i="36"/>
  <c r="D4" i="36"/>
  <c r="AC3" i="36"/>
  <c r="Z3" i="36"/>
  <c r="W3" i="36"/>
  <c r="R3" i="36"/>
  <c r="M3" i="36"/>
  <c r="L3" i="36"/>
  <c r="K3" i="36"/>
  <c r="F3" i="36"/>
  <c r="D3" i="36"/>
  <c r="AC2" i="36"/>
  <c r="Z2" i="36"/>
  <c r="W2" i="36"/>
  <c r="R2" i="36"/>
  <c r="M2" i="36"/>
  <c r="L2" i="36"/>
  <c r="K2" i="36"/>
  <c r="F2" i="36"/>
  <c r="D2" i="36"/>
  <c r="E90" i="57"/>
  <c r="E91" i="57"/>
  <c r="E42" i="57"/>
  <c r="A42" i="57" s="1"/>
  <c r="E19" i="57"/>
  <c r="A19" i="57" s="1"/>
  <c r="E84" i="57"/>
  <c r="A84" i="57" s="1"/>
  <c r="E83" i="57"/>
  <c r="A83" i="57" s="1"/>
  <c r="E88" i="57"/>
  <c r="A88" i="57" s="1"/>
  <c r="E82" i="57"/>
  <c r="A82" i="57" s="1"/>
  <c r="E68" i="57"/>
  <c r="A68" i="57" s="1"/>
  <c r="E67" i="57"/>
  <c r="A67" i="57" s="1"/>
  <c r="E55" i="57"/>
  <c r="A55" i="57" s="1"/>
  <c r="E54" i="57"/>
  <c r="A54" i="57" s="1"/>
  <c r="E89" i="57"/>
  <c r="E93" i="57"/>
  <c r="E92" i="57"/>
  <c r="E71" i="57"/>
  <c r="A71" i="57" s="1"/>
  <c r="E70" i="57"/>
  <c r="E58" i="57"/>
  <c r="A58" i="57" s="1"/>
  <c r="E57" i="57"/>
  <c r="A57" i="57" s="1"/>
  <c r="E56" i="57"/>
  <c r="A56" i="57" s="1"/>
  <c r="E25" i="57"/>
  <c r="A25" i="57" s="1"/>
  <c r="E24" i="57"/>
  <c r="A24" i="57" s="1"/>
  <c r="E23" i="57"/>
  <c r="A23" i="57" s="1"/>
  <c r="E38" i="57"/>
  <c r="A38" i="57" s="1"/>
  <c r="E37" i="57"/>
  <c r="A37" i="57" s="1"/>
  <c r="E36" i="57"/>
  <c r="A36" i="57" s="1"/>
  <c r="E9" i="57"/>
  <c r="A9" i="57" s="1"/>
  <c r="E8" i="57"/>
  <c r="A8" i="57" s="1"/>
  <c r="E20" i="57"/>
  <c r="A20" i="57" s="1"/>
  <c r="E35" i="57"/>
  <c r="A35" i="57" s="1"/>
  <c r="E34" i="57"/>
  <c r="E32" i="57"/>
  <c r="A32" i="57" s="1"/>
  <c r="E31" i="57"/>
  <c r="A31" i="57" s="1"/>
  <c r="E22" i="57"/>
  <c r="A22" i="57" s="1"/>
  <c r="E21" i="57"/>
  <c r="A21" i="57" s="1"/>
  <c r="E30" i="57"/>
  <c r="A30" i="57" s="1"/>
  <c r="E29" i="57"/>
  <c r="A29" i="57" s="1"/>
  <c r="E18" i="57"/>
  <c r="A18" i="57" s="1"/>
  <c r="E15" i="57"/>
  <c r="A15" i="57" s="1"/>
  <c r="E28" i="57"/>
  <c r="A28" i="57" s="1"/>
  <c r="E27" i="57"/>
  <c r="A27" i="57" s="1"/>
  <c r="E26" i="57"/>
  <c r="A26" i="57" s="1"/>
  <c r="E17" i="57"/>
  <c r="A17" i="57" s="1"/>
  <c r="E16" i="57"/>
  <c r="E7" i="57"/>
  <c r="A7" i="57" s="1"/>
  <c r="E6" i="57"/>
  <c r="A6" i="57" s="1"/>
  <c r="E5" i="57"/>
  <c r="A5" i="57" s="1"/>
  <c r="E59" i="57"/>
  <c r="A59" i="57" s="1"/>
  <c r="E46" i="57"/>
  <c r="A46" i="57" s="1"/>
  <c r="E45" i="57"/>
  <c r="A45" i="57" s="1"/>
  <c r="E44" i="57"/>
  <c r="A44" i="57" s="1"/>
  <c r="E43" i="57"/>
  <c r="A43" i="57" s="1"/>
  <c r="E80" i="57"/>
  <c r="A80" i="57" s="1"/>
  <c r="E79" i="57"/>
  <c r="A79" i="57" s="1"/>
  <c r="E78" i="57"/>
  <c r="A78" i="57" s="1"/>
  <c r="E69" i="57"/>
  <c r="E87" i="57"/>
  <c r="E86" i="57"/>
  <c r="E85" i="57"/>
  <c r="E77" i="57"/>
  <c r="A77" i="57" s="1"/>
  <c r="E76" i="57"/>
  <c r="A76" i="57" s="1"/>
  <c r="E75" i="57"/>
  <c r="A75" i="57" s="1"/>
  <c r="E74" i="57"/>
  <c r="A74" i="57" s="1"/>
  <c r="E73" i="57"/>
  <c r="A73" i="57" s="1"/>
  <c r="E72" i="57"/>
  <c r="A72" i="57" s="1"/>
  <c r="E13" i="57"/>
  <c r="A13" i="57" s="1"/>
  <c r="E12" i="57"/>
  <c r="A12" i="57" s="1"/>
  <c r="E10" i="57"/>
  <c r="A10" i="57" s="1"/>
  <c r="E4" i="57"/>
  <c r="A4" i="57" s="1"/>
  <c r="E3" i="57"/>
  <c r="A3" i="57" s="1"/>
  <c r="E2" i="57"/>
  <c r="A2" i="57" s="1"/>
  <c r="E11" i="57"/>
  <c r="A11" i="57" s="1"/>
  <c r="E53" i="57"/>
  <c r="A53" i="57" s="1"/>
  <c r="E52" i="57"/>
  <c r="A52" i="57" s="1"/>
  <c r="E51" i="57"/>
  <c r="A51" i="57" s="1"/>
  <c r="E66" i="57"/>
  <c r="A66" i="57" s="1"/>
  <c r="E65" i="57"/>
  <c r="A65" i="57" s="1"/>
  <c r="E64" i="57"/>
  <c r="A64" i="57" s="1"/>
  <c r="E41" i="57"/>
  <c r="A41" i="57" s="1"/>
  <c r="E40" i="57"/>
  <c r="A40" i="57" s="1"/>
  <c r="E39" i="57"/>
  <c r="A39" i="57" s="1"/>
  <c r="E50" i="57"/>
  <c r="A50" i="57" s="1"/>
  <c r="E49" i="57"/>
  <c r="A49" i="57" s="1"/>
  <c r="E48" i="57"/>
  <c r="A48" i="57" s="1"/>
  <c r="E47" i="57"/>
  <c r="A47" i="57" s="1"/>
  <c r="E63" i="57"/>
  <c r="A63" i="57" s="1"/>
  <c r="E62" i="57"/>
  <c r="A62" i="57" s="1"/>
  <c r="E61" i="57"/>
  <c r="A61" i="57" s="1"/>
  <c r="E60" i="57"/>
  <c r="A60" i="57" s="1"/>
  <c r="F91" i="51"/>
  <c r="E91" i="51"/>
  <c r="F90" i="51"/>
  <c r="E90" i="51"/>
  <c r="F89" i="51"/>
  <c r="E89" i="51"/>
  <c r="F88" i="51"/>
  <c r="E88" i="51"/>
  <c r="F87" i="51"/>
  <c r="E87" i="51"/>
  <c r="F86" i="51"/>
  <c r="E86" i="51"/>
  <c r="F85" i="51"/>
  <c r="E85" i="51"/>
  <c r="F84" i="51"/>
  <c r="E84" i="51"/>
  <c r="F83" i="51"/>
  <c r="E83" i="51"/>
  <c r="F82" i="51"/>
  <c r="E82" i="51"/>
  <c r="F81" i="51"/>
  <c r="E81" i="51"/>
  <c r="F80" i="51"/>
  <c r="E80" i="51"/>
  <c r="F79" i="51"/>
  <c r="E79" i="51"/>
  <c r="F78" i="51"/>
  <c r="E78" i="51"/>
  <c r="F77" i="51"/>
  <c r="E77" i="51"/>
  <c r="F76" i="51"/>
  <c r="E76" i="51"/>
  <c r="F75" i="51"/>
  <c r="E75" i="51"/>
  <c r="F74" i="51"/>
  <c r="E74" i="51"/>
  <c r="F73" i="51"/>
  <c r="E73" i="51"/>
  <c r="F72" i="51"/>
  <c r="E72" i="51"/>
  <c r="F71" i="51"/>
  <c r="E71" i="51"/>
  <c r="F70" i="51"/>
  <c r="E70" i="51"/>
  <c r="F69" i="51"/>
  <c r="E69" i="51"/>
  <c r="F68" i="51"/>
  <c r="E68" i="51"/>
  <c r="F67" i="51"/>
  <c r="E67" i="51"/>
  <c r="F66" i="51"/>
  <c r="E66" i="51"/>
  <c r="F65" i="51"/>
  <c r="E65" i="51"/>
  <c r="F64" i="51"/>
  <c r="E64" i="51"/>
  <c r="F63" i="51"/>
  <c r="E63" i="51"/>
  <c r="F62" i="51"/>
  <c r="E62" i="51"/>
  <c r="F61" i="51"/>
  <c r="E61" i="51"/>
  <c r="F60" i="51"/>
  <c r="E60" i="51"/>
  <c r="F59" i="51"/>
  <c r="E59" i="51"/>
  <c r="F58" i="51"/>
  <c r="E58" i="51"/>
  <c r="F57" i="51"/>
  <c r="E57" i="51"/>
  <c r="F56" i="51"/>
  <c r="E56" i="51"/>
  <c r="F55" i="51"/>
  <c r="E55" i="51"/>
  <c r="F54" i="51"/>
  <c r="E54" i="51"/>
  <c r="F53" i="51"/>
  <c r="E53" i="51"/>
  <c r="F52" i="51"/>
  <c r="E52" i="51"/>
  <c r="F51" i="51"/>
  <c r="E51" i="51"/>
  <c r="F50" i="51"/>
  <c r="E50" i="51"/>
  <c r="F49" i="51"/>
  <c r="E49" i="51"/>
  <c r="F48" i="51"/>
  <c r="E48" i="51"/>
  <c r="F47" i="51"/>
  <c r="E47" i="51"/>
  <c r="F46" i="51"/>
  <c r="E46" i="51"/>
  <c r="F45" i="51"/>
  <c r="E45" i="51"/>
  <c r="F44" i="51"/>
  <c r="E44" i="51"/>
  <c r="F43" i="51"/>
  <c r="E43" i="51"/>
  <c r="F42" i="51"/>
  <c r="E42" i="51"/>
  <c r="F41" i="51"/>
  <c r="E41" i="51"/>
  <c r="F40" i="51"/>
  <c r="E40" i="51"/>
  <c r="F39" i="51"/>
  <c r="E39" i="51"/>
  <c r="F38" i="51"/>
  <c r="E38" i="51"/>
  <c r="F37" i="51"/>
  <c r="E37" i="51"/>
  <c r="F36" i="51"/>
  <c r="E36" i="51"/>
  <c r="F35" i="51"/>
  <c r="E35" i="51"/>
  <c r="F34" i="51"/>
  <c r="E34" i="51"/>
  <c r="F33" i="51"/>
  <c r="E33" i="51"/>
  <c r="F32" i="51"/>
  <c r="E32" i="51"/>
  <c r="F31" i="51"/>
  <c r="E31" i="51"/>
  <c r="F30" i="51"/>
  <c r="E30" i="51"/>
  <c r="F29" i="51"/>
  <c r="E29" i="51"/>
  <c r="F28" i="51"/>
  <c r="E28" i="51"/>
  <c r="F27" i="51"/>
  <c r="E27" i="51"/>
  <c r="F26" i="51"/>
  <c r="E26" i="51"/>
  <c r="F25" i="51"/>
  <c r="E25" i="51"/>
  <c r="F24" i="51"/>
  <c r="E24" i="51"/>
  <c r="F23" i="51"/>
  <c r="E23" i="51"/>
  <c r="F22" i="51"/>
  <c r="E22" i="51"/>
  <c r="F21" i="51"/>
  <c r="E21" i="51"/>
  <c r="F20" i="51"/>
  <c r="E20" i="51"/>
  <c r="F19" i="51"/>
  <c r="E19" i="51"/>
  <c r="F18" i="51"/>
  <c r="E18" i="51"/>
  <c r="F17" i="51"/>
  <c r="E17" i="51"/>
  <c r="F16" i="51"/>
  <c r="E16" i="51"/>
  <c r="F15" i="51"/>
  <c r="E15" i="51"/>
  <c r="M14" i="51"/>
  <c r="L14" i="51"/>
  <c r="K14" i="51"/>
  <c r="J14" i="51"/>
  <c r="F14" i="51"/>
  <c r="E14" i="51"/>
  <c r="P13" i="51"/>
  <c r="O13" i="51"/>
  <c r="N13" i="51"/>
  <c r="L13" i="51"/>
  <c r="K13" i="51"/>
  <c r="J13" i="51"/>
  <c r="F13" i="51"/>
  <c r="E13" i="51"/>
  <c r="P12" i="51"/>
  <c r="O12" i="51"/>
  <c r="N12" i="51"/>
  <c r="L12" i="51"/>
  <c r="K12" i="51"/>
  <c r="J12" i="51"/>
  <c r="F12" i="51"/>
  <c r="E12" i="51"/>
  <c r="P11" i="51"/>
  <c r="M11" i="51"/>
  <c r="L11" i="51"/>
  <c r="F11" i="51"/>
  <c r="E11" i="51"/>
  <c r="P10" i="51"/>
  <c r="M10" i="51"/>
  <c r="L10" i="51"/>
  <c r="K10" i="51"/>
  <c r="J10" i="51"/>
  <c r="F10" i="51"/>
  <c r="E10" i="51"/>
  <c r="M9" i="51"/>
  <c r="L9" i="51"/>
  <c r="K9" i="51"/>
  <c r="J9" i="51"/>
  <c r="F9" i="51"/>
  <c r="E9" i="51"/>
  <c r="M8" i="51"/>
  <c r="L8" i="51"/>
  <c r="K8" i="51"/>
  <c r="J8" i="51"/>
  <c r="F8" i="51"/>
  <c r="E8" i="51"/>
  <c r="M7" i="51"/>
  <c r="L7" i="51"/>
  <c r="K7" i="51"/>
  <c r="F7" i="51"/>
  <c r="E7" i="51"/>
  <c r="M6" i="51"/>
  <c r="L6" i="51"/>
  <c r="F6" i="51"/>
  <c r="E6" i="51"/>
  <c r="Q5" i="51"/>
  <c r="Q7" i="51" s="1"/>
  <c r="F5" i="51"/>
  <c r="E5" i="51"/>
  <c r="D35" i="39"/>
  <c r="B3" i="39"/>
  <c r="H49" i="26"/>
  <c r="G49" i="26"/>
  <c r="I47" i="26"/>
  <c r="I46" i="26"/>
  <c r="I45" i="26"/>
  <c r="I44" i="26"/>
  <c r="I43" i="26"/>
  <c r="I42" i="26"/>
  <c r="I41" i="26"/>
  <c r="I40" i="26"/>
  <c r="I39" i="26"/>
  <c r="I38" i="26"/>
  <c r="I37" i="26"/>
  <c r="I36" i="26"/>
  <c r="I35" i="26"/>
  <c r="I34" i="26"/>
  <c r="I33" i="26"/>
  <c r="I32" i="26"/>
  <c r="I31" i="26"/>
  <c r="I30" i="26"/>
  <c r="I29" i="26"/>
  <c r="I28" i="26"/>
  <c r="I27" i="26"/>
  <c r="I26" i="26"/>
  <c r="I25" i="26"/>
  <c r="I24" i="26"/>
  <c r="I23" i="26"/>
  <c r="I22" i="26"/>
  <c r="I21" i="26"/>
  <c r="I20" i="26"/>
  <c r="F11" i="26"/>
  <c r="F10" i="26"/>
  <c r="F9" i="26"/>
  <c r="F8" i="26"/>
  <c r="F7" i="26"/>
  <c r="F6" i="26"/>
  <c r="F5" i="26"/>
  <c r="F4" i="26"/>
  <c r="J169" i="11"/>
  <c r="F169" i="11"/>
  <c r="J168" i="11"/>
  <c r="F168" i="11"/>
  <c r="J167" i="11"/>
  <c r="F167" i="11"/>
  <c r="J166" i="11"/>
  <c r="F166" i="11"/>
  <c r="J165" i="11"/>
  <c r="F165" i="11"/>
  <c r="J164" i="11"/>
  <c r="F164" i="11"/>
  <c r="J163" i="11"/>
  <c r="F163" i="11"/>
  <c r="J161" i="11"/>
  <c r="F161" i="11"/>
  <c r="J160" i="11"/>
  <c r="F160" i="11"/>
  <c r="J159" i="11"/>
  <c r="F159" i="11"/>
  <c r="J158" i="11"/>
  <c r="F158" i="11"/>
  <c r="J157" i="11"/>
  <c r="F157" i="11"/>
  <c r="J156" i="11"/>
  <c r="F156" i="11"/>
  <c r="J155" i="11"/>
  <c r="F155" i="11"/>
  <c r="J154" i="11"/>
  <c r="F154" i="11"/>
  <c r="J153" i="11"/>
  <c r="F153" i="11"/>
  <c r="J152" i="11"/>
  <c r="F152" i="11"/>
  <c r="J151" i="11"/>
  <c r="F151" i="11"/>
  <c r="J146" i="11"/>
  <c r="F146" i="11"/>
  <c r="J145" i="11"/>
  <c r="F145" i="11"/>
  <c r="J144" i="11"/>
  <c r="F144" i="11"/>
  <c r="J143" i="11"/>
  <c r="F143" i="11"/>
  <c r="J142" i="11"/>
  <c r="F142" i="11"/>
  <c r="J141" i="11"/>
  <c r="F141" i="11"/>
  <c r="F122" i="11"/>
  <c r="F121" i="11"/>
  <c r="J117" i="11"/>
  <c r="F117" i="11"/>
  <c r="J116" i="11"/>
  <c r="F116" i="11"/>
  <c r="J115" i="11"/>
  <c r="F115" i="11"/>
  <c r="J114" i="11"/>
  <c r="F114" i="11"/>
  <c r="J113" i="11"/>
  <c r="F113" i="11"/>
  <c r="J112" i="11"/>
  <c r="F112" i="11"/>
  <c r="J111" i="11"/>
  <c r="F111" i="11"/>
  <c r="J109" i="11"/>
  <c r="F109" i="11"/>
  <c r="J108" i="11"/>
  <c r="F108" i="11"/>
  <c r="J107" i="11"/>
  <c r="F107" i="11"/>
  <c r="J106" i="11"/>
  <c r="F106" i="11"/>
  <c r="J105" i="11"/>
  <c r="F105" i="11"/>
  <c r="J104" i="11"/>
  <c r="F104" i="11"/>
  <c r="J103" i="11"/>
  <c r="F103" i="11"/>
  <c r="J102" i="11"/>
  <c r="F102" i="11"/>
  <c r="J101" i="11"/>
  <c r="J100" i="11"/>
  <c r="F100" i="11"/>
  <c r="J99" i="11"/>
  <c r="J98" i="11"/>
  <c r="F98" i="11"/>
  <c r="J97" i="11"/>
  <c r="F97" i="11"/>
  <c r="J96" i="11"/>
  <c r="F96" i="11"/>
  <c r="J95" i="11"/>
  <c r="F95" i="11"/>
  <c r="J94" i="11"/>
  <c r="F94" i="11"/>
  <c r="J93" i="11"/>
  <c r="F93" i="11"/>
  <c r="J92" i="11"/>
  <c r="F92" i="11"/>
  <c r="J91" i="11"/>
  <c r="F91" i="11"/>
  <c r="J90" i="11"/>
  <c r="F90" i="11"/>
  <c r="J89" i="11"/>
  <c r="F89" i="11"/>
  <c r="J88" i="11"/>
  <c r="F88" i="11"/>
  <c r="J87" i="11"/>
  <c r="F87" i="11"/>
  <c r="J86" i="11"/>
  <c r="F86" i="11"/>
  <c r="J85" i="11"/>
  <c r="F85" i="11"/>
  <c r="J84" i="11"/>
  <c r="F84" i="11"/>
  <c r="I88" i="5"/>
  <c r="E88" i="5"/>
  <c r="I87" i="5"/>
  <c r="E87" i="5"/>
  <c r="I86" i="5"/>
  <c r="E86" i="5"/>
  <c r="I85" i="5"/>
  <c r="E85" i="5"/>
  <c r="I84" i="5"/>
  <c r="E84" i="5"/>
  <c r="I83" i="5"/>
  <c r="E83" i="5"/>
  <c r="I82" i="5"/>
  <c r="E82" i="5"/>
  <c r="I80" i="5"/>
  <c r="E80" i="5"/>
  <c r="I79" i="5"/>
  <c r="E79" i="5"/>
  <c r="I78" i="5"/>
  <c r="E78" i="5"/>
  <c r="I77" i="5"/>
  <c r="E77" i="5"/>
  <c r="I76" i="5"/>
  <c r="E76" i="5"/>
  <c r="I75" i="5"/>
  <c r="E75" i="5"/>
  <c r="I74" i="5"/>
  <c r="E74" i="5"/>
  <c r="I73" i="5"/>
  <c r="E73" i="5"/>
  <c r="I72" i="5"/>
  <c r="E72" i="5"/>
  <c r="I71" i="5"/>
  <c r="E71" i="5"/>
  <c r="I70" i="5"/>
  <c r="E70" i="5"/>
  <c r="I65" i="5"/>
  <c r="E65" i="5"/>
  <c r="I64" i="5"/>
  <c r="E64" i="5"/>
  <c r="I63" i="5"/>
  <c r="E63" i="5"/>
  <c r="I62" i="5"/>
  <c r="E62" i="5"/>
  <c r="I61" i="5"/>
  <c r="E61" i="5"/>
  <c r="I60" i="5"/>
  <c r="E60" i="5"/>
  <c r="G56" i="5"/>
  <c r="E42" i="5"/>
  <c r="E41" i="5"/>
  <c r="G40" i="5"/>
  <c r="G39" i="5"/>
  <c r="G38" i="5"/>
  <c r="I37" i="5"/>
  <c r="E37" i="5"/>
  <c r="I36" i="5"/>
  <c r="E36" i="5"/>
  <c r="I35" i="5"/>
  <c r="E35" i="5"/>
  <c r="I34" i="5"/>
  <c r="E34" i="5"/>
  <c r="I33" i="5"/>
  <c r="E33" i="5"/>
  <c r="I32" i="5"/>
  <c r="E32" i="5"/>
  <c r="I31" i="5"/>
  <c r="E31" i="5"/>
  <c r="I29" i="5"/>
  <c r="E29" i="5"/>
  <c r="I28" i="5"/>
  <c r="E28" i="5"/>
  <c r="I27" i="5"/>
  <c r="E27" i="5"/>
  <c r="I26" i="5"/>
  <c r="E26" i="5"/>
  <c r="I25" i="5"/>
  <c r="E25" i="5"/>
  <c r="I24" i="5"/>
  <c r="E24" i="5"/>
  <c r="I23" i="5"/>
  <c r="E23" i="5"/>
  <c r="I22" i="5"/>
  <c r="E22" i="5"/>
  <c r="I21" i="5"/>
  <c r="I20" i="5"/>
  <c r="E20" i="5"/>
  <c r="I19" i="5"/>
  <c r="I18" i="5"/>
  <c r="E18" i="5"/>
  <c r="I17" i="5"/>
  <c r="E17" i="5"/>
  <c r="I16" i="5"/>
  <c r="E16" i="5"/>
  <c r="I15" i="5"/>
  <c r="E15" i="5"/>
  <c r="I14" i="5"/>
  <c r="E14" i="5"/>
  <c r="I13" i="5"/>
  <c r="E13" i="5"/>
  <c r="I12" i="5"/>
  <c r="E12" i="5"/>
  <c r="I11" i="5"/>
  <c r="E11" i="5"/>
  <c r="I10" i="5"/>
  <c r="E10" i="5"/>
  <c r="I9" i="5"/>
  <c r="E9" i="5"/>
  <c r="I8" i="5"/>
  <c r="E8" i="5"/>
  <c r="I7" i="5"/>
  <c r="E7" i="5"/>
  <c r="I6" i="5"/>
  <c r="E6" i="5"/>
  <c r="I5" i="5"/>
  <c r="E5" i="5"/>
  <c r="I4" i="5"/>
  <c r="E4" i="5"/>
  <c r="G91" i="2"/>
  <c r="G90" i="2"/>
  <c r="C85" i="2"/>
  <c r="J85" i="2" s="1"/>
  <c r="C84" i="2"/>
  <c r="J84" i="2" s="1"/>
  <c r="C83" i="2"/>
  <c r="J83" i="2" s="1"/>
  <c r="C82" i="2"/>
  <c r="J82" i="2" s="1"/>
  <c r="C81" i="2"/>
  <c r="J81" i="2" s="1"/>
  <c r="C80" i="2"/>
  <c r="J80" i="2" s="1"/>
  <c r="C79" i="2"/>
  <c r="J79" i="2" s="1"/>
  <c r="C78" i="2"/>
  <c r="J78" i="2" s="1"/>
  <c r="C77" i="2"/>
  <c r="J77" i="2" s="1"/>
  <c r="C76" i="2"/>
  <c r="J76" i="2" s="1"/>
  <c r="C75" i="2"/>
  <c r="J75" i="2" s="1"/>
  <c r="H74" i="2"/>
  <c r="G74" i="2"/>
  <c r="C74" i="2"/>
  <c r="J74" i="2" s="1"/>
  <c r="H73" i="2"/>
  <c r="G73" i="2"/>
  <c r="C73" i="2"/>
  <c r="J73" i="2" s="1"/>
  <c r="C72" i="2"/>
  <c r="J72" i="2" s="1"/>
  <c r="C71" i="2"/>
  <c r="J71" i="2" s="1"/>
  <c r="C70" i="2"/>
  <c r="J70" i="2" s="1"/>
  <c r="C69" i="2"/>
  <c r="J69" i="2" s="1"/>
  <c r="C68" i="2"/>
  <c r="J68" i="2" s="1"/>
  <c r="C67" i="2"/>
  <c r="J67" i="2" s="1"/>
  <c r="C66" i="2"/>
  <c r="J66" i="2" s="1"/>
  <c r="C65" i="2"/>
  <c r="J65" i="2" s="1"/>
  <c r="C64" i="2"/>
  <c r="J64" i="2" s="1"/>
  <c r="C63" i="2"/>
  <c r="J63" i="2" s="1"/>
  <c r="C62" i="2"/>
  <c r="J62" i="2" s="1"/>
  <c r="C61" i="2"/>
  <c r="J61" i="2" s="1"/>
  <c r="C60" i="2"/>
  <c r="J60" i="2" s="1"/>
  <c r="C59" i="2"/>
  <c r="J59" i="2" s="1"/>
  <c r="C58" i="2"/>
  <c r="J58" i="2" s="1"/>
  <c r="C57" i="2"/>
  <c r="J57" i="2" s="1"/>
  <c r="C56" i="2"/>
  <c r="J56" i="2" s="1"/>
  <c r="J55" i="2"/>
  <c r="C55" i="2"/>
  <c r="C54" i="2"/>
  <c r="J54" i="2" s="1"/>
  <c r="C53" i="2"/>
  <c r="J53" i="2" s="1"/>
  <c r="C52" i="2"/>
  <c r="J52" i="2" s="1"/>
  <c r="H51" i="2"/>
  <c r="G51" i="2"/>
  <c r="C51" i="2"/>
  <c r="J51" i="2" s="1"/>
  <c r="H50" i="2"/>
  <c r="G50" i="2"/>
  <c r="C50" i="2"/>
  <c r="J50" i="2" s="1"/>
  <c r="C49" i="2"/>
  <c r="J49" i="2" s="1"/>
  <c r="C48" i="2"/>
  <c r="J48" i="2" s="1"/>
  <c r="C47" i="2"/>
  <c r="J47" i="2" s="1"/>
  <c r="C46" i="2"/>
  <c r="J46" i="2" s="1"/>
  <c r="C45" i="2"/>
  <c r="J45" i="2" s="1"/>
  <c r="C44" i="2"/>
  <c r="J44" i="2" s="1"/>
  <c r="C43" i="2"/>
  <c r="J43" i="2" s="1"/>
  <c r="C42" i="2"/>
  <c r="J42" i="2" s="1"/>
  <c r="C41" i="2"/>
  <c r="J41" i="2" s="1"/>
  <c r="C40" i="2"/>
  <c r="J40" i="2" s="1"/>
  <c r="C39" i="2"/>
  <c r="J39" i="2" s="1"/>
  <c r="C38" i="2"/>
  <c r="J38" i="2" s="1"/>
  <c r="C37" i="2"/>
  <c r="J37" i="2" s="1"/>
  <c r="C36" i="2"/>
  <c r="J36" i="2" s="1"/>
  <c r="C35" i="2"/>
  <c r="J35" i="2" s="1"/>
  <c r="C34" i="2"/>
  <c r="J34" i="2" s="1"/>
  <c r="J33" i="2"/>
  <c r="C33" i="2"/>
  <c r="H32" i="2"/>
  <c r="G32" i="2"/>
  <c r="C32" i="2"/>
  <c r="J32" i="2" s="1"/>
  <c r="H31" i="2"/>
  <c r="G31" i="2"/>
  <c r="C31" i="2"/>
  <c r="J31" i="2" s="1"/>
  <c r="H30" i="2"/>
  <c r="G30" i="2"/>
  <c r="C30" i="2"/>
  <c r="J30" i="2" s="1"/>
  <c r="H29" i="2"/>
  <c r="G29" i="2"/>
  <c r="C29" i="2"/>
  <c r="J29" i="2" s="1"/>
  <c r="C28" i="2"/>
  <c r="J28" i="2" s="1"/>
  <c r="C27" i="2"/>
  <c r="J27" i="2" s="1"/>
  <c r="C26" i="2"/>
  <c r="J26" i="2" s="1"/>
  <c r="C25" i="2"/>
  <c r="J25" i="2" s="1"/>
  <c r="C24" i="2"/>
  <c r="J24" i="2" s="1"/>
  <c r="C23" i="2"/>
  <c r="J23" i="2" s="1"/>
  <c r="C22" i="2"/>
  <c r="J22" i="2" s="1"/>
  <c r="J21" i="2"/>
  <c r="C21" i="2"/>
  <c r="C20" i="2"/>
  <c r="J20" i="2" s="1"/>
  <c r="C19" i="2"/>
  <c r="J19" i="2" s="1"/>
  <c r="C18" i="2"/>
  <c r="J18" i="2" s="1"/>
  <c r="J17" i="2"/>
  <c r="C17" i="2"/>
  <c r="C16" i="2"/>
  <c r="J16" i="2" s="1"/>
  <c r="C15" i="2"/>
  <c r="J15" i="2" s="1"/>
  <c r="C14" i="2"/>
  <c r="J14" i="2" s="1"/>
  <c r="C13" i="2"/>
  <c r="J13" i="2" s="1"/>
  <c r="C12" i="2"/>
  <c r="J12" i="2" s="1"/>
  <c r="C11" i="2"/>
  <c r="J11" i="2" s="1"/>
  <c r="C10" i="2"/>
  <c r="J10" i="2" s="1"/>
  <c r="C9" i="2"/>
  <c r="J9" i="2" s="1"/>
  <c r="C8" i="2"/>
  <c r="J8" i="2" s="1"/>
  <c r="C7" i="2"/>
  <c r="J7" i="2" s="1"/>
  <c r="C6" i="2"/>
  <c r="J6" i="2" s="1"/>
  <c r="J5" i="2"/>
  <c r="C5" i="2"/>
  <c r="C4" i="2"/>
  <c r="J4" i="2" s="1"/>
  <c r="C23" i="12"/>
  <c r="G22" i="12"/>
  <c r="N71" i="36" l="1"/>
  <c r="N8" i="36"/>
  <c r="N24" i="36"/>
  <c r="N66" i="36"/>
  <c r="N75" i="36"/>
  <c r="N86" i="36"/>
  <c r="N26" i="36"/>
  <c r="N42" i="36"/>
  <c r="N72" i="36"/>
  <c r="R35" i="36"/>
  <c r="F12" i="26"/>
  <c r="N62" i="36"/>
  <c r="N82" i="36"/>
  <c r="N64" i="36"/>
  <c r="Q11" i="51"/>
  <c r="N81" i="36"/>
  <c r="N17" i="36"/>
  <c r="N33" i="36"/>
  <c r="N40" i="36"/>
  <c r="R5" i="51"/>
  <c r="Q10" i="51"/>
  <c r="N12" i="36"/>
  <c r="N28" i="36"/>
  <c r="N50" i="36"/>
  <c r="L46" i="36"/>
  <c r="N46" i="36" s="1"/>
  <c r="N70" i="36"/>
  <c r="N90" i="36"/>
  <c r="N37" i="36"/>
  <c r="N54" i="36"/>
  <c r="N79" i="36"/>
  <c r="N16" i="36"/>
  <c r="N32" i="36"/>
  <c r="N18" i="36"/>
  <c r="N58" i="36"/>
  <c r="N85" i="36"/>
  <c r="N67" i="36"/>
  <c r="N87" i="36"/>
  <c r="N4" i="36"/>
  <c r="N20" i="36"/>
  <c r="N49" i="36"/>
  <c r="N60" i="36"/>
  <c r="N13" i="36"/>
  <c r="N29" i="36"/>
  <c r="N78" i="36"/>
  <c r="N84" i="36"/>
  <c r="N6" i="36"/>
  <c r="N59" i="36"/>
  <c r="N3" i="36"/>
  <c r="N7" i="36"/>
  <c r="N11" i="36"/>
  <c r="N15" i="36"/>
  <c r="N31" i="36"/>
  <c r="N35" i="36"/>
  <c r="N57" i="36"/>
  <c r="N65" i="36"/>
  <c r="N77" i="36"/>
  <c r="N80" i="36"/>
  <c r="N68" i="36"/>
  <c r="N63" i="36"/>
  <c r="N39" i="36"/>
  <c r="N43" i="36"/>
  <c r="N14" i="36"/>
  <c r="N36" i="36"/>
  <c r="N51" i="36"/>
  <c r="N22" i="36"/>
  <c r="N47" i="36"/>
  <c r="N5" i="36"/>
  <c r="N9" i="36"/>
  <c r="N30" i="36"/>
  <c r="N83" i="36"/>
  <c r="N34" i="36"/>
  <c r="N38" i="36"/>
  <c r="N53" i="36"/>
  <c r="N74" i="36"/>
  <c r="N61" i="36"/>
  <c r="N21" i="36"/>
  <c r="N25" i="36"/>
  <c r="N69" i="36"/>
  <c r="N52" i="36"/>
  <c r="N56" i="36"/>
  <c r="N73" i="36"/>
  <c r="N89" i="36"/>
  <c r="N41" i="36"/>
  <c r="N2" i="36"/>
  <c r="N19" i="36"/>
  <c r="N55" i="36"/>
  <c r="N76" i="36"/>
  <c r="N88" i="36"/>
  <c r="N10" i="36"/>
  <c r="N23" i="36"/>
  <c r="N27" i="36"/>
  <c r="R45" i="36"/>
  <c r="N48" i="36"/>
  <c r="N45" i="36"/>
  <c r="L44" i="36"/>
  <c r="N44" i="36" s="1"/>
  <c r="R7" i="51" l="1"/>
  <c r="R8" i="51"/>
  <c r="R11" i="51"/>
  <c r="R9" i="51"/>
  <c r="S5" i="51"/>
  <c r="R10" i="51"/>
  <c r="S7" i="51" l="1"/>
  <c r="S8" i="51"/>
  <c r="S9" i="51"/>
  <c r="T5" i="51"/>
  <c r="S12" i="51"/>
  <c r="S10" i="51"/>
  <c r="S11" i="51"/>
  <c r="S6" i="51"/>
  <c r="T7" i="51" l="1"/>
  <c r="T8" i="51"/>
  <c r="T9" i="51"/>
  <c r="U5" i="51"/>
  <c r="T11" i="51"/>
  <c r="T10" i="51"/>
  <c r="T12" i="51"/>
  <c r="T6" i="51"/>
  <c r="U8" i="51" l="1"/>
  <c r="U9" i="51"/>
  <c r="V5" i="51"/>
  <c r="U10" i="51"/>
  <c r="U7" i="51"/>
  <c r="U11" i="51"/>
  <c r="U6" i="51"/>
  <c r="U12" i="51"/>
  <c r="V8" i="51" l="1"/>
  <c r="V9" i="51"/>
  <c r="V10" i="51"/>
  <c r="W5" i="51"/>
  <c r="V7" i="51"/>
  <c r="V11" i="51"/>
  <c r="V12" i="51"/>
  <c r="V6" i="51"/>
  <c r="W8" i="51" l="1"/>
  <c r="W9" i="51"/>
  <c r="X5" i="51"/>
  <c r="W10" i="51"/>
  <c r="W6" i="51"/>
  <c r="W11" i="51"/>
  <c r="W12" i="51"/>
  <c r="W7" i="51"/>
  <c r="X9" i="51" l="1"/>
  <c r="X10" i="51"/>
  <c r="X11" i="51"/>
  <c r="X8" i="51"/>
  <c r="X12" i="51"/>
  <c r="X6" i="51"/>
  <c r="X7" i="5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  <author>Edu Peralta Martinez</author>
  </authors>
  <commentList>
    <comment ref="J6" authorId="0" shapeId="0" xr:uid="{00000000-0006-0000-1400-00000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2023: 13.77</t>
        </r>
      </text>
    </comment>
    <comment ref="I16" authorId="1" shapeId="0" xr:uid="{00000000-0006-0000-1400-000002000000}">
      <text>
        <r>
          <rPr>
            <b/>
            <sz val="9"/>
            <color indexed="81"/>
            <rFont val="Tahoma"/>
            <family val="2"/>
          </rPr>
          <t>Edu Peralta Martinez:</t>
        </r>
        <r>
          <rPr>
            <sz val="9"/>
            <color indexed="81"/>
            <rFont val="Tahoma"/>
            <family val="2"/>
          </rPr>
          <t xml:space="preserve">
1905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sulta - CAMPOS" description="Conexión a la consulta 'CAMPOS' en el libro." type="100" refreshedVersion="6" minRefreshableVersion="5">
    <extLst>
      <ext xmlns:x15="http://schemas.microsoft.com/office/spreadsheetml/2010/11/main" uri="{DE250136-89BD-433C-8126-D09CA5730AF9}">
        <x15:connection id="dc051dae-2966-42fc-86de-b4aa5a41275c"/>
      </ext>
    </extLst>
  </connection>
  <connection id="2" xr16:uid="{00000000-0015-0000-FFFF-FFFF01000000}" name="Consulta - Datos_valvulas" description="Conexión a la consulta 'Datos_valvulas' en el libro." type="100" refreshedVersion="6" minRefreshableVersion="5">
    <extLst>
      <ext xmlns:x15="http://schemas.microsoft.com/office/spreadsheetml/2010/11/main" uri="{DE250136-89BD-433C-8126-D09CA5730AF9}">
        <x15:connection id="9ab2eefc-781b-43f3-b228-6a77b4267c8d">
          <x15:oledbPr connection="Provider=Microsoft.Mashup.OleDb.1;Data Source=$Workbook$;Location=Datos_valvulas">
            <x15:dbTables>
              <x15:dbTable name="Datos_valvulas"/>
            </x15:dbTables>
          </x15:oledbPr>
        </x15:connection>
      </ext>
    </extLst>
  </connection>
  <connection id="3" xr16:uid="{00000000-0015-0000-FFFF-FFFF02000000}" name="Consulta - gantt_diario" description="Conexión a la consulta 'gantt_diario' en el libro." type="100" refreshedVersion="6" minRefreshableVersion="5">
    <extLst>
      <ext xmlns:x15="http://schemas.microsoft.com/office/spreadsheetml/2010/11/main" uri="{DE250136-89BD-433C-8126-D09CA5730AF9}">
        <x15:connection id="92809321-f1a6-4164-9b99-c105f9385b64">
          <x15:oledbPr connection="Provider=Microsoft.Mashup.OleDb.1;Data Source=$Workbook$;Location=gantt_diario">
            <x15:dbTables>
              <x15:dbTable name="gantt_diario"/>
            </x15:dbTables>
          </x15:oledbPr>
        </x15:connection>
      </ext>
    </extLst>
  </connection>
  <connection id="4" xr16:uid="{00000000-0015-0000-FFFF-FFFF03000000}" name="Consulta - MAESTRO_LOTES" description="Conexión a la consulta 'MAESTRO_LOTES' en el libro." type="100" refreshedVersion="8" minRefreshableVersion="5">
    <extLst>
      <ext xmlns:x15="http://schemas.microsoft.com/office/spreadsheetml/2010/11/main" uri="{DE250136-89BD-433C-8126-D09CA5730AF9}">
        <x15:connection id="1cc406ea-08a7-40a7-a41f-48a878a4534c"/>
      </ext>
    </extLst>
  </connection>
  <connection id="5" xr16:uid="{00000000-0015-0000-FFFF-FFFF04000000}" name="Consulta - Primera_plantacion" description="Conexión a la consulta 'Primera_plantacion' en el libro." type="100" refreshedVersion="6" minRefreshableVersion="5">
    <extLst>
      <ext xmlns:x15="http://schemas.microsoft.com/office/spreadsheetml/2010/11/main" uri="{DE250136-89BD-433C-8126-D09CA5730AF9}">
        <x15:connection id="13b80ea3-f470-428d-a4f9-c8a02044cef0"/>
      </ext>
    </extLst>
  </connection>
  <connection id="6" xr16:uid="{00000000-0015-0000-FFFF-FFFF05000000}" keepAlive="1" name="ThisWorkbookDataModel" description="Modelo de datos" type="5" refreshedVersion="8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7" xr16:uid="{00000000-0015-0000-FFFF-FFFF06000000}" name="WorksheetConnection_MAESTRO DE LOTES 2026 al 25.11.2025.xlsm!Tabla13" type="102" refreshedVersion="8" minRefreshableVersion="5">
    <extLst>
      <ext xmlns:x15="http://schemas.microsoft.com/office/spreadsheetml/2010/11/main" uri="{DE250136-89BD-433C-8126-D09CA5730AF9}">
        <x15:connection id="Tabla13">
          <x15:rangePr sourceName="_xlcn.WorksheetConnection_MAESTRODELOTES2026al25.11.2025.xlsmTabla131"/>
        </x15:connection>
      </ext>
    </extLst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3">
    <s v="ThisWorkbookDataModel"/>
    <s v="{[Primera_plantacion].[filtro].&amp;[x]}"/>
    <s v="{[MAESTRO_LOTES].[Estado].&amp;[Habilitación 2026]}"/>
  </metadataStrings>
  <mdxMetadata count="2">
    <mdx n="0" f="s">
      <ms ns="1" c="0"/>
    </mdx>
    <mdx n="0" f="s">
      <ms ns="2" c="0"/>
    </mdx>
  </mdxMetadata>
  <valueMetadata count="2">
    <bk>
      <rc t="1" v="0"/>
    </bk>
    <bk>
      <rc t="1" v="1"/>
    </bk>
  </valueMetadata>
</metadata>
</file>

<file path=xl/sharedStrings.xml><?xml version="1.0" encoding="utf-8"?>
<sst xmlns="http://schemas.openxmlformats.org/spreadsheetml/2006/main" count="13834" uniqueCount="681">
  <si>
    <t>Densidades</t>
  </si>
  <si>
    <t>Estado</t>
  </si>
  <si>
    <t>Año Plantacion</t>
  </si>
  <si>
    <t>Tipo Parron</t>
  </si>
  <si>
    <t>SuB Gerencia</t>
  </si>
  <si>
    <t>Jefe Campo</t>
  </si>
  <si>
    <t>A04</t>
  </si>
  <si>
    <t>Producción</t>
  </si>
  <si>
    <t>Español</t>
  </si>
  <si>
    <t>Roger Calapuja</t>
  </si>
  <si>
    <t>Fernando Fernandez</t>
  </si>
  <si>
    <t>A05</t>
  </si>
  <si>
    <t>Oppen Gable</t>
  </si>
  <si>
    <t>A06</t>
  </si>
  <si>
    <t>B05</t>
  </si>
  <si>
    <t>B06</t>
  </si>
  <si>
    <t>C04</t>
  </si>
  <si>
    <t>Dany Giron</t>
  </si>
  <si>
    <t>C05</t>
  </si>
  <si>
    <t>C06</t>
  </si>
  <si>
    <t>D01</t>
  </si>
  <si>
    <t>D02</t>
  </si>
  <si>
    <t>D03</t>
  </si>
  <si>
    <t>D04</t>
  </si>
  <si>
    <t>D05</t>
  </si>
  <si>
    <t>D06</t>
  </si>
  <si>
    <t>E12</t>
  </si>
  <si>
    <t>Danitza Celi</t>
  </si>
  <si>
    <t>Pedro Peralta</t>
  </si>
  <si>
    <t>E13</t>
  </si>
  <si>
    <t>E14</t>
  </si>
  <si>
    <t>F12</t>
  </si>
  <si>
    <t>F13</t>
  </si>
  <si>
    <t>F05</t>
  </si>
  <si>
    <t>Ruth Chiroque</t>
  </si>
  <si>
    <t>F06</t>
  </si>
  <si>
    <t>F07</t>
  </si>
  <si>
    <t>E05</t>
  </si>
  <si>
    <t>E06</t>
  </si>
  <si>
    <t>E07</t>
  </si>
  <si>
    <t>E08</t>
  </si>
  <si>
    <t>E09</t>
  </si>
  <si>
    <t>F08</t>
  </si>
  <si>
    <t>F09</t>
  </si>
  <si>
    <t>B04</t>
  </si>
  <si>
    <t>B13</t>
  </si>
  <si>
    <t>David Ramos</t>
  </si>
  <si>
    <t>B14</t>
  </si>
  <si>
    <t>D12</t>
  </si>
  <si>
    <t>Addie Benites</t>
  </si>
  <si>
    <t>D13</t>
  </si>
  <si>
    <t>B03</t>
  </si>
  <si>
    <t>G01</t>
  </si>
  <si>
    <t>Eddie Giron</t>
  </si>
  <si>
    <t>G02</t>
  </si>
  <si>
    <t>G03</t>
  </si>
  <si>
    <t>G04</t>
  </si>
  <si>
    <t>G05</t>
  </si>
  <si>
    <t>G06</t>
  </si>
  <si>
    <t>B07</t>
  </si>
  <si>
    <t>C07</t>
  </si>
  <si>
    <t>2018 - 2021</t>
  </si>
  <si>
    <t>H9</t>
  </si>
  <si>
    <t>H10</t>
  </si>
  <si>
    <t>H11</t>
  </si>
  <si>
    <t>G13</t>
  </si>
  <si>
    <t>H13</t>
  </si>
  <si>
    <t>F01</t>
  </si>
  <si>
    <t>F02</t>
  </si>
  <si>
    <t>F03</t>
  </si>
  <si>
    <t>F04</t>
  </si>
  <si>
    <t>A01</t>
  </si>
  <si>
    <t>A02</t>
  </si>
  <si>
    <t>A03</t>
  </si>
  <si>
    <t>E01</t>
  </si>
  <si>
    <t>E02</t>
  </si>
  <si>
    <t>E03</t>
  </si>
  <si>
    <t>E04</t>
  </si>
  <si>
    <t>F11</t>
  </si>
  <si>
    <t>KR</t>
  </si>
  <si>
    <t>G11</t>
  </si>
  <si>
    <t>B01</t>
  </si>
  <si>
    <t>B02</t>
  </si>
  <si>
    <t>C12</t>
  </si>
  <si>
    <t>C13</t>
  </si>
  <si>
    <t>C14</t>
  </si>
  <si>
    <t>C15</t>
  </si>
  <si>
    <t>B12</t>
  </si>
  <si>
    <t>G14</t>
  </si>
  <si>
    <t>G15</t>
  </si>
  <si>
    <t>G09</t>
  </si>
  <si>
    <t>Habilitación</t>
  </si>
  <si>
    <t>G10</t>
  </si>
  <si>
    <t>C01</t>
  </si>
  <si>
    <t>C02</t>
  </si>
  <si>
    <t>C03</t>
  </si>
  <si>
    <t>D14</t>
  </si>
  <si>
    <t>D15</t>
  </si>
  <si>
    <t>E15</t>
  </si>
  <si>
    <t>A12</t>
  </si>
  <si>
    <t>A13</t>
  </si>
  <si>
    <t>H14</t>
  </si>
  <si>
    <t>I12</t>
  </si>
  <si>
    <t>I13</t>
  </si>
  <si>
    <t>I14</t>
  </si>
  <si>
    <t>TIMPSON</t>
  </si>
  <si>
    <t>RED GLOBE</t>
  </si>
  <si>
    <t>MAGENTA</t>
  </si>
  <si>
    <t>ALLISON</t>
  </si>
  <si>
    <t>COTTON CANDY</t>
  </si>
  <si>
    <t>JACK SALUTE</t>
  </si>
  <si>
    <t>SWEET MAGIC</t>
  </si>
  <si>
    <t>SWEET CELEBRATION</t>
  </si>
  <si>
    <t>AUTUMN CRIPS</t>
  </si>
  <si>
    <t>VARIEDAD</t>
  </si>
  <si>
    <t>LOTE</t>
  </si>
  <si>
    <t>BEBOP</t>
  </si>
  <si>
    <t>CANDY HEARTS</t>
  </si>
  <si>
    <t>Total Has</t>
  </si>
  <si>
    <t>Total Pltas.</t>
  </si>
  <si>
    <t xml:space="preserve">Pltas. Productivas </t>
  </si>
  <si>
    <t>Pltas. Formación</t>
  </si>
  <si>
    <t>Pltas. Faltantes</t>
  </si>
  <si>
    <t>Has Productivas</t>
  </si>
  <si>
    <t>Has Formación</t>
  </si>
  <si>
    <t>Has Faltantes</t>
  </si>
  <si>
    <t>Total general</t>
  </si>
  <si>
    <t>MAESTRO DE LOTES 22-23</t>
  </si>
  <si>
    <t>MAESTRO DE LOTES 23-24</t>
  </si>
  <si>
    <t>Densidad</t>
  </si>
  <si>
    <t>H09</t>
  </si>
  <si>
    <t>B3</t>
  </si>
  <si>
    <t>Danny Giron</t>
  </si>
  <si>
    <t>Jorge Mogollon</t>
  </si>
  <si>
    <t>Fernando Reto</t>
  </si>
  <si>
    <t>KRYSSI</t>
  </si>
  <si>
    <t>Fabián Orozco</t>
  </si>
  <si>
    <t>Calidad</t>
  </si>
  <si>
    <t>Etiquetas de fila</t>
  </si>
  <si>
    <t>Suma de Has Productivas</t>
  </si>
  <si>
    <t>Llave</t>
  </si>
  <si>
    <t>Total Has 2023</t>
  </si>
  <si>
    <t>Has Productivas 2023</t>
  </si>
  <si>
    <t>Has Formación 2023</t>
  </si>
  <si>
    <t>Has Faltantes 2023</t>
  </si>
  <si>
    <t>AÑO</t>
  </si>
  <si>
    <t>Etiquetas de columna</t>
  </si>
  <si>
    <t>Suma de Has Formación</t>
  </si>
  <si>
    <t>Hectáreas</t>
  </si>
  <si>
    <t>Plantas</t>
  </si>
  <si>
    <t>Vacío</t>
  </si>
  <si>
    <t>Suma de Hectáreas</t>
  </si>
  <si>
    <t>ITEM</t>
  </si>
  <si>
    <t>Jorge Mogollón</t>
  </si>
  <si>
    <t/>
  </si>
  <si>
    <t>JULEP</t>
  </si>
  <si>
    <t>GG-560</t>
  </si>
  <si>
    <t>15-745-60</t>
  </si>
  <si>
    <t>17-1036-48</t>
  </si>
  <si>
    <t>NUSEI</t>
  </si>
  <si>
    <t>GG-60</t>
  </si>
  <si>
    <t>15-700-60</t>
  </si>
  <si>
    <t>Formación</t>
  </si>
  <si>
    <t>AUTUMN CRISP</t>
  </si>
  <si>
    <t>Lotes</t>
  </si>
  <si>
    <t>Total</t>
  </si>
  <si>
    <t>Productivas</t>
  </si>
  <si>
    <t>JACK´S SALUTE</t>
  </si>
  <si>
    <t>Vacio</t>
  </si>
  <si>
    <t>Sosa Reto William</t>
  </si>
  <si>
    <t>Pasapera Miranda Vanessa</t>
  </si>
  <si>
    <t>Calle Alvarado Enisban</t>
  </si>
  <si>
    <t>Zúñiga Bayona Mirla</t>
  </si>
  <si>
    <t>Suarez Viera Hector</t>
  </si>
  <si>
    <t>Valverde Vilcherres Julio</t>
  </si>
  <si>
    <t>Vasquez Navarro Juan</t>
  </si>
  <si>
    <t>Juárez Suárez Justo</t>
  </si>
  <si>
    <t>Mendoza Juárez Kelvin</t>
  </si>
  <si>
    <t>Risco Marcelo José</t>
  </si>
  <si>
    <t>Echevarría Carrillo Renzo</t>
  </si>
  <si>
    <t>Jorge Luis Nima Nima</t>
  </si>
  <si>
    <t>Abel Noe Nieves Mejía</t>
  </si>
  <si>
    <t>Sernaque Silva Noemí</t>
  </si>
  <si>
    <t>Coveñas Nilupu Sandra</t>
  </si>
  <si>
    <t>Girón Rufino Ignacio</t>
  </si>
  <si>
    <t>Suárez Sánchez Lucy</t>
  </si>
  <si>
    <t>Preciado Alama Felipe</t>
  </si>
  <si>
    <t>Viera Herrera Gabino</t>
  </si>
  <si>
    <t>Torres Farfán Edith Cristina</t>
  </si>
  <si>
    <t>Cardenas Huaman Miguel</t>
  </si>
  <si>
    <t>Reto Cardoza Julio</t>
  </si>
  <si>
    <t>Viera Torres Junior</t>
  </si>
  <si>
    <t>Viera Núñez Fredy</t>
  </si>
  <si>
    <t>Navarro Siancas Carlos</t>
  </si>
  <si>
    <t>Rivas Panta Max</t>
  </si>
  <si>
    <t>Suárez Mondragón Ronald</t>
  </si>
  <si>
    <t>Guerrero Pulache Leonel</t>
  </si>
  <si>
    <t>Meca Mimbela Christhian</t>
  </si>
  <si>
    <t>Chiroque More José</t>
  </si>
  <si>
    <t>Viera Giron Ever</t>
  </si>
  <si>
    <t>Rivas Sosa Ruben Wilder</t>
  </si>
  <si>
    <t>Saboya Camacho Edwin</t>
  </si>
  <si>
    <t>Alama Morales Eddison</t>
  </si>
  <si>
    <t>Olivares Torres Milton</t>
  </si>
  <si>
    <t>Giron Rufino Denis</t>
  </si>
  <si>
    <t xml:space="preserve">Panta Rivas Oswaldo </t>
  </si>
  <si>
    <t>Pulache Sanchez Romain</t>
  </si>
  <si>
    <t>Mija Gutierrez Washington</t>
  </si>
  <si>
    <t>Inga Viera Álex David</t>
  </si>
  <si>
    <t>Chuquicusma Mejía Jesús</t>
  </si>
  <si>
    <t>Subgerente</t>
  </si>
  <si>
    <t>H.A Total 2022</t>
  </si>
  <si>
    <t>Supervisor de lote</t>
  </si>
  <si>
    <t>Supervisor lote</t>
  </si>
  <si>
    <t>Lote</t>
  </si>
  <si>
    <t>H.A Total 2023</t>
  </si>
  <si>
    <t>Diferencia</t>
  </si>
  <si>
    <t>Plts  
2023</t>
  </si>
  <si>
    <t>Plts  
2022</t>
  </si>
  <si>
    <t>PASACHE ATOCHE VICTOR</t>
  </si>
  <si>
    <t xml:space="preserve">TAMANI NATORCE GINA </t>
  </si>
  <si>
    <t>ALAMA MORALES EDDISON</t>
  </si>
  <si>
    <t xml:space="preserve">OLIVARES TORRES MILTON </t>
  </si>
  <si>
    <t>OLIVARES TORRES MILTON</t>
  </si>
  <si>
    <t>GIRON RUFINO DENIS</t>
  </si>
  <si>
    <t xml:space="preserve">PANTA RIVAS OSWALDO </t>
  </si>
  <si>
    <t>AGUILAR DE LAMA LESLYE</t>
  </si>
  <si>
    <t>PULACHE SANCHEZ ROMAIN</t>
  </si>
  <si>
    <t>Justificación</t>
  </si>
  <si>
    <t>Se redujeron 30 plantas por construcción de comedor</t>
  </si>
  <si>
    <t>Con densidad de 1905, se obtienen 12.07 ha totales</t>
  </si>
  <si>
    <t>Con densidad de 1905, se obtienen 16.93 ha totales</t>
  </si>
  <si>
    <t>Con densidad de 1905, se obtienen 7.51 ha totales</t>
  </si>
  <si>
    <t>Con densidad de 1704, se obtienen 19.73 ha totales</t>
  </si>
  <si>
    <t>Con densidad de 1704, se obtienen 6.72 ha totales</t>
  </si>
  <si>
    <t>Reducción por pozo y canal que pasa por el lote</t>
  </si>
  <si>
    <t>Se eliminaron plantas por problemas de hongo de la madera en zona inundada en zonas donde no se podrá replantar</t>
  </si>
  <si>
    <t>Se eliminan 10432 plantas por ser de zonas con problemas de hongos y plantas francas en zonas donde no se podrá replantar</t>
  </si>
  <si>
    <t>Se eliminan 657 plantas por ser de zonas con problemas de hongos y plantas francas en zonas donde no se podrá replantar</t>
  </si>
  <si>
    <t>2023</t>
  </si>
  <si>
    <t>distancia_planta</t>
  </si>
  <si>
    <t>distancia_calle</t>
  </si>
  <si>
    <t>TM</t>
  </si>
  <si>
    <t>CH</t>
  </si>
  <si>
    <t>JS</t>
  </si>
  <si>
    <t>AC</t>
  </si>
  <si>
    <t>CC</t>
  </si>
  <si>
    <t>SC</t>
  </si>
  <si>
    <t>AL</t>
  </si>
  <si>
    <t>Edad</t>
  </si>
  <si>
    <t>5</t>
  </si>
  <si>
    <t>11 años</t>
  </si>
  <si>
    <t>11</t>
  </si>
  <si>
    <t>PIURA</t>
  </si>
  <si>
    <t>Cajas 2022-2023</t>
  </si>
  <si>
    <t>Caja/Ha</t>
  </si>
  <si>
    <t>VAR</t>
  </si>
  <si>
    <t>VAR-LOTE</t>
  </si>
  <si>
    <t>N° celular</t>
  </si>
  <si>
    <t>Dirección</t>
  </si>
  <si>
    <t>Nivel Educativo</t>
  </si>
  <si>
    <t>Carrera</t>
  </si>
  <si>
    <t>Fecha nacimiento</t>
  </si>
  <si>
    <t>Edad-Sup</t>
  </si>
  <si>
    <t>Las Dalias Segunda Etapa Mz P1 Lote 5</t>
  </si>
  <si>
    <t>Octavo ciclo</t>
  </si>
  <si>
    <t xml:space="preserve">Derecho corporativo </t>
  </si>
  <si>
    <t>Calle La Union S/N</t>
  </si>
  <si>
    <t>Educación superior universitaria</t>
  </si>
  <si>
    <t xml:space="preserve">Agronomía </t>
  </si>
  <si>
    <t>Pasapera Miranda Elki Vanessa</t>
  </si>
  <si>
    <t>Urb.Jardines Avifap Mz N lote 14</t>
  </si>
  <si>
    <t>Universitaria</t>
  </si>
  <si>
    <t xml:space="preserve">Razuri Chiroque  Jose Antonio </t>
  </si>
  <si>
    <t xml:space="preserve">Caserío Río Seco medio Piura </t>
  </si>
  <si>
    <t>Educación secundaria</t>
  </si>
  <si>
    <t>Sosa Reto William Armando</t>
  </si>
  <si>
    <t>Terela Castilla</t>
  </si>
  <si>
    <t>Caserío El Papayo Medio Piura</t>
  </si>
  <si>
    <t>Caserío Terela Medio Piura</t>
  </si>
  <si>
    <t>Educacion superior técnica incompleta</t>
  </si>
  <si>
    <t xml:space="preserve"> Computación e Informática</t>
  </si>
  <si>
    <t>Rivera Meza Saulo Emanuel</t>
  </si>
  <si>
    <t>Residencial monteverde Mz AD Lote 21</t>
  </si>
  <si>
    <t>Ing. Agronoma</t>
  </si>
  <si>
    <t xml:space="preserve">Vite Periche  Jairo Jeanpierre </t>
  </si>
  <si>
    <t>Urb. El Bosque Mza R Lote 1</t>
  </si>
  <si>
    <t xml:space="preserve">Nima Rufino  Jesús Marcial </t>
  </si>
  <si>
    <t>AAHH Alas peruanas,Castilla-Piura</t>
  </si>
  <si>
    <t xml:space="preserve">Aguilar De Lama  Lesly Alessandra </t>
  </si>
  <si>
    <t xml:space="preserve">Calle Callao 625 Castilla </t>
  </si>
  <si>
    <t>AGRONOMIA</t>
  </si>
  <si>
    <t xml:space="preserve">Chiroque More  José Víctor </t>
  </si>
  <si>
    <t>Castilla chiclayito calle los pinos</t>
  </si>
  <si>
    <t>Navarro Siancas Carlos Alberto</t>
  </si>
  <si>
    <t>San Rafael  medio piura</t>
  </si>
  <si>
    <t>Caserillo La Obrilla Medio Piura</t>
  </si>
  <si>
    <t>caserío el papayo medio piura</t>
  </si>
  <si>
    <t xml:space="preserve">Burga Sánchez  Emilio Manuel </t>
  </si>
  <si>
    <t>URB Micaela Bastidas Etapa 4 Mz O3 Lote 3</t>
  </si>
  <si>
    <t>Expolvorinea mz .g lote 11</t>
  </si>
  <si>
    <t>Educación superior técnica</t>
  </si>
  <si>
    <t>Producion agropecuaria</t>
  </si>
  <si>
    <t>Pasache Atoche Victor Raúl</t>
  </si>
  <si>
    <t>Santa Sara Medio Piura</t>
  </si>
  <si>
    <t>Progreso Bajo</t>
  </si>
  <si>
    <t>Caserio San Pablo catacaos</t>
  </si>
  <si>
    <t xml:space="preserve">Viera Torres Junior Arturo </t>
  </si>
  <si>
    <t>Caserio el papayo medio piura</t>
  </si>
  <si>
    <t xml:space="preserve">Reto Cardoza  Julio César </t>
  </si>
  <si>
    <t xml:space="preserve">Terela Medio Piura </t>
  </si>
  <si>
    <t xml:space="preserve">Gaona Rondoy Ederd </t>
  </si>
  <si>
    <t>AAHH Nueva Esperanza Mz A 5 lote 17 calle mancora</t>
  </si>
  <si>
    <t>INGENIERO AGRONOMO</t>
  </si>
  <si>
    <t>Viera Nuñez Juan Fredy</t>
  </si>
  <si>
    <t>La obrilla</t>
  </si>
  <si>
    <t>La Obrilla</t>
  </si>
  <si>
    <t>Urb Miraflores- Piura</t>
  </si>
  <si>
    <t>Ing. Agrícola</t>
  </si>
  <si>
    <t>Ubillus Ramirez Miguel Ángel</t>
  </si>
  <si>
    <t>Zarumilla 299 pachitea piura</t>
  </si>
  <si>
    <t xml:space="preserve">Sernaque Silva Noemy Rosmery </t>
  </si>
  <si>
    <t>Caserío río seco</t>
  </si>
  <si>
    <t>Administración de negocios</t>
  </si>
  <si>
    <t>La greda Nueva</t>
  </si>
  <si>
    <t>Vázquez Navarro Juan Carlos</t>
  </si>
  <si>
    <t>San Vicente</t>
  </si>
  <si>
    <t xml:space="preserve">Nieves Mejia Abel Noé </t>
  </si>
  <si>
    <t>Jr.cusco 166</t>
  </si>
  <si>
    <t>Ciudad del niño mz c4 lote 08 cuarta etapa Castilla</t>
  </si>
  <si>
    <t>Administración de empresas</t>
  </si>
  <si>
    <t>Caserío terela</t>
  </si>
  <si>
    <t>Ing. Industrial</t>
  </si>
  <si>
    <t>Nima Nima Jorge Luis</t>
  </si>
  <si>
    <t xml:space="preserve">Cobeñas Nilupu Sandra mercedes </t>
  </si>
  <si>
    <t>AAHH los almendros MZO lote13 castilla</t>
  </si>
  <si>
    <t>A.h.buenos aires /legua /catacaos</t>
  </si>
  <si>
    <t>Administracion</t>
  </si>
  <si>
    <t>Habilitación 2024</t>
  </si>
  <si>
    <t>Suma de Total Has</t>
  </si>
  <si>
    <t>Terela - Arantxa</t>
  </si>
  <si>
    <t>2023 - 2024</t>
  </si>
  <si>
    <t>Royalty</t>
  </si>
  <si>
    <t>Fecha Plantación</t>
  </si>
  <si>
    <t>Faltantes</t>
  </si>
  <si>
    <t>Habilitar 2023</t>
  </si>
  <si>
    <t>Replante 2023</t>
  </si>
  <si>
    <t>Habilitar 2024</t>
  </si>
  <si>
    <t>Replante 2024</t>
  </si>
  <si>
    <t>SNFL</t>
  </si>
  <si>
    <t>Sun World</t>
  </si>
  <si>
    <t>IFG</t>
  </si>
  <si>
    <t>ALL</t>
  </si>
  <si>
    <t>D1</t>
  </si>
  <si>
    <t>D2</t>
  </si>
  <si>
    <t>T. Blanco</t>
  </si>
  <si>
    <t>GG - 560</t>
  </si>
  <si>
    <t>17 - 1036 - 48</t>
  </si>
  <si>
    <t>GG - 60</t>
  </si>
  <si>
    <t>Bebop -A</t>
  </si>
  <si>
    <t>Bebop -B</t>
  </si>
  <si>
    <t>Candy Hearts</t>
  </si>
  <si>
    <t>Julep</t>
  </si>
  <si>
    <t>B08</t>
  </si>
  <si>
    <t>D07</t>
  </si>
  <si>
    <t>0</t>
  </si>
  <si>
    <t>Habilitación 2023</t>
  </si>
  <si>
    <t>Has totales</t>
  </si>
  <si>
    <t>I15</t>
  </si>
  <si>
    <t>H15</t>
  </si>
  <si>
    <t>Habilitación 2025</t>
  </si>
  <si>
    <t>Danny Girón</t>
  </si>
  <si>
    <t>Fernando Fernández</t>
  </si>
  <si>
    <t>Pltas. Prod. Censo</t>
  </si>
  <si>
    <t>Pltas Formación Censo</t>
  </si>
  <si>
    <t>PATRON</t>
  </si>
  <si>
    <t>Freedom</t>
  </si>
  <si>
    <t>Salt Creek</t>
  </si>
  <si>
    <t>Fecha plantación</t>
  </si>
  <si>
    <t>MGT-freedom</t>
  </si>
  <si>
    <t>Freedom, MGT, Salt Creek</t>
  </si>
  <si>
    <t>Salt Creek-MGT</t>
  </si>
  <si>
    <t>MGT-Salt Creek-Harmony</t>
  </si>
  <si>
    <t xml:space="preserve">Has Faltantes </t>
  </si>
  <si>
    <t xml:space="preserve">Has Productivas </t>
  </si>
  <si>
    <t xml:space="preserve">Has Formación </t>
  </si>
  <si>
    <t>Has Totales</t>
  </si>
  <si>
    <t>Casa comercial</t>
  </si>
  <si>
    <t>SUN WORLD</t>
  </si>
  <si>
    <t>Fecha</t>
  </si>
  <si>
    <t>Actualización</t>
  </si>
  <si>
    <t>16.06.2023</t>
  </si>
  <si>
    <t>Se concluye censo de plantas</t>
  </si>
  <si>
    <t>03.07.2023</t>
  </si>
  <si>
    <t>Danny informa retiro de plantas en lotes D06-D05-D04-D03</t>
  </si>
  <si>
    <t>Total Espacios Censo</t>
  </si>
  <si>
    <t>Espacios vacíos Censo</t>
  </si>
  <si>
    <t>07.07.2023</t>
  </si>
  <si>
    <t>Actualización de censo lotes</t>
  </si>
  <si>
    <t>Cruz Saavedra Jessica</t>
  </si>
  <si>
    <t>Vacante</t>
  </si>
  <si>
    <t>Miranda Pulache Jorge</t>
  </si>
  <si>
    <t>Cordova Juarez Elvis Fabian</t>
  </si>
  <si>
    <t>Suarez Mondragon Ronald</t>
  </si>
  <si>
    <t>Guerrrero Pulache Leonel</t>
  </si>
  <si>
    <t>Risco Marcelo Jose Juan</t>
  </si>
  <si>
    <t>Mendoza Juarez Kelvis</t>
  </si>
  <si>
    <t>Carrasco Tineo Tania Analí</t>
  </si>
  <si>
    <t>Preciado Alama Felipe Armando</t>
  </si>
  <si>
    <t>Arimuya Vargas Rocío Coina</t>
  </si>
  <si>
    <t>Torres Farfan Edith Cristina</t>
  </si>
  <si>
    <t>Pltas. Prod.</t>
  </si>
  <si>
    <t>Pltas Formación</t>
  </si>
  <si>
    <t>Total Espacios</t>
  </si>
  <si>
    <t>Test Block</t>
  </si>
  <si>
    <t>Luiggi Olaechea</t>
  </si>
  <si>
    <t>Espacios vacíos</t>
  </si>
  <si>
    <t>G11 + F11</t>
  </si>
  <si>
    <t>ARRA FIRE CRUNCH</t>
  </si>
  <si>
    <t>Saboya Camacho Edwin David</t>
  </si>
  <si>
    <t>Rivas Panta Max Adderly</t>
  </si>
  <si>
    <t>solicitar</t>
  </si>
  <si>
    <t>Valverde Vilcherrez Julio Jose</t>
  </si>
  <si>
    <t>Cruz Saavedra Jessica Marianela</t>
  </si>
  <si>
    <t>Sernaque Silva Noemy Rosmery</t>
  </si>
  <si>
    <t>Chuquicusma Mejía Jesús Alberto</t>
  </si>
  <si>
    <t>Zúñiga Bayona Mirla Marilia</t>
  </si>
  <si>
    <t xml:space="preserve">Caserío Terela Medio Piura </t>
  </si>
  <si>
    <t>Terela medio piura</t>
  </si>
  <si>
    <t xml:space="preserve">San Vicente </t>
  </si>
  <si>
    <t xml:space="preserve">La Obrilla </t>
  </si>
  <si>
    <t xml:space="preserve">Zarumilla 299 pachitea piura </t>
  </si>
  <si>
    <t>Caserio terela medio piura</t>
  </si>
  <si>
    <t>Cossio del pomar mz b3 lote 6</t>
  </si>
  <si>
    <t xml:space="preserve">Caserío río seco </t>
  </si>
  <si>
    <t>Caserio punta Arena medio piura</t>
  </si>
  <si>
    <t>Caserio la obrilla</t>
  </si>
  <si>
    <t>Papayo medio piura</t>
  </si>
  <si>
    <t xml:space="preserve">Amazonas 125 Castilla </t>
  </si>
  <si>
    <t xml:space="preserve">Ciudad del niño mz c4 lote 08 cuarta etapa Castilla </t>
  </si>
  <si>
    <t xml:space="preserve">Urb Miraflores- Piura </t>
  </si>
  <si>
    <t>-</t>
  </si>
  <si>
    <t>Cobeñas Nilupu Sandra Mercedes</t>
  </si>
  <si>
    <t>CEL</t>
  </si>
  <si>
    <t>Tambogrande</t>
  </si>
  <si>
    <t>ING agronoma</t>
  </si>
  <si>
    <t xml:space="preserve">Administración de negocios </t>
  </si>
  <si>
    <t xml:space="preserve">Sin terminar </t>
  </si>
  <si>
    <t>No</t>
  </si>
  <si>
    <t xml:space="preserve">Universitaria </t>
  </si>
  <si>
    <t>Piura</t>
  </si>
  <si>
    <t>Castilla</t>
  </si>
  <si>
    <t>26 de octubre</t>
  </si>
  <si>
    <t>Terela</t>
  </si>
  <si>
    <t>El Papayo</t>
  </si>
  <si>
    <t>Distrito/CP</t>
  </si>
  <si>
    <t>Jefe de campo</t>
  </si>
  <si>
    <t>Medio Piura</t>
  </si>
  <si>
    <t>La Primavera- Castilla</t>
  </si>
  <si>
    <t>SUPERV</t>
  </si>
  <si>
    <t>ZONA</t>
  </si>
  <si>
    <t>Rios Seco</t>
  </si>
  <si>
    <t>Catacaos</t>
  </si>
  <si>
    <t>Doy fe que los datos son fieles a la realidad, para actualización de presupuestos y proyecciones.</t>
  </si>
  <si>
    <t>Piura, 26 de enero del 2024</t>
  </si>
  <si>
    <t>DECLARACIÓN HAS PRODUCTIVAS- ACTUALIZACIÓN 26.01.2024</t>
  </si>
  <si>
    <t>Supervisor de sanidad</t>
  </si>
  <si>
    <t>KEVIN</t>
  </si>
  <si>
    <t>MOROCHO</t>
  </si>
  <si>
    <t>WALTER</t>
  </si>
  <si>
    <t>PEDRO</t>
  </si>
  <si>
    <t>CAMPO</t>
  </si>
  <si>
    <t>*Una vez por semana presentar avances.</t>
  </si>
  <si>
    <t>*Presentar las labores base.</t>
  </si>
  <si>
    <t>Av. Progreso 834- Castilla</t>
  </si>
  <si>
    <t>Filosofía</t>
  </si>
  <si>
    <t>Dalia Yamunaque Terrones</t>
  </si>
  <si>
    <t>Gonzalo Palma Arbaiza</t>
  </si>
  <si>
    <t>Bances Peralta Miguel Armando</t>
  </si>
  <si>
    <t>Boris Ramírez Cruz</t>
  </si>
  <si>
    <t>Rivera Campos David Yairson</t>
  </si>
  <si>
    <t>Supervisor de riego</t>
  </si>
  <si>
    <t>Omar G</t>
  </si>
  <si>
    <t>Junior S</t>
  </si>
  <si>
    <t>Celso M</t>
  </si>
  <si>
    <t>Helen B</t>
  </si>
  <si>
    <t>CAMPO2</t>
  </si>
  <si>
    <t>CAMPO1</t>
  </si>
  <si>
    <t>CAMPO3</t>
  </si>
  <si>
    <t>CAMPO5</t>
  </si>
  <si>
    <t>CAMPO4</t>
  </si>
  <si>
    <t>Densidad calidad</t>
  </si>
  <si>
    <t>HAS TOTALES</t>
  </si>
  <si>
    <t>HAS TOTALES V n-1</t>
  </si>
  <si>
    <t>Dif</t>
  </si>
  <si>
    <t>Total de espacios</t>
  </si>
  <si>
    <t>Comentario</t>
  </si>
  <si>
    <t>SUPERVISOR</t>
  </si>
  <si>
    <t>JEFE DE CAMPO</t>
  </si>
  <si>
    <t>TIPO</t>
  </si>
  <si>
    <t>Futura habilitación</t>
  </si>
  <si>
    <t>Letra</t>
  </si>
  <si>
    <t>A</t>
  </si>
  <si>
    <t>B</t>
  </si>
  <si>
    <t>C</t>
  </si>
  <si>
    <t>D</t>
  </si>
  <si>
    <t>E</t>
  </si>
  <si>
    <t>F</t>
  </si>
  <si>
    <t>G</t>
  </si>
  <si>
    <t>H</t>
  </si>
  <si>
    <t>I</t>
  </si>
  <si>
    <t>Leyenda</t>
  </si>
  <si>
    <t>Lotes productivos</t>
  </si>
  <si>
    <t>Habilitaciones 2024</t>
  </si>
  <si>
    <t>Próximas habilitaciones</t>
  </si>
  <si>
    <t>Campaña</t>
  </si>
  <si>
    <t>Lote: A05</t>
  </si>
  <si>
    <t>Jefe de Campo: Addie Benites</t>
  </si>
  <si>
    <t>Has totales: 10</t>
  </si>
  <si>
    <t>Has productivas: 9.65</t>
  </si>
  <si>
    <t>Estado: Productivo</t>
  </si>
  <si>
    <t>Variedad: Jack's Saliute</t>
  </si>
  <si>
    <t xml:space="preserve">VARIEDAD </t>
  </si>
  <si>
    <t xml:space="preserve">Has productivas </t>
  </si>
  <si>
    <t>Por designar</t>
  </si>
  <si>
    <t>PD</t>
  </si>
  <si>
    <t>POR DESIGNAR</t>
  </si>
  <si>
    <t>FC</t>
  </si>
  <si>
    <t>FUNDO</t>
  </si>
  <si>
    <t>T4</t>
  </si>
  <si>
    <t>T5</t>
  </si>
  <si>
    <t>T8</t>
  </si>
  <si>
    <t>T9</t>
  </si>
  <si>
    <t>TH</t>
  </si>
  <si>
    <t>TS</t>
  </si>
  <si>
    <t>TT</t>
  </si>
  <si>
    <t>TF</t>
  </si>
  <si>
    <t>T6</t>
  </si>
  <si>
    <t>*PD=Por definir</t>
  </si>
  <si>
    <t>PEP</t>
  </si>
  <si>
    <t>Censado</t>
  </si>
  <si>
    <t>C6</t>
  </si>
  <si>
    <t>C5</t>
  </si>
  <si>
    <t>C4</t>
  </si>
  <si>
    <t>D6</t>
  </si>
  <si>
    <t>D4</t>
  </si>
  <si>
    <t>F5</t>
  </si>
  <si>
    <t>E6</t>
  </si>
  <si>
    <t>E7</t>
  </si>
  <si>
    <t>F9</t>
  </si>
  <si>
    <t>B4</t>
  </si>
  <si>
    <t>Total de Espacios</t>
  </si>
  <si>
    <t>Plantas Productivas</t>
  </si>
  <si>
    <t>Vigorosas</t>
  </si>
  <si>
    <t>Debil</t>
  </si>
  <si>
    <t>E.Vacios</t>
  </si>
  <si>
    <t xml:space="preserve">Total de Espacios </t>
  </si>
  <si>
    <t>Plantas Por Hectarea</t>
  </si>
  <si>
    <t>Total de Hectareas</t>
  </si>
  <si>
    <t>Variedad</t>
  </si>
  <si>
    <t>C2</t>
  </si>
  <si>
    <t>C1</t>
  </si>
  <si>
    <t>C7</t>
  </si>
  <si>
    <t>B7</t>
  </si>
  <si>
    <t>A3</t>
  </si>
  <si>
    <t>G6</t>
  </si>
  <si>
    <t>G5</t>
  </si>
  <si>
    <t>G4</t>
  </si>
  <si>
    <t>Lote*</t>
  </si>
  <si>
    <t>Por censar</t>
  </si>
  <si>
    <t>Plantas reales</t>
  </si>
  <si>
    <t>Plantas declaradas</t>
  </si>
  <si>
    <t>(Varios elementos)</t>
  </si>
  <si>
    <t xml:space="preserve">Has </t>
  </si>
  <si>
    <t xml:space="preserve">Suma de Has </t>
  </si>
  <si>
    <t>Vasquez Navarro Juan Carlos</t>
  </si>
  <si>
    <t>Juarez Suarez Justo</t>
  </si>
  <si>
    <t>Carrasco Tineo Tania Anali</t>
  </si>
  <si>
    <t>Girón Rufino Dennis</t>
  </si>
  <si>
    <t>Alama morales Eddisón</t>
  </si>
  <si>
    <t>Olivares Torres Miltón David</t>
  </si>
  <si>
    <t>Ubillus Ramirez Miguel Angel</t>
  </si>
  <si>
    <t>Nieves Mejia Abel Noe</t>
  </si>
  <si>
    <t>Inga Viera Alex David</t>
  </si>
  <si>
    <t>Chuquicusma Mejia Jesus Alberto</t>
  </si>
  <si>
    <t>Chiroque More Jose Victor</t>
  </si>
  <si>
    <t>Yamunaque Terrones Dalia Ibon</t>
  </si>
  <si>
    <t>Pasache Atoche Victor Raul</t>
  </si>
  <si>
    <t>Panta Rivas Oswaldo</t>
  </si>
  <si>
    <t>Damian Benites Carla</t>
  </si>
  <si>
    <t>Viera Torres Junior Arturo</t>
  </si>
  <si>
    <t>Reto Cardoza Julio Cesar</t>
  </si>
  <si>
    <t>Montenegro Ríos Gregorio Celso</t>
  </si>
  <si>
    <t>Arimuya Vargas Rocio Coina</t>
  </si>
  <si>
    <t>Gaona Rondoy Ederd</t>
  </si>
  <si>
    <t>Abramonte Juárez Gerardo Alexander</t>
  </si>
  <si>
    <t>Razuri Chiroque Jose Antonio</t>
  </si>
  <si>
    <t>Nima Rufino Jesus Marcial</t>
  </si>
  <si>
    <t>Zuñiga Bayona Mirla Marilia</t>
  </si>
  <si>
    <t>JACK'S SALUTE</t>
  </si>
  <si>
    <t>IU/25.T9.I14</t>
  </si>
  <si>
    <t>IU/25.T9.H14</t>
  </si>
  <si>
    <t>Has_prod</t>
  </si>
  <si>
    <t>A-1</t>
  </si>
  <si>
    <t>B-1</t>
  </si>
  <si>
    <t>C-1</t>
  </si>
  <si>
    <t>D-1</t>
  </si>
  <si>
    <t>C-2</t>
  </si>
  <si>
    <t>A-2</t>
  </si>
  <si>
    <t>A-3</t>
  </si>
  <si>
    <t>A-4</t>
  </si>
  <si>
    <t>B-2</t>
  </si>
  <si>
    <t>B-3</t>
  </si>
  <si>
    <t>B-4</t>
  </si>
  <si>
    <t>Valvulas</t>
  </si>
  <si>
    <t>C-3</t>
  </si>
  <si>
    <t>C-4</t>
  </si>
  <si>
    <t>D-2</t>
  </si>
  <si>
    <t>D-3</t>
  </si>
  <si>
    <t>D-4</t>
  </si>
  <si>
    <t>Plantas_prod</t>
  </si>
  <si>
    <t>Total_plantas</t>
  </si>
  <si>
    <t>Has_prod_valv</t>
  </si>
  <si>
    <t>Has_Total_valv</t>
  </si>
  <si>
    <t>TEST BLOCK</t>
  </si>
  <si>
    <t>Fecha_inicio</t>
  </si>
  <si>
    <t>Fecha_fin</t>
  </si>
  <si>
    <t>PU/25.T6.F11</t>
  </si>
  <si>
    <t>1ra plantacion</t>
  </si>
  <si>
    <t>filtro</t>
  </si>
  <si>
    <t>x</t>
  </si>
  <si>
    <t>Campos</t>
  </si>
  <si>
    <t>Campo</t>
  </si>
  <si>
    <t>Años_1ra_plant</t>
  </si>
  <si>
    <t>Tipo cultivo</t>
  </si>
  <si>
    <t>VID</t>
  </si>
  <si>
    <t>Periodo siembra-cosecha</t>
  </si>
  <si>
    <t>1</t>
  </si>
  <si>
    <t>Habilitación 2026</t>
  </si>
  <si>
    <t>Has_totales</t>
  </si>
  <si>
    <t>Has_form</t>
  </si>
  <si>
    <t>RESUMEN MAESTRO DE LOTES</t>
  </si>
  <si>
    <t>*Supervisores de lote</t>
  </si>
  <si>
    <t>* PPTO mano de obra</t>
  </si>
  <si>
    <t>* Programar reu Juliana</t>
  </si>
  <si>
    <t>Zenaida Carrasco</t>
  </si>
  <si>
    <t>VACANTE</t>
  </si>
  <si>
    <t>Machuca Muñoz Jose</t>
  </si>
  <si>
    <t>Pacherrez Santos Cinthya</t>
  </si>
  <si>
    <t>Hectarea</t>
  </si>
  <si>
    <t>Vivero Ic</t>
  </si>
  <si>
    <t>Vivero Tambo</t>
  </si>
  <si>
    <t>Suma de plantas sembradas</t>
  </si>
  <si>
    <t>Plantas restantes para replante (12.01)</t>
  </si>
  <si>
    <t>Total plantas recepcionadas del Tambo</t>
  </si>
  <si>
    <t>TOTAL</t>
  </si>
  <si>
    <t>Total plantas sembradas</t>
  </si>
  <si>
    <t>Has (densidad 1905)</t>
  </si>
  <si>
    <t>Preparación de terreno</t>
  </si>
  <si>
    <t>Instalación de Riego</t>
  </si>
  <si>
    <t>Armado de estructura</t>
  </si>
  <si>
    <t>Plantación</t>
  </si>
  <si>
    <t>Open Gable</t>
  </si>
  <si>
    <t>Open Gable Flat</t>
  </si>
  <si>
    <t>Danny G</t>
  </si>
  <si>
    <t>ASISTENTES DE PROCESO AGRICOLA</t>
  </si>
  <si>
    <t>Victor Puse Sosa</t>
  </si>
  <si>
    <t>Ruth Zeta Pasapera</t>
  </si>
  <si>
    <t>Roxana Ojeda Curay</t>
  </si>
  <si>
    <t>Eddi Paz Sosa</t>
  </si>
  <si>
    <t>Pilar Correa Reyes</t>
  </si>
  <si>
    <t>Jorge</t>
  </si>
  <si>
    <t>Alejandro Panta Cardoza</t>
  </si>
  <si>
    <t>Aissa Solano Fernandez</t>
  </si>
  <si>
    <t>Ever Maza Nima</t>
  </si>
  <si>
    <t>Jocie Giron Rufino</t>
  </si>
  <si>
    <t xml:space="preserve">Claudia Panta Yarleque </t>
  </si>
  <si>
    <t>Vanesa Panta Viera</t>
  </si>
  <si>
    <t xml:space="preserve">Gladis Morales Sembrera </t>
  </si>
  <si>
    <t>SUB GERENCIA</t>
  </si>
  <si>
    <t>Roger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</si>
</sst>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9">
    <numFmt numFmtId="43" formatCode="_-* #,##0.00_-;\-* #,##0.00_-;_-* &quot;-&quot;??_-;_-@_-"/>
    <numFmt numFmtId="164" formatCode="_(* #,##0_);_(* \(#,##0\);_(* \-??_);_(@_)"/>
    <numFmt numFmtId="165" formatCode="_-* #,##0_-;\-* #,##0_-;_-* &quot;-&quot;??_-;_-@_-"/>
    <numFmt numFmtId="166" formatCode="_(* #,##0.00_);[Red]_¨* \(#,##0.00\);_(* \-??_);_(@_)"/>
    <numFmt numFmtId="167" formatCode="_(* #,##0.00_);_(* \(#,##0.00\);_(* \-??_);_(@_)"/>
    <numFmt numFmtId="168" formatCode="#,##0_ ;[Red]\-#,##0\ "/>
    <numFmt numFmtId="169" formatCode="_(* #,##0_);[Red]_¨* \(#,##0\);_(* \-??_);_(@_)"/>
    <numFmt numFmtId="170" formatCode="_(* #,##0.000_);[Red]_¨* \(#,##0.000\);_(* \-??_);_(@_)"/>
    <numFmt numFmtId="172" formatCode="0\ &quot;años&quot;"/>
  </numFmts>
  <fonts count="35" x14ac:knownFonts="1">
    <font>
      <sz val="11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0"/>
      <name val="Arial"/>
      <family val="2"/>
    </font>
    <font>
      <b/>
      <sz val="12"/>
      <color theme="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00B050"/>
      <name val="Calibri"/>
      <family val="2"/>
      <scheme val="minor"/>
    </font>
    <font>
      <b/>
      <i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rgb="FFFF0000"/>
      <name val="Trebuchet MS"/>
      <family val="2"/>
    </font>
    <font>
      <b/>
      <sz val="10"/>
      <color rgb="FF000000"/>
      <name val="Calibri"/>
      <family val="2"/>
    </font>
    <font>
      <b/>
      <sz val="10"/>
      <color rgb="FFC00000"/>
      <name val="Calibri"/>
      <family val="2"/>
    </font>
    <font>
      <b/>
      <sz val="14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 Light"/>
      <family val="2"/>
      <scheme val="major"/>
    </font>
    <font>
      <sz val="11"/>
      <color rgb="FFFF0000"/>
      <name val="Calibri Light"/>
      <family val="2"/>
      <scheme val="major"/>
    </font>
    <font>
      <b/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000000"/>
      <name val="Calibri"/>
      <family val="2"/>
    </font>
    <font>
      <sz val="9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0000"/>
      <name val="Calibri"/>
      <family val="2"/>
    </font>
    <font>
      <sz val="11"/>
      <color theme="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4"/>
      <color rgb="FFC00000"/>
      <name val="Calibri"/>
      <family val="2"/>
      <scheme val="minor"/>
    </font>
    <font>
      <b/>
      <sz val="11"/>
      <name val="Calibri"/>
      <family val="2"/>
    </font>
    <font>
      <b/>
      <sz val="11"/>
      <color rgb="FFFF0000"/>
      <name val="Calibri"/>
      <family val="2"/>
      <scheme val="minor"/>
    </font>
  </fonts>
  <fills count="3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79FF1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rgb="FFCCFF99"/>
        <bgColor rgb="FFCCFF99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rgb="FF000000"/>
      </bottom>
      <diagonal/>
    </border>
    <border>
      <left/>
      <right/>
      <top/>
      <bottom style="thin">
        <color theme="4" tint="0.39997558519241921"/>
      </bottom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 style="medium">
        <color rgb="FFC00000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 style="thin">
        <color rgb="FF999999"/>
      </right>
      <top style="thin">
        <color indexed="65"/>
      </top>
      <bottom style="thin">
        <color rgb="FF999999"/>
      </bottom>
      <diagonal/>
    </border>
    <border>
      <left/>
      <right/>
      <top style="medium">
        <color theme="4" tint="-0.249977111117893"/>
      </top>
      <bottom/>
      <diagonal/>
    </border>
    <border>
      <left/>
      <right/>
      <top style="thin">
        <color theme="4" tint="-0.249977111117893"/>
      </top>
      <bottom style="medium">
        <color theme="4" tint="-0.249977111117893"/>
      </bottom>
      <diagonal/>
    </border>
  </borders>
  <cellStyleXfs count="9">
    <xf numFmtId="0" fontId="0" fillId="0" borderId="0"/>
    <xf numFmtId="0" fontId="5" fillId="0" borderId="0"/>
    <xf numFmtId="0" fontId="5" fillId="0" borderId="0"/>
    <xf numFmtId="9" fontId="10" fillId="0" borderId="0" applyFont="0" applyFill="0" applyBorder="0" applyAlignment="0" applyProtection="0"/>
    <xf numFmtId="0" fontId="5" fillId="0" borderId="0"/>
    <xf numFmtId="0" fontId="10" fillId="0" borderId="0"/>
    <xf numFmtId="0" fontId="25" fillId="16" borderId="0" applyNumberFormat="0" applyBorder="0" applyAlignment="0" applyProtection="0"/>
    <xf numFmtId="43" fontId="5" fillId="0" borderId="0" applyFont="0" applyFill="0" applyBorder="0" applyAlignment="0" applyProtection="0"/>
    <xf numFmtId="43" fontId="10" fillId="0" borderId="0" applyFont="0" applyFill="0" applyBorder="0" applyAlignment="0" applyProtection="0"/>
  </cellStyleXfs>
  <cellXfs count="333">
    <xf numFmtId="0" fontId="0" fillId="0" borderId="0" xfId="0"/>
    <xf numFmtId="0" fontId="3" fillId="0" borderId="1" xfId="0" applyFont="1" applyBorder="1" applyAlignment="1">
      <alignment horizontal="center"/>
    </xf>
    <xf numFmtId="43" fontId="3" fillId="0" borderId="1" xfId="0" applyNumberFormat="1" applyFont="1" applyBorder="1" applyAlignment="1">
      <alignment horizontal="center"/>
    </xf>
    <xf numFmtId="165" fontId="3" fillId="0" borderId="1" xfId="0" applyNumberFormat="1" applyFont="1" applyBorder="1" applyAlignment="1">
      <alignment horizontal="center" vertical="center"/>
    </xf>
    <xf numFmtId="164" fontId="3" fillId="0" borderId="1" xfId="0" applyNumberFormat="1" applyFont="1" applyBorder="1" applyAlignment="1">
      <alignment horizontal="center"/>
    </xf>
    <xf numFmtId="49" fontId="3" fillId="0" borderId="1" xfId="0" applyNumberFormat="1" applyFont="1" applyBorder="1" applyAlignment="1">
      <alignment horizontal="center"/>
    </xf>
    <xf numFmtId="165" fontId="3" fillId="0" borderId="1" xfId="0" applyNumberFormat="1" applyFont="1" applyBorder="1" applyAlignment="1">
      <alignment horizontal="center"/>
    </xf>
    <xf numFmtId="164" fontId="3" fillId="2" borderId="1" xfId="0" applyNumberFormat="1" applyFont="1" applyFill="1" applyBorder="1" applyAlignment="1">
      <alignment horizontal="center"/>
    </xf>
    <xf numFmtId="165" fontId="3" fillId="2" borderId="1" xfId="0" applyNumberFormat="1" applyFont="1" applyFill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165" fontId="3" fillId="0" borderId="1" xfId="0" applyNumberFormat="1" applyFont="1" applyBorder="1"/>
    <xf numFmtId="0" fontId="4" fillId="0" borderId="1" xfId="0" applyFont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2" borderId="1" xfId="0" quotePrefix="1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6" fillId="3" borderId="1" xfId="0" applyFont="1" applyFill="1" applyBorder="1" applyAlignment="1">
      <alignment horizontal="center"/>
    </xf>
    <xf numFmtId="0" fontId="9" fillId="0" borderId="0" xfId="0" applyFont="1"/>
    <xf numFmtId="0" fontId="2" fillId="4" borderId="1" xfId="0" applyFont="1" applyFill="1" applyBorder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2" fontId="0" fillId="0" borderId="0" xfId="0" applyNumberFormat="1"/>
    <xf numFmtId="0" fontId="6" fillId="3" borderId="2" xfId="0" applyFont="1" applyFill="1" applyBorder="1" applyAlignment="1">
      <alignment horizontal="center"/>
    </xf>
    <xf numFmtId="10" fontId="0" fillId="0" borderId="0" xfId="3" applyNumberFormat="1" applyFont="1"/>
    <xf numFmtId="43" fontId="3" fillId="0" borderId="1" xfId="0" applyNumberFormat="1" applyFont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vertical="center"/>
    </xf>
    <xf numFmtId="166" fontId="3" fillId="0" borderId="2" xfId="0" applyNumberFormat="1" applyFont="1" applyBorder="1" applyAlignment="1">
      <alignment vertical="center"/>
    </xf>
    <xf numFmtId="166" fontId="3" fillId="2" borderId="2" xfId="0" applyNumberFormat="1" applyFont="1" applyFill="1" applyBorder="1" applyAlignment="1">
      <alignment vertical="center"/>
    </xf>
    <xf numFmtId="166" fontId="3" fillId="0" borderId="4" xfId="0" applyNumberFormat="1" applyFont="1" applyBorder="1" applyAlignment="1">
      <alignment vertical="center"/>
    </xf>
    <xf numFmtId="0" fontId="3" fillId="0" borderId="3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11" fillId="2" borderId="3" xfId="2" applyFont="1" applyFill="1" applyBorder="1" applyAlignment="1">
      <alignment horizontal="center" vertical="center"/>
    </xf>
    <xf numFmtId="0" fontId="11" fillId="2" borderId="2" xfId="2" applyFont="1" applyFill="1" applyBorder="1" applyAlignment="1">
      <alignment horizontal="center" vertical="center"/>
    </xf>
    <xf numFmtId="166" fontId="3" fillId="2" borderId="4" xfId="0" applyNumberFormat="1" applyFont="1" applyFill="1" applyBorder="1" applyAlignment="1">
      <alignment vertical="center"/>
    </xf>
    <xf numFmtId="0" fontId="3" fillId="2" borderId="1" xfId="0" applyFont="1" applyFill="1" applyBorder="1" applyAlignment="1">
      <alignment horizontal="center" vertical="center"/>
    </xf>
    <xf numFmtId="166" fontId="3" fillId="0" borderId="1" xfId="0" applyNumberFormat="1" applyFont="1" applyBorder="1" applyAlignment="1">
      <alignment vertical="center"/>
    </xf>
    <xf numFmtId="167" fontId="3" fillId="0" borderId="1" xfId="0" applyNumberFormat="1" applyFont="1" applyBorder="1" applyAlignment="1">
      <alignment vertical="center"/>
    </xf>
    <xf numFmtId="167" fontId="3" fillId="0" borderId="3" xfId="0" applyNumberFormat="1" applyFont="1" applyBorder="1" applyAlignment="1">
      <alignment vertical="center"/>
    </xf>
    <xf numFmtId="167" fontId="3" fillId="0" borderId="2" xfId="0" applyNumberFormat="1" applyFont="1" applyBorder="1" applyAlignment="1">
      <alignment vertical="center"/>
    </xf>
    <xf numFmtId="167" fontId="3" fillId="2" borderId="2" xfId="0" applyNumberFormat="1" applyFont="1" applyFill="1" applyBorder="1" applyAlignment="1">
      <alignment vertical="center"/>
    </xf>
    <xf numFmtId="167" fontId="3" fillId="2" borderId="4" xfId="0" applyNumberFormat="1" applyFont="1" applyFill="1" applyBorder="1" applyAlignment="1">
      <alignment vertical="center"/>
    </xf>
    <xf numFmtId="168" fontId="6" fillId="8" borderId="1" xfId="0" applyNumberFormat="1" applyFont="1" applyFill="1" applyBorder="1" applyAlignment="1">
      <alignment horizontal="center" vertical="center"/>
    </xf>
    <xf numFmtId="168" fontId="6" fillId="7" borderId="1" xfId="0" applyNumberFormat="1" applyFont="1" applyFill="1" applyBorder="1" applyAlignment="1">
      <alignment horizontal="center" vertical="center"/>
    </xf>
    <xf numFmtId="168" fontId="12" fillId="6" borderId="3" xfId="0" applyNumberFormat="1" applyFont="1" applyFill="1" applyBorder="1" applyAlignment="1">
      <alignment vertical="center" wrapText="1"/>
    </xf>
    <xf numFmtId="168" fontId="12" fillId="6" borderId="2" xfId="0" applyNumberFormat="1" applyFont="1" applyFill="1" applyBorder="1" applyAlignment="1">
      <alignment vertical="center" wrapText="1"/>
    </xf>
    <xf numFmtId="168" fontId="12" fillId="6" borderId="4" xfId="0" applyNumberFormat="1" applyFont="1" applyFill="1" applyBorder="1" applyAlignment="1">
      <alignment vertical="center" wrapText="1"/>
    </xf>
    <xf numFmtId="168" fontId="6" fillId="7" borderId="3" xfId="0" applyNumberFormat="1" applyFont="1" applyFill="1" applyBorder="1" applyAlignment="1">
      <alignment vertical="center"/>
    </xf>
    <xf numFmtId="168" fontId="6" fillId="7" borderId="4" xfId="0" applyNumberFormat="1" applyFont="1" applyFill="1" applyBorder="1" applyAlignment="1">
      <alignment vertical="center"/>
    </xf>
    <xf numFmtId="168" fontId="6" fillId="7" borderId="2" xfId="0" applyNumberFormat="1" applyFont="1" applyFill="1" applyBorder="1" applyAlignment="1">
      <alignment vertical="center"/>
    </xf>
    <xf numFmtId="168" fontId="12" fillId="6" borderId="1" xfId="0" applyNumberFormat="1" applyFont="1" applyFill="1" applyBorder="1" applyAlignment="1">
      <alignment vertical="center"/>
    </xf>
    <xf numFmtId="168" fontId="6" fillId="7" borderId="3" xfId="0" applyNumberFormat="1" applyFont="1" applyFill="1" applyBorder="1" applyAlignment="1">
      <alignment vertical="center" wrapText="1"/>
    </xf>
    <xf numFmtId="168" fontId="12" fillId="6" borderId="3" xfId="0" applyNumberFormat="1" applyFont="1" applyFill="1" applyBorder="1" applyAlignment="1">
      <alignment vertical="center"/>
    </xf>
    <xf numFmtId="168" fontId="12" fillId="6" borderId="2" xfId="0" applyNumberFormat="1" applyFont="1" applyFill="1" applyBorder="1" applyAlignment="1">
      <alignment vertical="center"/>
    </xf>
    <xf numFmtId="168" fontId="12" fillId="6" borderId="4" xfId="0" applyNumberFormat="1" applyFont="1" applyFill="1" applyBorder="1" applyAlignment="1">
      <alignment vertical="center"/>
    </xf>
    <xf numFmtId="0" fontId="13" fillId="3" borderId="3" xfId="0" applyFont="1" applyFill="1" applyBorder="1" applyAlignment="1">
      <alignment horizontal="center" vertical="center"/>
    </xf>
    <xf numFmtId="0" fontId="13" fillId="3" borderId="1" xfId="2" applyFont="1" applyFill="1" applyBorder="1" applyAlignment="1">
      <alignment horizontal="center" vertical="center" wrapText="1"/>
    </xf>
    <xf numFmtId="166" fontId="3" fillId="5" borderId="4" xfId="0" applyNumberFormat="1" applyFont="1" applyFill="1" applyBorder="1" applyAlignment="1">
      <alignment vertical="center"/>
    </xf>
    <xf numFmtId="166" fontId="3" fillId="5" borderId="3" xfId="0" applyNumberFormat="1" applyFont="1" applyFill="1" applyBorder="1" applyAlignment="1">
      <alignment vertical="center"/>
    </xf>
    <xf numFmtId="166" fontId="3" fillId="5" borderId="2" xfId="0" applyNumberFormat="1" applyFont="1" applyFill="1" applyBorder="1" applyAlignment="1">
      <alignment vertical="center"/>
    </xf>
    <xf numFmtId="0" fontId="13" fillId="3" borderId="2" xfId="2" applyFont="1" applyFill="1" applyBorder="1" applyAlignment="1">
      <alignment horizontal="center" vertical="center" wrapText="1"/>
    </xf>
    <xf numFmtId="43" fontId="0" fillId="0" borderId="0" xfId="0" applyNumberFormat="1"/>
    <xf numFmtId="0" fontId="7" fillId="2" borderId="1" xfId="0" quotePrefix="1" applyFont="1" applyFill="1" applyBorder="1" applyAlignment="1">
      <alignment horizontal="center"/>
    </xf>
    <xf numFmtId="0" fontId="14" fillId="0" borderId="5" xfId="0" applyFont="1" applyBorder="1" applyAlignment="1">
      <alignment vertical="center"/>
    </xf>
    <xf numFmtId="0" fontId="2" fillId="9" borderId="1" xfId="0" applyFont="1" applyFill="1" applyBorder="1" applyAlignment="1">
      <alignment horizontal="center" vertical="center"/>
    </xf>
    <xf numFmtId="0" fontId="15" fillId="10" borderId="1" xfId="0" applyFont="1" applyFill="1" applyBorder="1" applyAlignment="1">
      <alignment horizontal="center" vertical="center" wrapText="1"/>
    </xf>
    <xf numFmtId="0" fontId="15" fillId="10" borderId="6" xfId="0" applyFont="1" applyFill="1" applyBorder="1" applyAlignment="1">
      <alignment horizontal="center" vertical="center" wrapText="1"/>
    </xf>
    <xf numFmtId="0" fontId="2" fillId="9" borderId="6" xfId="0" applyFont="1" applyFill="1" applyBorder="1" applyAlignment="1">
      <alignment horizontal="center" vertical="center"/>
    </xf>
    <xf numFmtId="0" fontId="16" fillId="10" borderId="6" xfId="0" applyFont="1" applyFill="1" applyBorder="1" applyAlignment="1">
      <alignment horizontal="center" vertical="center" wrapText="1"/>
    </xf>
    <xf numFmtId="0" fontId="2" fillId="9" borderId="1" xfId="0" applyFont="1" applyFill="1" applyBorder="1" applyAlignment="1">
      <alignment horizontal="center" vertical="center" wrapText="1"/>
    </xf>
    <xf numFmtId="0" fontId="2" fillId="9" borderId="6" xfId="0" applyFont="1" applyFill="1" applyBorder="1" applyAlignment="1">
      <alignment horizontal="center" vertical="center" wrapText="1"/>
    </xf>
    <xf numFmtId="0" fontId="3" fillId="0" borderId="5" xfId="0" applyFont="1" applyBorder="1" applyAlignment="1">
      <alignment horizontal="center"/>
    </xf>
    <xf numFmtId="43" fontId="3" fillId="0" borderId="5" xfId="0" applyNumberFormat="1" applyFont="1" applyBorder="1" applyAlignment="1">
      <alignment horizontal="center"/>
    </xf>
    <xf numFmtId="43" fontId="3" fillId="0" borderId="3" xfId="0" applyNumberFormat="1" applyFont="1" applyBorder="1" applyAlignment="1">
      <alignment horizontal="center"/>
    </xf>
    <xf numFmtId="49" fontId="3" fillId="0" borderId="3" xfId="0" applyNumberFormat="1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14" fontId="0" fillId="0" borderId="0" xfId="0" applyNumberFormat="1"/>
    <xf numFmtId="1" fontId="0" fillId="0" borderId="0" xfId="0" applyNumberFormat="1" applyAlignment="1">
      <alignment horizontal="right"/>
    </xf>
    <xf numFmtId="165" fontId="3" fillId="0" borderId="7" xfId="0" applyNumberFormat="1" applyFont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 wrapText="1"/>
    </xf>
    <xf numFmtId="0" fontId="12" fillId="11" borderId="1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2" fontId="0" fillId="0" borderId="1" xfId="0" applyNumberFormat="1" applyBorder="1"/>
    <xf numFmtId="3" fontId="0" fillId="0" borderId="1" xfId="0" applyNumberFormat="1" applyBorder="1"/>
    <xf numFmtId="169" fontId="3" fillId="0" borderId="1" xfId="0" applyNumberFormat="1" applyFont="1" applyBorder="1" applyAlignment="1">
      <alignment vertical="center"/>
    </xf>
    <xf numFmtId="0" fontId="0" fillId="0" borderId="1" xfId="0" applyBorder="1"/>
    <xf numFmtId="166" fontId="3" fillId="2" borderId="1" xfId="0" applyNumberFormat="1" applyFont="1" applyFill="1" applyBorder="1" applyAlignment="1">
      <alignment vertical="center"/>
    </xf>
    <xf numFmtId="167" fontId="3" fillId="2" borderId="1" xfId="0" applyNumberFormat="1" applyFont="1" applyFill="1" applyBorder="1" applyAlignment="1">
      <alignment vertical="center"/>
    </xf>
    <xf numFmtId="0" fontId="11" fillId="2" borderId="1" xfId="2" applyFont="1" applyFill="1" applyBorder="1" applyAlignment="1">
      <alignment horizontal="center" vertical="center"/>
    </xf>
    <xf numFmtId="0" fontId="3" fillId="0" borderId="1" xfId="0" applyFont="1" applyBorder="1" applyAlignment="1">
      <alignment horizontal="right"/>
    </xf>
    <xf numFmtId="0" fontId="0" fillId="0" borderId="0" xfId="0" applyAlignment="1">
      <alignment horizontal="right"/>
    </xf>
    <xf numFmtId="49" fontId="0" fillId="0" borderId="0" xfId="0" applyNumberFormat="1"/>
    <xf numFmtId="1" fontId="3" fillId="0" borderId="1" xfId="0" applyNumberFormat="1" applyFont="1" applyBorder="1" applyAlignment="1">
      <alignment horizontal="center"/>
    </xf>
    <xf numFmtId="14" fontId="3" fillId="0" borderId="1" xfId="0" applyNumberFormat="1" applyFont="1" applyBorder="1" applyAlignment="1">
      <alignment horizontal="center"/>
    </xf>
    <xf numFmtId="14" fontId="3" fillId="4" borderId="1" xfId="0" applyNumberFormat="1" applyFont="1" applyFill="1" applyBorder="1" applyAlignment="1">
      <alignment horizontal="center"/>
    </xf>
    <xf numFmtId="164" fontId="3" fillId="0" borderId="3" xfId="0" applyNumberFormat="1" applyFont="1" applyBorder="1" applyAlignment="1">
      <alignment horizontal="center"/>
    </xf>
    <xf numFmtId="0" fontId="3" fillId="0" borderId="1" xfId="0" applyFont="1" applyBorder="1" applyAlignment="1">
      <alignment horizontal="left"/>
    </xf>
    <xf numFmtId="0" fontId="0" fillId="0" borderId="0" xfId="0" pivotButton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7" fillId="0" borderId="0" xfId="0" applyFont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3" fillId="3" borderId="11" xfId="0" applyFont="1" applyFill="1" applyBorder="1" applyAlignment="1">
      <alignment horizontal="center" vertical="center"/>
    </xf>
    <xf numFmtId="0" fontId="13" fillId="3" borderId="3" xfId="1" applyFont="1" applyFill="1" applyBorder="1" applyAlignment="1">
      <alignment horizontal="center" vertical="center" wrapText="1"/>
    </xf>
    <xf numFmtId="0" fontId="13" fillId="3" borderId="1" xfId="1" applyFont="1" applyFill="1" applyBorder="1" applyAlignment="1">
      <alignment horizontal="center" vertical="center" wrapText="1"/>
    </xf>
    <xf numFmtId="0" fontId="13" fillId="3" borderId="13" xfId="1" applyFont="1" applyFill="1" applyBorder="1" applyAlignment="1">
      <alignment horizontal="center" vertical="center" wrapText="1"/>
    </xf>
    <xf numFmtId="169" fontId="3" fillId="2" borderId="12" xfId="0" applyNumberFormat="1" applyFont="1" applyFill="1" applyBorder="1" applyAlignment="1">
      <alignment vertical="center"/>
    </xf>
    <xf numFmtId="166" fontId="3" fillId="2" borderId="16" xfId="0" applyNumberFormat="1" applyFont="1" applyFill="1" applyBorder="1" applyAlignment="1">
      <alignment vertical="center"/>
    </xf>
    <xf numFmtId="164" fontId="3" fillId="0" borderId="3" xfId="0" applyNumberFormat="1" applyFont="1" applyBorder="1" applyAlignment="1">
      <alignment vertical="center"/>
    </xf>
    <xf numFmtId="164" fontId="3" fillId="0" borderId="10" xfId="0" applyNumberFormat="1" applyFont="1" applyBorder="1" applyAlignment="1">
      <alignment vertical="center"/>
    </xf>
    <xf numFmtId="164" fontId="3" fillId="2" borderId="2" xfId="0" applyNumberFormat="1" applyFont="1" applyFill="1" applyBorder="1" applyAlignment="1">
      <alignment vertical="center"/>
    </xf>
    <xf numFmtId="164" fontId="3" fillId="0" borderId="2" xfId="0" applyNumberFormat="1" applyFont="1" applyBorder="1" applyAlignment="1">
      <alignment vertical="center"/>
    </xf>
    <xf numFmtId="164" fontId="3" fillId="0" borderId="16" xfId="0" applyNumberFormat="1" applyFont="1" applyBorder="1" applyAlignment="1">
      <alignment vertical="center"/>
    </xf>
    <xf numFmtId="170" fontId="3" fillId="0" borderId="2" xfId="0" applyNumberFormat="1" applyFont="1" applyBorder="1" applyAlignment="1">
      <alignment vertical="center"/>
    </xf>
    <xf numFmtId="164" fontId="3" fillId="0" borderId="4" xfId="0" applyNumberFormat="1" applyFont="1" applyBorder="1" applyAlignment="1">
      <alignment vertical="center"/>
    </xf>
    <xf numFmtId="166" fontId="1" fillId="0" borderId="4" xfId="0" applyNumberFormat="1" applyFont="1" applyBorder="1" applyAlignment="1">
      <alignment vertical="center"/>
    </xf>
    <xf numFmtId="164" fontId="3" fillId="0" borderId="8" xfId="0" applyNumberFormat="1" applyFont="1" applyBorder="1" applyAlignment="1">
      <alignment vertical="center"/>
    </xf>
    <xf numFmtId="164" fontId="1" fillId="0" borderId="4" xfId="0" applyNumberFormat="1" applyFont="1" applyBorder="1" applyAlignment="1">
      <alignment vertical="center"/>
    </xf>
    <xf numFmtId="4" fontId="1" fillId="2" borderId="0" xfId="0" applyNumberFormat="1" applyFont="1" applyFill="1" applyAlignment="1">
      <alignment horizontal="center" vertical="center"/>
    </xf>
    <xf numFmtId="3" fontId="1" fillId="2" borderId="0" xfId="0" applyNumberFormat="1" applyFont="1" applyFill="1" applyAlignment="1">
      <alignment horizontal="center" vertical="center"/>
    </xf>
    <xf numFmtId="3" fontId="1" fillId="0" borderId="0" xfId="0" applyNumberFormat="1" applyFont="1" applyAlignment="1">
      <alignment vertical="center"/>
    </xf>
    <xf numFmtId="0" fontId="3" fillId="0" borderId="0" xfId="0" applyFont="1" applyAlignment="1">
      <alignment vertical="center"/>
    </xf>
    <xf numFmtId="49" fontId="3" fillId="0" borderId="2" xfId="0" applyNumberFormat="1" applyFont="1" applyBorder="1" applyAlignment="1">
      <alignment horizontal="center"/>
    </xf>
    <xf numFmtId="165" fontId="19" fillId="2" borderId="2" xfId="0" applyNumberFormat="1" applyFont="1" applyFill="1" applyBorder="1" applyAlignment="1">
      <alignment horizontal="right" vertical="center" indent="1"/>
    </xf>
    <xf numFmtId="165" fontId="3" fillId="2" borderId="2" xfId="0" applyNumberFormat="1" applyFont="1" applyFill="1" applyBorder="1" applyAlignment="1">
      <alignment vertical="center"/>
    </xf>
    <xf numFmtId="168" fontId="12" fillId="6" borderId="2" xfId="0" applyNumberFormat="1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165" fontId="20" fillId="2" borderId="2" xfId="0" applyNumberFormat="1" applyFont="1" applyFill="1" applyBorder="1" applyAlignment="1">
      <alignment horizontal="right" vertical="center" indent="1"/>
    </xf>
    <xf numFmtId="49" fontId="1" fillId="0" borderId="2" xfId="0" applyNumberFormat="1" applyFont="1" applyBorder="1" applyAlignment="1">
      <alignment horizontal="center"/>
    </xf>
    <xf numFmtId="167" fontId="1" fillId="2" borderId="2" xfId="0" applyNumberFormat="1" applyFont="1" applyFill="1" applyBorder="1" applyAlignment="1">
      <alignment vertical="center"/>
    </xf>
    <xf numFmtId="164" fontId="1" fillId="2" borderId="2" xfId="0" applyNumberFormat="1" applyFont="1" applyFill="1" applyBorder="1" applyAlignment="1">
      <alignment vertical="center"/>
    </xf>
    <xf numFmtId="165" fontId="1" fillId="2" borderId="2" xfId="0" applyNumberFormat="1" applyFont="1" applyFill="1" applyBorder="1" applyAlignment="1">
      <alignment vertical="center"/>
    </xf>
    <xf numFmtId="0" fontId="3" fillId="4" borderId="0" xfId="0" applyFont="1" applyFill="1" applyAlignment="1">
      <alignment vertical="center"/>
    </xf>
    <xf numFmtId="168" fontId="12" fillId="6" borderId="4" xfId="0" applyNumberFormat="1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165" fontId="20" fillId="2" borderId="4" xfId="0" applyNumberFormat="1" applyFont="1" applyFill="1" applyBorder="1" applyAlignment="1">
      <alignment horizontal="right" vertical="center" indent="1"/>
    </xf>
    <xf numFmtId="49" fontId="1" fillId="0" borderId="4" xfId="0" applyNumberFormat="1" applyFont="1" applyBorder="1" applyAlignment="1">
      <alignment horizontal="center"/>
    </xf>
    <xf numFmtId="164" fontId="1" fillId="2" borderId="4" xfId="0" applyNumberFormat="1" applyFont="1" applyFill="1" applyBorder="1" applyAlignment="1">
      <alignment vertical="center"/>
    </xf>
    <xf numFmtId="164" fontId="3" fillId="0" borderId="3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64" fontId="3" fillId="2" borderId="2" xfId="0" applyNumberFormat="1" applyFont="1" applyFill="1" applyBorder="1" applyAlignment="1">
      <alignment horizontal="center" vertical="center"/>
    </xf>
    <xf numFmtId="166" fontId="3" fillId="4" borderId="16" xfId="0" applyNumberFormat="1" applyFont="1" applyFill="1" applyBorder="1" applyAlignment="1">
      <alignment vertical="center"/>
    </xf>
    <xf numFmtId="164" fontId="3" fillId="2" borderId="4" xfId="0" applyNumberFormat="1" applyFont="1" applyFill="1" applyBorder="1" applyAlignment="1">
      <alignment vertical="center"/>
    </xf>
    <xf numFmtId="164" fontId="3" fillId="2" borderId="4" xfId="0" applyNumberFormat="1" applyFont="1" applyFill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164" fontId="3" fillId="0" borderId="11" xfId="0" applyNumberFormat="1" applyFont="1" applyBorder="1" applyAlignment="1">
      <alignment vertical="center"/>
    </xf>
    <xf numFmtId="1" fontId="3" fillId="0" borderId="11" xfId="0" applyNumberFormat="1" applyFont="1" applyBorder="1" applyAlignment="1">
      <alignment horizontal="right"/>
    </xf>
    <xf numFmtId="1" fontId="3" fillId="0" borderId="3" xfId="0" applyNumberFormat="1" applyFont="1" applyBorder="1" applyAlignment="1">
      <alignment horizontal="right"/>
    </xf>
    <xf numFmtId="164" fontId="3" fillId="0" borderId="12" xfId="0" applyNumberFormat="1" applyFont="1" applyBorder="1" applyAlignment="1">
      <alignment vertical="center"/>
    </xf>
    <xf numFmtId="1" fontId="3" fillId="0" borderId="12" xfId="0" applyNumberFormat="1" applyFont="1" applyBorder="1" applyAlignment="1">
      <alignment horizontal="right"/>
    </xf>
    <xf numFmtId="1" fontId="3" fillId="0" borderId="2" xfId="0" applyNumberFormat="1" applyFont="1" applyBorder="1" applyAlignment="1">
      <alignment horizontal="right"/>
    </xf>
    <xf numFmtId="165" fontId="19" fillId="2" borderId="2" xfId="0" applyNumberFormat="1" applyFont="1" applyFill="1" applyBorder="1" applyAlignment="1">
      <alignment horizontal="center" vertical="center"/>
    </xf>
    <xf numFmtId="164" fontId="3" fillId="2" borderId="12" xfId="0" applyNumberFormat="1" applyFont="1" applyFill="1" applyBorder="1" applyAlignment="1">
      <alignment vertical="center"/>
    </xf>
    <xf numFmtId="164" fontId="3" fillId="2" borderId="16" xfId="0" applyNumberFormat="1" applyFont="1" applyFill="1" applyBorder="1" applyAlignment="1">
      <alignment vertical="center"/>
    </xf>
    <xf numFmtId="165" fontId="19" fillId="0" borderId="2" xfId="0" applyNumberFormat="1" applyFont="1" applyBorder="1" applyAlignment="1">
      <alignment horizontal="right" vertical="center" indent="1"/>
    </xf>
    <xf numFmtId="165" fontId="19" fillId="0" borderId="2" xfId="0" applyNumberFormat="1" applyFont="1" applyBorder="1" applyAlignment="1">
      <alignment horizontal="center" vertical="center"/>
    </xf>
    <xf numFmtId="166" fontId="1" fillId="0" borderId="2" xfId="0" applyNumberFormat="1" applyFont="1" applyBorder="1" applyAlignment="1">
      <alignment vertical="center"/>
    </xf>
    <xf numFmtId="164" fontId="1" fillId="0" borderId="2" xfId="0" applyNumberFormat="1" applyFont="1" applyBorder="1" applyAlignment="1">
      <alignment vertical="center"/>
    </xf>
    <xf numFmtId="164" fontId="1" fillId="0" borderId="12" xfId="0" applyNumberFormat="1" applyFont="1" applyBorder="1" applyAlignment="1">
      <alignment vertical="center"/>
    </xf>
    <xf numFmtId="164" fontId="1" fillId="0" borderId="16" xfId="0" applyNumberFormat="1" applyFont="1" applyBorder="1" applyAlignment="1">
      <alignment vertical="center"/>
    </xf>
    <xf numFmtId="166" fontId="3" fillId="2" borderId="12" xfId="0" applyNumberFormat="1" applyFont="1" applyFill="1" applyBorder="1" applyAlignment="1">
      <alignment vertical="center"/>
    </xf>
    <xf numFmtId="165" fontId="19" fillId="0" borderId="4" xfId="0" applyNumberFormat="1" applyFont="1" applyBorder="1" applyAlignment="1">
      <alignment horizontal="right" vertical="center" indent="1"/>
    </xf>
    <xf numFmtId="165" fontId="19" fillId="0" borderId="4" xfId="0" applyNumberFormat="1" applyFont="1" applyBorder="1" applyAlignment="1">
      <alignment horizontal="center" vertical="center"/>
    </xf>
    <xf numFmtId="164" fontId="1" fillId="0" borderId="9" xfId="0" applyNumberFormat="1" applyFont="1" applyBorder="1" applyAlignment="1">
      <alignment vertical="center"/>
    </xf>
    <xf numFmtId="1" fontId="3" fillId="0" borderId="4" xfId="0" applyNumberFormat="1" applyFont="1" applyBorder="1" applyAlignment="1">
      <alignment horizontal="right"/>
    </xf>
    <xf numFmtId="0" fontId="1" fillId="0" borderId="3" xfId="0" applyFont="1" applyBorder="1" applyAlignment="1">
      <alignment horizontal="center" vertical="center"/>
    </xf>
    <xf numFmtId="164" fontId="1" fillId="0" borderId="3" xfId="0" applyNumberFormat="1" applyFont="1" applyBorder="1" applyAlignment="1">
      <alignment vertical="center"/>
    </xf>
    <xf numFmtId="166" fontId="1" fillId="0" borderId="3" xfId="0" applyNumberFormat="1" applyFont="1" applyBorder="1" applyAlignment="1">
      <alignment vertical="center"/>
    </xf>
    <xf numFmtId="165" fontId="1" fillId="0" borderId="3" xfId="0" applyNumberFormat="1" applyFont="1" applyBorder="1" applyAlignment="1">
      <alignment vertical="center"/>
    </xf>
    <xf numFmtId="165" fontId="1" fillId="0" borderId="4" xfId="0" applyNumberFormat="1" applyFont="1" applyBorder="1" applyAlignment="1">
      <alignment vertical="center"/>
    </xf>
    <xf numFmtId="164" fontId="3" fillId="0" borderId="1" xfId="0" applyNumberFormat="1" applyFont="1" applyBorder="1" applyAlignment="1">
      <alignment vertical="center"/>
    </xf>
    <xf numFmtId="168" fontId="6" fillId="7" borderId="3" xfId="0" applyNumberFormat="1" applyFont="1" applyFill="1" applyBorder="1" applyAlignment="1">
      <alignment horizontal="center" vertical="center"/>
    </xf>
    <xf numFmtId="165" fontId="19" fillId="2" borderId="3" xfId="0" applyNumberFormat="1" applyFont="1" applyFill="1" applyBorder="1" applyAlignment="1">
      <alignment horizontal="center" vertical="center"/>
    </xf>
    <xf numFmtId="168" fontId="6" fillId="7" borderId="2" xfId="0" applyNumberFormat="1" applyFont="1" applyFill="1" applyBorder="1" applyAlignment="1">
      <alignment horizontal="center" vertical="center"/>
    </xf>
    <xf numFmtId="165" fontId="19" fillId="2" borderId="4" xfId="0" applyNumberFormat="1" applyFont="1" applyFill="1" applyBorder="1" applyAlignment="1">
      <alignment horizontal="center" vertical="center"/>
    </xf>
    <xf numFmtId="167" fontId="3" fillId="0" borderId="4" xfId="0" applyNumberFormat="1" applyFont="1" applyBorder="1" applyAlignment="1">
      <alignment vertical="center"/>
    </xf>
    <xf numFmtId="0" fontId="0" fillId="0" borderId="0" xfId="0" applyAlignment="1">
      <alignment horizontal="left" indent="1"/>
    </xf>
    <xf numFmtId="0" fontId="21" fillId="0" borderId="0" xfId="0" applyFont="1"/>
    <xf numFmtId="0" fontId="3" fillId="0" borderId="7" xfId="0" applyFont="1" applyBorder="1" applyAlignment="1">
      <alignment horizontal="center"/>
    </xf>
    <xf numFmtId="0" fontId="11" fillId="0" borderId="7" xfId="0" applyFont="1" applyBorder="1" applyAlignment="1">
      <alignment horizontal="center"/>
    </xf>
    <xf numFmtId="0" fontId="3" fillId="12" borderId="1" xfId="0" applyFont="1" applyFill="1" applyBorder="1" applyAlignment="1">
      <alignment horizontal="center"/>
    </xf>
    <xf numFmtId="0" fontId="3" fillId="12" borderId="7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4" borderId="1" xfId="0" applyFont="1" applyFill="1" applyBorder="1" applyAlignment="1">
      <alignment horizontal="center"/>
    </xf>
    <xf numFmtId="0" fontId="3" fillId="4" borderId="7" xfId="0" applyFont="1" applyFill="1" applyBorder="1" applyAlignment="1">
      <alignment horizontal="center"/>
    </xf>
    <xf numFmtId="0" fontId="11" fillId="2" borderId="1" xfId="0" applyFont="1" applyFill="1" applyBorder="1" applyAlignment="1">
      <alignment horizontal="center"/>
    </xf>
    <xf numFmtId="0" fontId="3" fillId="0" borderId="10" xfId="0" applyFont="1" applyBorder="1" applyAlignment="1">
      <alignment horizontal="center"/>
    </xf>
    <xf numFmtId="168" fontId="12" fillId="6" borderId="3" xfId="0" applyNumberFormat="1" applyFont="1" applyFill="1" applyBorder="1" applyAlignment="1">
      <alignment horizontal="center" vertical="center" wrapText="1"/>
    </xf>
    <xf numFmtId="168" fontId="12" fillId="6" borderId="2" xfId="0" applyNumberFormat="1" applyFont="1" applyFill="1" applyBorder="1" applyAlignment="1">
      <alignment horizontal="center" vertical="center" wrapText="1"/>
    </xf>
    <xf numFmtId="168" fontId="12" fillId="6" borderId="4" xfId="0" applyNumberFormat="1" applyFont="1" applyFill="1" applyBorder="1" applyAlignment="1">
      <alignment horizontal="center" vertical="center" wrapText="1"/>
    </xf>
    <xf numFmtId="0" fontId="18" fillId="13" borderId="0" xfId="0" applyFont="1" applyFill="1" applyAlignment="1">
      <alignment horizontal="center" vertical="center"/>
    </xf>
    <xf numFmtId="0" fontId="18" fillId="13" borderId="15" xfId="0" applyFont="1" applyFill="1" applyBorder="1" applyAlignment="1">
      <alignment horizontal="center" vertical="center"/>
    </xf>
    <xf numFmtId="0" fontId="17" fillId="0" borderId="5" xfId="0" applyFont="1" applyBorder="1" applyAlignment="1">
      <alignment horizontal="center" vertical="center"/>
    </xf>
    <xf numFmtId="0" fontId="17" fillId="0" borderId="14" xfId="0" applyFont="1" applyBorder="1" applyAlignment="1">
      <alignment horizontal="center" vertical="center"/>
    </xf>
    <xf numFmtId="0" fontId="17" fillId="0" borderId="7" xfId="0" applyFont="1" applyBorder="1" applyAlignment="1">
      <alignment horizontal="center" vertical="center"/>
    </xf>
    <xf numFmtId="0" fontId="18" fillId="0" borderId="5" xfId="0" applyFont="1" applyBorder="1" applyAlignment="1">
      <alignment horizontal="center" vertical="center"/>
    </xf>
    <xf numFmtId="0" fontId="18" fillId="0" borderId="14" xfId="0" applyFont="1" applyBorder="1" applyAlignment="1">
      <alignment horizontal="center" vertical="center"/>
    </xf>
    <xf numFmtId="0" fontId="18" fillId="0" borderId="7" xfId="0" applyFont="1" applyBorder="1" applyAlignment="1">
      <alignment horizontal="center" vertical="center"/>
    </xf>
    <xf numFmtId="168" fontId="12" fillId="6" borderId="3" xfId="0" applyNumberFormat="1" applyFont="1" applyFill="1" applyBorder="1" applyAlignment="1">
      <alignment horizontal="center" vertical="center"/>
    </xf>
    <xf numFmtId="168" fontId="12" fillId="6" borderId="1" xfId="0" applyNumberFormat="1" applyFont="1" applyFill="1" applyBorder="1" applyAlignment="1">
      <alignment horizontal="center" vertical="center"/>
    </xf>
    <xf numFmtId="168" fontId="6" fillId="7" borderId="4" xfId="0" applyNumberFormat="1" applyFont="1" applyFill="1" applyBorder="1" applyAlignment="1">
      <alignment horizontal="center" vertical="center"/>
    </xf>
    <xf numFmtId="168" fontId="6" fillId="7" borderId="3" xfId="0" applyNumberFormat="1" applyFont="1" applyFill="1" applyBorder="1" applyAlignment="1">
      <alignment horizontal="center" vertical="center" wrapText="1"/>
    </xf>
    <xf numFmtId="168" fontId="6" fillId="7" borderId="2" xfId="0" applyNumberFormat="1" applyFont="1" applyFill="1" applyBorder="1" applyAlignment="1">
      <alignment horizontal="center" vertical="center" wrapText="1"/>
    </xf>
    <xf numFmtId="168" fontId="6" fillId="7" borderId="4" xfId="0" applyNumberFormat="1" applyFont="1" applyFill="1" applyBorder="1" applyAlignment="1">
      <alignment horizontal="center" vertical="center" wrapText="1"/>
    </xf>
    <xf numFmtId="0" fontId="6" fillId="3" borderId="8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1" fontId="6" fillId="3" borderId="4" xfId="0" applyNumberFormat="1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 wrapText="1"/>
    </xf>
    <xf numFmtId="0" fontId="3" fillId="14" borderId="1" xfId="0" applyFont="1" applyFill="1" applyBorder="1" applyAlignment="1">
      <alignment horizontal="center"/>
    </xf>
    <xf numFmtId="0" fontId="3" fillId="14" borderId="3" xfId="0" applyFont="1" applyFill="1" applyBorder="1" applyAlignment="1">
      <alignment horizontal="center"/>
    </xf>
    <xf numFmtId="0" fontId="3" fillId="14" borderId="1" xfId="0" applyFont="1" applyFill="1" applyBorder="1" applyAlignment="1">
      <alignment horizontal="left"/>
    </xf>
    <xf numFmtId="165" fontId="11" fillId="0" borderId="1" xfId="0" applyNumberFormat="1" applyFont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 wrapText="1"/>
    </xf>
    <xf numFmtId="0" fontId="3" fillId="0" borderId="7" xfId="0" applyFont="1" applyBorder="1" applyAlignment="1">
      <alignment horizontal="left"/>
    </xf>
    <xf numFmtId="0" fontId="3" fillId="14" borderId="7" xfId="0" applyFont="1" applyFill="1" applyBorder="1" applyAlignment="1">
      <alignment horizontal="left"/>
    </xf>
    <xf numFmtId="16" fontId="0" fillId="15" borderId="0" xfId="0" applyNumberFormat="1" applyFill="1" applyAlignment="1">
      <alignment horizontal="center"/>
    </xf>
    <xf numFmtId="0" fontId="0" fillId="15" borderId="0" xfId="0" applyFill="1" applyAlignment="1">
      <alignment horizontal="center"/>
    </xf>
    <xf numFmtId="16" fontId="0" fillId="11" borderId="0" xfId="0" applyNumberFormat="1" applyFill="1"/>
    <xf numFmtId="0" fontId="0" fillId="11" borderId="0" xfId="0" applyFill="1"/>
    <xf numFmtId="16" fontId="0" fillId="14" borderId="0" xfId="0" applyNumberFormat="1" applyFill="1"/>
    <xf numFmtId="0" fontId="0" fillId="14" borderId="0" xfId="0" applyFill="1"/>
    <xf numFmtId="0" fontId="3" fillId="0" borderId="0" xfId="0" applyFont="1" applyAlignment="1">
      <alignment horizontal="left"/>
    </xf>
    <xf numFmtId="0" fontId="3" fillId="14" borderId="5" xfId="0" applyFont="1" applyFill="1" applyBorder="1" applyAlignment="1">
      <alignment horizontal="center"/>
    </xf>
    <xf numFmtId="0" fontId="0" fillId="0" borderId="0" xfId="0" applyAlignment="1">
      <alignment horizontal="left" wrapText="1"/>
    </xf>
    <xf numFmtId="0" fontId="0" fillId="0" borderId="17" xfId="0" applyBorder="1"/>
    <xf numFmtId="0" fontId="23" fillId="0" borderId="0" xfId="0" applyFont="1" applyAlignment="1">
      <alignment horizontal="center"/>
    </xf>
    <xf numFmtId="0" fontId="6" fillId="3" borderId="18" xfId="0" applyFont="1" applyFill="1" applyBorder="1" applyAlignment="1">
      <alignment horizontal="center" vertical="center" wrapText="1"/>
    </xf>
    <xf numFmtId="0" fontId="3" fillId="0" borderId="16" xfId="0" applyFont="1" applyBorder="1" applyAlignment="1">
      <alignment horizontal="left"/>
    </xf>
    <xf numFmtId="0" fontId="3" fillId="0" borderId="10" xfId="0" applyFont="1" applyBorder="1" applyAlignment="1">
      <alignment horizontal="left"/>
    </xf>
    <xf numFmtId="14" fontId="3" fillId="0" borderId="3" xfId="0" applyNumberFormat="1" applyFont="1" applyBorder="1" applyAlignment="1">
      <alignment horizontal="center"/>
    </xf>
    <xf numFmtId="0" fontId="24" fillId="0" borderId="0" xfId="0" applyFont="1"/>
    <xf numFmtId="0" fontId="0" fillId="0" borderId="1" xfId="0" applyBorder="1" applyAlignment="1">
      <alignment horizontal="center"/>
    </xf>
    <xf numFmtId="3" fontId="3" fillId="0" borderId="1" xfId="0" applyNumberFormat="1" applyFont="1" applyBorder="1" applyAlignment="1">
      <alignment horizontal="center"/>
    </xf>
    <xf numFmtId="0" fontId="6" fillId="3" borderId="16" xfId="0" applyFont="1" applyFill="1" applyBorder="1" applyAlignment="1">
      <alignment horizontal="center" vertical="center" wrapText="1"/>
    </xf>
    <xf numFmtId="164" fontId="0" fillId="0" borderId="0" xfId="0" applyNumberFormat="1"/>
    <xf numFmtId="0" fontId="25" fillId="16" borderId="0" xfId="6"/>
    <xf numFmtId="0" fontId="0" fillId="4" borderId="0" xfId="0" applyFill="1"/>
    <xf numFmtId="0" fontId="25" fillId="5" borderId="0" xfId="6" applyFill="1"/>
    <xf numFmtId="0" fontId="0" fillId="17" borderId="0" xfId="0" applyFill="1"/>
    <xf numFmtId="0" fontId="22" fillId="0" borderId="19" xfId="0" applyFont="1" applyBorder="1" applyAlignment="1">
      <alignment horizontal="left"/>
    </xf>
    <xf numFmtId="0" fontId="0" fillId="18" borderId="0" xfId="0" applyFill="1"/>
    <xf numFmtId="0" fontId="0" fillId="19" borderId="0" xfId="0" applyFill="1"/>
    <xf numFmtId="0" fontId="0" fillId="20" borderId="0" xfId="0" applyFill="1"/>
    <xf numFmtId="0" fontId="26" fillId="0" borderId="0" xfId="0" applyFont="1"/>
    <xf numFmtId="0" fontId="0" fillId="0" borderId="20" xfId="0" applyBorder="1"/>
    <xf numFmtId="0" fontId="0" fillId="20" borderId="20" xfId="0" applyFill="1" applyBorder="1"/>
    <xf numFmtId="0" fontId="0" fillId="2" borderId="0" xfId="0" applyFill="1"/>
    <xf numFmtId="43" fontId="3" fillId="4" borderId="1" xfId="0" applyNumberFormat="1" applyFont="1" applyFill="1" applyBorder="1" applyAlignment="1">
      <alignment horizontal="center"/>
    </xf>
    <xf numFmtId="165" fontId="3" fillId="4" borderId="1" xfId="0" applyNumberFormat="1" applyFont="1" applyFill="1" applyBorder="1" applyAlignment="1">
      <alignment horizontal="center" vertical="center"/>
    </xf>
    <xf numFmtId="0" fontId="3" fillId="21" borderId="1" xfId="0" applyFont="1" applyFill="1" applyBorder="1" applyAlignment="1">
      <alignment horizontal="center"/>
    </xf>
    <xf numFmtId="0" fontId="3" fillId="21" borderId="3" xfId="0" applyFont="1" applyFill="1" applyBorder="1" applyAlignment="1">
      <alignment horizontal="center"/>
    </xf>
    <xf numFmtId="0" fontId="11" fillId="21" borderId="3" xfId="0" applyFont="1" applyFill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0" fontId="11" fillId="17" borderId="1" xfId="0" applyFont="1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3" fontId="0" fillId="0" borderId="1" xfId="0" applyNumberFormat="1" applyBorder="1" applyAlignment="1">
      <alignment horizontal="center" vertical="center"/>
    </xf>
    <xf numFmtId="0" fontId="13" fillId="7" borderId="4" xfId="0" applyFont="1" applyFill="1" applyBorder="1" applyAlignment="1">
      <alignment horizontal="left" vertical="center" wrapText="1" indent="1"/>
    </xf>
    <xf numFmtId="3" fontId="13" fillId="7" borderId="1" xfId="0" applyNumberFormat="1" applyFont="1" applyFill="1" applyBorder="1" applyAlignment="1">
      <alignment horizontal="center" vertical="center"/>
    </xf>
    <xf numFmtId="0" fontId="13" fillId="7" borderId="4" xfId="0" applyFont="1" applyFill="1" applyBorder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13" fillId="22" borderId="4" xfId="0" applyFont="1" applyFill="1" applyBorder="1" applyAlignment="1">
      <alignment horizontal="center" vertical="center" wrapText="1"/>
    </xf>
    <xf numFmtId="0" fontId="22" fillId="4" borderId="4" xfId="0" applyFont="1" applyFill="1" applyBorder="1" applyAlignment="1">
      <alignment horizontal="center" vertical="center" wrapText="1"/>
    </xf>
    <xf numFmtId="0" fontId="29" fillId="23" borderId="4" xfId="0" applyFont="1" applyFill="1" applyBorder="1" applyAlignment="1">
      <alignment horizontal="center" vertical="center"/>
    </xf>
    <xf numFmtId="0" fontId="29" fillId="24" borderId="4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2" fillId="0" borderId="4" xfId="0" applyFont="1" applyBorder="1" applyAlignment="1">
      <alignment horizontal="center" vertical="center" wrapText="1"/>
    </xf>
    <xf numFmtId="4" fontId="0" fillId="0" borderId="1" xfId="0" applyNumberFormat="1" applyBorder="1" applyAlignment="1">
      <alignment horizontal="center" vertical="center"/>
    </xf>
    <xf numFmtId="0" fontId="13" fillId="7" borderId="1" xfId="0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2" fontId="0" fillId="2" borderId="1" xfId="0" applyNumberFormat="1" applyFill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2" fontId="0" fillId="4" borderId="1" xfId="0" applyNumberFormat="1" applyFill="1" applyBorder="1" applyAlignment="1">
      <alignment horizontal="center" vertical="center"/>
    </xf>
    <xf numFmtId="0" fontId="13" fillId="25" borderId="1" xfId="0" applyFont="1" applyFill="1" applyBorder="1" applyAlignment="1">
      <alignment horizontal="center" vertical="center"/>
    </xf>
    <xf numFmtId="1" fontId="13" fillId="7" borderId="1" xfId="0" applyNumberFormat="1" applyFont="1" applyFill="1" applyBorder="1" applyAlignment="1">
      <alignment horizontal="center" vertical="center"/>
    </xf>
    <xf numFmtId="0" fontId="11" fillId="11" borderId="1" xfId="0" applyFont="1" applyFill="1" applyBorder="1" applyAlignment="1">
      <alignment horizontal="center"/>
    </xf>
    <xf numFmtId="0" fontId="11" fillId="11" borderId="3" xfId="0" applyFont="1" applyFill="1" applyBorder="1" applyAlignment="1">
      <alignment horizontal="center"/>
    </xf>
    <xf numFmtId="9" fontId="0" fillId="0" borderId="0" xfId="0" applyNumberFormat="1"/>
    <xf numFmtId="17" fontId="3" fillId="0" borderId="1" xfId="0" applyNumberFormat="1" applyFont="1" applyBorder="1" applyAlignment="1">
      <alignment horizontal="center"/>
    </xf>
    <xf numFmtId="0" fontId="11" fillId="26" borderId="1" xfId="0" applyFont="1" applyFill="1" applyBorder="1" applyAlignment="1">
      <alignment horizontal="center"/>
    </xf>
    <xf numFmtId="0" fontId="11" fillId="4" borderId="1" xfId="0" applyFont="1" applyFill="1" applyBorder="1" applyAlignment="1">
      <alignment horizontal="center"/>
    </xf>
    <xf numFmtId="0" fontId="11" fillId="26" borderId="7" xfId="0" applyFont="1" applyFill="1" applyBorder="1" applyAlignment="1">
      <alignment horizontal="center"/>
    </xf>
    <xf numFmtId="0" fontId="11" fillId="0" borderId="10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11" fillId="0" borderId="16" xfId="0" applyFont="1" applyBorder="1" applyAlignment="1">
      <alignment horizontal="center"/>
    </xf>
    <xf numFmtId="0" fontId="11" fillId="0" borderId="2" xfId="0" applyFont="1" applyBorder="1" applyAlignment="1">
      <alignment horizontal="center"/>
    </xf>
    <xf numFmtId="172" fontId="0" fillId="0" borderId="0" xfId="0" applyNumberFormat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0" xfId="0" applyAlignment="1">
      <alignment horizontal="center"/>
    </xf>
    <xf numFmtId="0" fontId="11" fillId="27" borderId="1" xfId="0" applyFont="1" applyFill="1" applyBorder="1" applyAlignment="1">
      <alignment horizontal="center"/>
    </xf>
    <xf numFmtId="165" fontId="0" fillId="0" borderId="0" xfId="8" applyNumberFormat="1" applyFont="1"/>
    <xf numFmtId="1" fontId="0" fillId="0" borderId="0" xfId="0" applyNumberFormat="1"/>
    <xf numFmtId="165" fontId="34" fillId="0" borderId="0" xfId="8" applyNumberFormat="1" applyFont="1"/>
    <xf numFmtId="165" fontId="0" fillId="0" borderId="0" xfId="0" applyNumberFormat="1"/>
    <xf numFmtId="2" fontId="0" fillId="4" borderId="0" xfId="0" applyNumberFormat="1" applyFill="1"/>
    <xf numFmtId="0" fontId="33" fillId="20" borderId="1" xfId="0" applyFont="1" applyFill="1" applyBorder="1" applyAlignment="1">
      <alignment horizontal="center" vertical="top"/>
    </xf>
    <xf numFmtId="0" fontId="33" fillId="20" borderId="2" xfId="0" applyFont="1" applyFill="1" applyBorder="1" applyAlignment="1">
      <alignment horizontal="center" vertical="top"/>
    </xf>
    <xf numFmtId="0" fontId="22" fillId="20" borderId="0" xfId="0" applyFont="1" applyFill="1"/>
    <xf numFmtId="165" fontId="22" fillId="20" borderId="0" xfId="8" applyNumberFormat="1" applyFont="1" applyFill="1"/>
    <xf numFmtId="165" fontId="22" fillId="20" borderId="0" xfId="0" applyNumberFormat="1" applyFont="1" applyFill="1"/>
    <xf numFmtId="2" fontId="22" fillId="20" borderId="0" xfId="0" applyNumberFormat="1" applyFont="1" applyFill="1"/>
    <xf numFmtId="3" fontId="0" fillId="0" borderId="0" xfId="0" applyNumberFormat="1"/>
    <xf numFmtId="0" fontId="13" fillId="29" borderId="30" xfId="0" applyFont="1" applyFill="1" applyBorder="1"/>
    <xf numFmtId="0" fontId="22" fillId="0" borderId="31" xfId="0" applyFont="1" applyBorder="1"/>
    <xf numFmtId="9" fontId="22" fillId="28" borderId="0" xfId="3" applyFont="1" applyFill="1"/>
    <xf numFmtId="9" fontId="22" fillId="28" borderId="0" xfId="0" applyNumberFormat="1" applyFont="1" applyFill="1"/>
    <xf numFmtId="0" fontId="22" fillId="0" borderId="0" xfId="0" applyFont="1"/>
    <xf numFmtId="0" fontId="22" fillId="14" borderId="0" xfId="0" applyFont="1" applyFill="1"/>
    <xf numFmtId="0" fontId="27" fillId="0" borderId="7" xfId="0" applyFont="1" applyBorder="1" applyAlignment="1">
      <alignment horizontal="center"/>
    </xf>
    <xf numFmtId="0" fontId="3" fillId="4" borderId="10" xfId="0" applyFont="1" applyFill="1" applyBorder="1" applyAlignment="1">
      <alignment horizontal="center"/>
    </xf>
    <xf numFmtId="43" fontId="27" fillId="0" borderId="1" xfId="0" applyNumberFormat="1" applyFont="1" applyBorder="1" applyAlignment="1">
      <alignment horizontal="center"/>
    </xf>
    <xf numFmtId="43" fontId="3" fillId="0" borderId="11" xfId="0" applyNumberFormat="1" applyFont="1" applyBorder="1" applyAlignment="1">
      <alignment horizontal="center"/>
    </xf>
    <xf numFmtId="0" fontId="32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0" borderId="0" xfId="0" applyAlignment="1">
      <alignment horizontal="left" wrapText="1"/>
    </xf>
    <xf numFmtId="0" fontId="23" fillId="0" borderId="1" xfId="0" applyFont="1" applyBorder="1" applyAlignment="1">
      <alignment horizontal="center"/>
    </xf>
    <xf numFmtId="0" fontId="28" fillId="0" borderId="1" xfId="0" applyFont="1" applyBorder="1" applyAlignment="1">
      <alignment horizontal="center"/>
    </xf>
  </cellXfs>
  <cellStyles count="9">
    <cellStyle name="Bueno" xfId="6" builtinId="26"/>
    <cellStyle name="Millares" xfId="8" builtinId="3"/>
    <cellStyle name="Millares 2 2" xfId="7" xr:uid="{00000000-0005-0000-0000-000002000000}"/>
    <cellStyle name="Normal" xfId="0" builtinId="0"/>
    <cellStyle name="Normal 2" xfId="1" xr:uid="{00000000-0005-0000-0000-000004000000}"/>
    <cellStyle name="Normal 2 2" xfId="2" xr:uid="{00000000-0005-0000-0000-000005000000}"/>
    <cellStyle name="Normal 2 2 2" xfId="4" xr:uid="{00000000-0005-0000-0000-000006000000}"/>
    <cellStyle name="Normal 3" xfId="5" xr:uid="{00000000-0005-0000-0000-000007000000}"/>
    <cellStyle name="Porcentaje" xfId="3" builtinId="5"/>
  </cellStyles>
  <dxfs count="13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9" formatCode="d/mm/yy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5" formatCode="_-* #,##0.00_-;\-* #,##0.00_-;_-* &quot;-&quot;??_-;_-@_-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_-* #,##0_-;\-* #,##0_-;_-* &quot;-&quot;??_-;_-@_-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_-* #,##0_-;\-* #,##0_-;_-* &quot;-&quot;??_-;_-@_-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_-* #,##0_-;\-* #,##0_-;_-* &quot;-&quot;??_-;_-@_-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_-* #,##0_-;\-* #,##0_-;_-* &quot;-&quot;??_-;_-@_-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5" formatCode="_-* #,##0.00_-;\-* #,##0.00_-;_-* &quot;-&quot;??_-;_-@_-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5" formatCode="_-* #,##0.00_-;\-* #,##0.00_-;_-* &quot;-&quot;??_-;_-@_-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5" formatCode="_-* #,##0.00_-;\-* #,##0.00_-;_-* &quot;-&quot;??_-;_-@_-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5" formatCode="_-* #,##0.00_-;\-* #,##0.00_-;_-* &quot;-&quot;??_-;_-@_-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4" formatCode="_(* #,##0_);_(* \(#,##0\);_(* \-??_);_(@_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fill>
        <patternFill patternType="solid">
          <fgColor indexed="64"/>
          <bgColor rgb="FFFF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9" formatCode="d/mm/yyyy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border outline="0">
        <left style="thin">
          <color indexed="64"/>
        </left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fill>
        <patternFill patternType="solid">
          <fgColor indexed="64"/>
          <bgColor rgb="FFFF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72" formatCode="0\ &quot;años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9" formatCode="d/mm/yy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fill>
        <patternFill patternType="solid">
          <fgColor indexed="64"/>
          <bgColor rgb="FFFF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" formatCode="#,##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9" formatCode="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_-* #,##0_-;\-* #,##0_-;_-* &quot;-&quot;??_-;_-@_-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_-* #,##0_-;\-* #,##0_-;_-* &quot;-&quot;??_-;_-@_-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_-* #,##0_-;\-* #,##0_-;_-* &quot;-&quot;??_-;_-@_-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_-* #,##0_-;\-* #,##0_-;_-* &quot;-&quot;??_-;_-@_-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4" formatCode="_(* #,##0_);_(* \(#,##0\);_(* \-??_);_(@_)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none"/>
      </font>
      <alignment horizontal="center" vertical="bottom" textRotation="0" wrapText="0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fill>
        <patternFill patternType="solid">
          <fgColor indexed="64"/>
          <bgColor rgb="FFFF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none"/>
      </font>
      <alignment horizontal="center" vertical="bottom" textRotation="0" wrapText="0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fill>
        <patternFill patternType="solid">
          <fgColor indexed="64"/>
          <bgColor rgb="FFFF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</dxf>
    <dxf>
      <numFmt numFmtId="173" formatCode="0.000"/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ill>
        <patternFill>
          <bgColor rgb="FFFF0000"/>
        </patternFill>
      </fill>
    </dxf>
  </dxfs>
  <tableStyles count="2" defaultTableStyle="TableStyleMedium2" defaultPivotStyle="PivotStyleLight16">
    <tableStyle name="Estilo de tabla 1" pivot="0" count="0" xr9:uid="{00000000-0011-0000-FFFF-FFFF00000000}"/>
    <tableStyle name="Estilo de tabla dinámica 1" table="0" count="1" xr9:uid="{00000000-0011-0000-FFFF-FFFF01000000}">
      <tableStyleElement type="firstColumnStripe" dxfId="137"/>
    </tableStyle>
  </tableStyles>
  <colors>
    <mruColors>
      <color rgb="FF00FF00"/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pivotCacheDefinition" Target="pivotCache/pivotCacheDefinition1.xml"/><Relationship Id="rId47" Type="http://schemas.openxmlformats.org/officeDocument/2006/relationships/pivotCacheDefinition" Target="pivotCache/pivotCacheDefinition6.xml"/><Relationship Id="rId63" Type="http://schemas.openxmlformats.org/officeDocument/2006/relationships/customXml" Target="../customXml/item4.xml"/><Relationship Id="rId68" Type="http://schemas.openxmlformats.org/officeDocument/2006/relationships/customXml" Target="../customXml/item9.xml"/><Relationship Id="rId84" Type="http://schemas.openxmlformats.org/officeDocument/2006/relationships/customXml" Target="../customXml/item25.xml"/><Relationship Id="rId89" Type="http://schemas.openxmlformats.org/officeDocument/2006/relationships/customXml" Target="../customXml/item30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microsoft.com/office/2007/relationships/slicerCache" Target="slicerCaches/slicerCache1.xml"/><Relationship Id="rId58" Type="http://schemas.openxmlformats.org/officeDocument/2006/relationships/sheetMetadata" Target="metadata.xml"/><Relationship Id="rId74" Type="http://schemas.openxmlformats.org/officeDocument/2006/relationships/customXml" Target="../customXml/item15.xml"/><Relationship Id="rId79" Type="http://schemas.openxmlformats.org/officeDocument/2006/relationships/customXml" Target="../customXml/item20.xml"/><Relationship Id="rId5" Type="http://schemas.openxmlformats.org/officeDocument/2006/relationships/worksheet" Target="worksheets/sheet5.xml"/><Relationship Id="rId90" Type="http://schemas.openxmlformats.org/officeDocument/2006/relationships/customXml" Target="../customXml/item31.xml"/><Relationship Id="rId95" Type="http://schemas.openxmlformats.org/officeDocument/2006/relationships/customXml" Target="../customXml/item36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pivotCacheDefinition" Target="pivotCache/pivotCacheDefinition2.xml"/><Relationship Id="rId48" Type="http://schemas.openxmlformats.org/officeDocument/2006/relationships/pivotCacheDefinition" Target="pivotCache/pivotCacheDefinition7.xml"/><Relationship Id="rId64" Type="http://schemas.openxmlformats.org/officeDocument/2006/relationships/customXml" Target="../customXml/item5.xml"/><Relationship Id="rId69" Type="http://schemas.openxmlformats.org/officeDocument/2006/relationships/customXml" Target="../customXml/item10.xml"/><Relationship Id="rId8" Type="http://schemas.openxmlformats.org/officeDocument/2006/relationships/worksheet" Target="worksheets/sheet8.xml"/><Relationship Id="rId51" Type="http://schemas.openxmlformats.org/officeDocument/2006/relationships/pivotCacheDefinition" Target="pivotCache/pivotCacheDefinition10.xml"/><Relationship Id="rId72" Type="http://schemas.openxmlformats.org/officeDocument/2006/relationships/customXml" Target="../customXml/item13.xml"/><Relationship Id="rId80" Type="http://schemas.openxmlformats.org/officeDocument/2006/relationships/customXml" Target="../customXml/item21.xml"/><Relationship Id="rId85" Type="http://schemas.openxmlformats.org/officeDocument/2006/relationships/customXml" Target="../customXml/item26.xml"/><Relationship Id="rId93" Type="http://schemas.openxmlformats.org/officeDocument/2006/relationships/customXml" Target="../customXml/item34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pivotCacheDefinition" Target="pivotCache/pivotCacheDefinition5.xml"/><Relationship Id="rId59" Type="http://schemas.openxmlformats.org/officeDocument/2006/relationships/calcChain" Target="calcChain.xml"/><Relationship Id="rId67" Type="http://schemas.openxmlformats.org/officeDocument/2006/relationships/customXml" Target="../customXml/item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theme" Target="theme/theme1.xml"/><Relationship Id="rId62" Type="http://schemas.openxmlformats.org/officeDocument/2006/relationships/customXml" Target="../customXml/item3.xml"/><Relationship Id="rId70" Type="http://schemas.openxmlformats.org/officeDocument/2006/relationships/customXml" Target="../customXml/item11.xml"/><Relationship Id="rId75" Type="http://schemas.openxmlformats.org/officeDocument/2006/relationships/customXml" Target="../customXml/item16.xml"/><Relationship Id="rId83" Type="http://schemas.openxmlformats.org/officeDocument/2006/relationships/customXml" Target="../customXml/item24.xml"/><Relationship Id="rId88" Type="http://schemas.openxmlformats.org/officeDocument/2006/relationships/customXml" Target="../customXml/item29.xml"/><Relationship Id="rId91" Type="http://schemas.openxmlformats.org/officeDocument/2006/relationships/customXml" Target="../customXml/item32.xml"/><Relationship Id="rId9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pivotCacheDefinition" Target="pivotCache/pivotCacheDefinition8.xml"/><Relationship Id="rId57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3.xml"/><Relationship Id="rId52" Type="http://schemas.openxmlformats.org/officeDocument/2006/relationships/pivotCacheDefinition" Target="pivotCache/pivotCacheDefinition11.xml"/><Relationship Id="rId60" Type="http://schemas.openxmlformats.org/officeDocument/2006/relationships/customXml" Target="../customXml/item1.xml"/><Relationship Id="rId65" Type="http://schemas.openxmlformats.org/officeDocument/2006/relationships/customXml" Target="../customXml/item6.xml"/><Relationship Id="rId73" Type="http://schemas.openxmlformats.org/officeDocument/2006/relationships/customXml" Target="../customXml/item14.xml"/><Relationship Id="rId78" Type="http://schemas.openxmlformats.org/officeDocument/2006/relationships/customXml" Target="../customXml/item19.xml"/><Relationship Id="rId81" Type="http://schemas.openxmlformats.org/officeDocument/2006/relationships/customXml" Target="../customXml/item22.xml"/><Relationship Id="rId86" Type="http://schemas.openxmlformats.org/officeDocument/2006/relationships/customXml" Target="../customXml/item27.xml"/><Relationship Id="rId94" Type="http://schemas.openxmlformats.org/officeDocument/2006/relationships/customXml" Target="../customXml/item3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pivotCacheDefinition" Target="pivotCache/pivotCacheDefinition9.xml"/><Relationship Id="rId55" Type="http://schemas.openxmlformats.org/officeDocument/2006/relationships/connections" Target="connections.xml"/><Relationship Id="rId76" Type="http://schemas.openxmlformats.org/officeDocument/2006/relationships/customXml" Target="../customXml/item17.xml"/><Relationship Id="rId7" Type="http://schemas.openxmlformats.org/officeDocument/2006/relationships/worksheet" Target="worksheets/sheet7.xml"/><Relationship Id="rId71" Type="http://schemas.openxmlformats.org/officeDocument/2006/relationships/customXml" Target="../customXml/item12.xml"/><Relationship Id="rId92" Type="http://schemas.openxmlformats.org/officeDocument/2006/relationships/customXml" Target="../customXml/item3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pivotCacheDefinition" Target="pivotCache/pivotCacheDefinition4.xml"/><Relationship Id="rId66" Type="http://schemas.openxmlformats.org/officeDocument/2006/relationships/customXml" Target="../customXml/item7.xml"/><Relationship Id="rId87" Type="http://schemas.openxmlformats.org/officeDocument/2006/relationships/customXml" Target="../customXml/item28.xml"/><Relationship Id="rId61" Type="http://schemas.openxmlformats.org/officeDocument/2006/relationships/customXml" Target="../customXml/item2.xml"/><Relationship Id="rId82" Type="http://schemas.openxmlformats.org/officeDocument/2006/relationships/customXml" Target="../customXml/item23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styles" Target="styles.xml"/><Relationship Id="rId77" Type="http://schemas.openxmlformats.org/officeDocument/2006/relationships/customXml" Target="../customXml/item1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[MAESTRO DE LOTES 2026 al 27.04.2026 - copia.xlsm]Graf. avance censo 2025!TablaDinámica8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Avance del Censo 2025- Sede Piura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ivotFmts>
      <c:pivotFmt>
        <c:idx val="0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2">
                  <a:lumMod val="110000"/>
                  <a:satMod val="105000"/>
                  <a:tint val="67000"/>
                </a:schemeClr>
              </a:gs>
              <a:gs pos="50000">
                <a:schemeClr val="accent2">
                  <a:lumMod val="105000"/>
                  <a:satMod val="103000"/>
                  <a:tint val="73000"/>
                </a:schemeClr>
              </a:gs>
              <a:gs pos="100000">
                <a:schemeClr val="accent2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2">
                <a:shade val="95000"/>
              </a:schemeClr>
            </a:solidFill>
            <a:round/>
          </a:ln>
          <a:effectLst/>
        </c:spPr>
        <c:dLbl>
          <c:idx val="0"/>
          <c:layout>
            <c:manualLayout>
              <c:x val="0.13785289275868223"/>
              <c:y val="6.0797608632254304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dLbl>
          <c:idx val="0"/>
          <c:layout>
            <c:manualLayout>
              <c:x val="-0.14524326146889069"/>
              <c:y val="-1.698162729658792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'Graf. avance censo 2025'!$G$3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0CC3-4AE6-8D7F-4064649B5C4E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0CC3-4AE6-8D7F-4064649B5C4E}"/>
              </c:ext>
            </c:extLst>
          </c:dPt>
          <c:dLbls>
            <c:dLbl>
              <c:idx val="0"/>
              <c:layout>
                <c:manualLayout>
                  <c:x val="-0.14524326146889069"/>
                  <c:y val="-1.698162729658792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CC3-4AE6-8D7F-4064649B5C4E}"/>
                </c:ext>
              </c:extLst>
            </c:dLbl>
            <c:dLbl>
              <c:idx val="1"/>
              <c:layout>
                <c:manualLayout>
                  <c:x val="0.13785289275868223"/>
                  <c:y val="6.0797608632254304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CC3-4AE6-8D7F-4064649B5C4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'Graf. avance censo 2025'!$F$4:$F$6</c:f>
              <c:strCache>
                <c:ptCount val="2"/>
                <c:pt idx="0">
                  <c:v>Por censar</c:v>
                </c:pt>
                <c:pt idx="1">
                  <c:v>Censado</c:v>
                </c:pt>
              </c:strCache>
            </c:strRef>
          </c:cat>
          <c:val>
            <c:numRef>
              <c:f>'Graf. avance censo 2025'!$G$4:$G$6</c:f>
              <c:numCache>
                <c:formatCode>0%</c:formatCode>
                <c:ptCount val="2"/>
                <c:pt idx="0">
                  <c:v>0.48296648204736448</c:v>
                </c:pt>
                <c:pt idx="1">
                  <c:v>0.51703351795263552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C3-4AE6-8D7F-4064649B5C4E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717550</xdr:colOff>
      <xdr:row>4</xdr:row>
      <xdr:rowOff>31750</xdr:rowOff>
    </xdr:from>
    <xdr:to>
      <xdr:col>5</xdr:col>
      <xdr:colOff>260350</xdr:colOff>
      <xdr:row>17</xdr:row>
      <xdr:rowOff>161925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Jefe Campo">
              <a:extLst>
                <a:ext uri="{FF2B5EF4-FFF2-40B4-BE49-F238E27FC236}">
                  <a16:creationId xmlns:a16="http://schemas.microsoft.com/office/drawing/2014/main" id="{00000000-0008-0000-09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Jefe Camp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79850" y="76835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120650</xdr:colOff>
      <xdr:row>5</xdr:row>
      <xdr:rowOff>63500</xdr:rowOff>
    </xdr:from>
    <xdr:to>
      <xdr:col>31</xdr:col>
      <xdr:colOff>264650</xdr:colOff>
      <xdr:row>5</xdr:row>
      <xdr:rowOff>135500</xdr:rowOff>
    </xdr:to>
    <xdr:sp macro="" textlink="">
      <xdr:nvSpPr>
        <xdr:cNvPr id="2" name="Combinar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15119350" y="990600"/>
          <a:ext cx="144000" cy="72000"/>
        </a:xfrm>
        <a:prstGeom prst="flowChartMerge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PE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s-PE"/>
        </a:p>
      </xdr:txBody>
    </xdr:sp>
    <xdr:clientData/>
  </xdr:twoCellAnchor>
  <xdr:twoCellAnchor editAs="oneCell">
    <xdr:from>
      <xdr:col>20</xdr:col>
      <xdr:colOff>0</xdr:colOff>
      <xdr:row>6</xdr:row>
      <xdr:rowOff>6350</xdr:rowOff>
    </xdr:from>
    <xdr:to>
      <xdr:col>24</xdr:col>
      <xdr:colOff>10398</xdr:colOff>
      <xdr:row>9</xdr:row>
      <xdr:rowOff>167550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217400" y="1123950"/>
          <a:ext cx="1153398" cy="72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295275</xdr:colOff>
      <xdr:row>3</xdr:row>
      <xdr:rowOff>107956</xdr:rowOff>
    </xdr:from>
    <xdr:to>
      <xdr:col>10</xdr:col>
      <xdr:colOff>615950</xdr:colOff>
      <xdr:row>18</xdr:row>
      <xdr:rowOff>88906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25400</xdr:colOff>
      <xdr:row>10</xdr:row>
      <xdr:rowOff>44450</xdr:rowOff>
    </xdr:from>
    <xdr:to>
      <xdr:col>6</xdr:col>
      <xdr:colOff>2294997</xdr:colOff>
      <xdr:row>22</xdr:row>
      <xdr:rowOff>46448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906D5D4-F9D7-45FA-A042-090BA80745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5050" y="1885950"/>
          <a:ext cx="7866063" cy="221179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ger Calapuja Martinez" refreshedDate="45728.436102314816" createdVersion="6" refreshedVersion="6" minRefreshableVersion="3" recordCount="87" xr:uid="{00000000-000A-0000-FFFF-FFFF73010000}">
  <cacheSource type="worksheet">
    <worksheetSource ref="C4:E91" sheet="Hoja10"/>
  </cacheSource>
  <cacheFields count="3">
    <cacheField name="TIPO" numFmtId="0">
      <sharedItems/>
    </cacheField>
    <cacheField name="Lote" numFmtId="0">
      <sharedItems count="87">
        <s v="A01"/>
        <s v="A02"/>
        <s v="A03"/>
        <s v="A04"/>
        <s v="A05"/>
        <s v="A06"/>
        <s v="A12"/>
        <s v="A13"/>
        <s v="B01"/>
        <s v="B02"/>
        <s v="B03"/>
        <s v="B04"/>
        <s v="B05"/>
        <s v="B06"/>
        <s v="B07"/>
        <s v="B12"/>
        <s v="B13"/>
        <s v="B14"/>
        <s v="C01"/>
        <s v="C02"/>
        <s v="C03"/>
        <s v="C04"/>
        <s v="C05"/>
        <s v="C06"/>
        <s v="C07"/>
        <s v="C14"/>
        <s v="C15"/>
        <s v="D01"/>
        <s v="D02"/>
        <s v="D03"/>
        <s v="D04"/>
        <s v="D05"/>
        <s v="D06"/>
        <s v="D12"/>
        <s v="D13"/>
        <s v="D14"/>
        <s v="D15"/>
        <s v="E01"/>
        <s v="E02"/>
        <s v="E03"/>
        <s v="E04"/>
        <s v="E05"/>
        <s v="E06"/>
        <s v="E07"/>
        <s v="E08"/>
        <s v="E09"/>
        <s v="E12"/>
        <s v="E13"/>
        <s v="E14"/>
        <s v="E15"/>
        <s v="F01"/>
        <s v="F02"/>
        <s v="F03"/>
        <s v="F04"/>
        <s v="F05"/>
        <s v="F06"/>
        <s v="F07"/>
        <s v="F08"/>
        <s v="F09"/>
        <s v="F12"/>
        <s v="F13"/>
        <s v="G01"/>
        <s v="G02"/>
        <s v="G03"/>
        <s v="G04"/>
        <s v="G05"/>
        <s v="G06"/>
        <s v="G09"/>
        <s v="G10"/>
        <s v="G11"/>
        <s v="G13"/>
        <s v="G14"/>
        <s v="G15"/>
        <s v="H09"/>
        <s v="H10"/>
        <s v="H11"/>
        <s v="H13"/>
        <s v="C12"/>
        <s v="C13"/>
        <s v="B08"/>
        <s v="D07"/>
        <s v="H14"/>
        <s v="H15"/>
        <s v="I12"/>
        <s v="I13"/>
        <s v="I14"/>
        <s v="I15"/>
      </sharedItems>
    </cacheField>
    <cacheField name="Letra" numFmtId="0">
      <sharedItems count="9">
        <s v="A"/>
        <s v="B"/>
        <s v="C"/>
        <s v="D"/>
        <s v="E"/>
        <s v="F"/>
        <s v="G"/>
        <s v="H"/>
        <s v="I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ger Calapuja Martinez" refreshedDate="45728.436102777778" createdVersion="6" refreshedVersion="6" minRefreshableVersion="3" recordCount="89" xr:uid="{00000000-000A-0000-FFFF-FFFF74010000}">
  <cacheSource type="worksheet">
    <worksheetSource name="Tabla134"/>
  </cacheSource>
  <cacheFields count="37">
    <cacheField name="VARIEDAD" numFmtId="0">
      <sharedItems/>
    </cacheField>
    <cacheField name="LOTE" numFmtId="0">
      <sharedItems count="88">
        <s v="F01"/>
        <s v="F02"/>
        <s v="F03"/>
        <s v="F04"/>
        <s v="E01"/>
        <s v="E02"/>
        <s v="E03"/>
        <s v="E04"/>
        <s v="D04"/>
        <s v="D05"/>
        <s v="D06"/>
        <s v="F05"/>
        <s v="F06"/>
        <s v="F07"/>
        <s v="E05"/>
        <s v="E06"/>
        <s v="E07"/>
        <s v="B03"/>
        <s v="A01"/>
        <s v="A02"/>
        <s v="A03"/>
        <s v="B01"/>
        <s v="B02"/>
        <s v="G01"/>
        <s v="G02"/>
        <s v="G03"/>
        <s v="G04"/>
        <s v="G05"/>
        <s v="G06"/>
        <s v="H09"/>
        <s v="H10"/>
        <s v="H11"/>
        <s v="G11 + F11"/>
        <s v="G09"/>
        <s v="G10"/>
        <s v="G11"/>
        <s v="D12"/>
        <s v="D13"/>
        <s v="D14"/>
        <s v="D15"/>
        <s v="E15"/>
        <s v="A04"/>
        <s v="A05"/>
        <s v="A06"/>
        <s v="B05"/>
        <s v="B06"/>
        <s v="C04"/>
        <s v="C05"/>
        <s v="C06"/>
        <s v="B04"/>
        <s v="B07"/>
        <s v="C07"/>
        <s v="B13"/>
        <s v="B14"/>
        <s v="C12"/>
        <s v="C13"/>
        <s v="C14"/>
        <s v="C15"/>
        <s v="B12"/>
        <s v="A12"/>
        <s v="A13"/>
        <s v="D01"/>
        <s v="D02"/>
        <s v="D03"/>
        <s v="C01"/>
        <s v="C02"/>
        <s v="C03"/>
        <s v="E12"/>
        <s v="E13"/>
        <s v="E14"/>
        <s v="F12"/>
        <s v="F13"/>
        <s v="I13"/>
        <s v="I14"/>
        <s v="H14"/>
        <s v="E08"/>
        <s v="E09"/>
        <s v="F08"/>
        <s v="F09"/>
        <s v="G13"/>
        <s v="H13"/>
        <s v="G14"/>
        <s v="G15"/>
        <s v="B08"/>
        <s v="D07"/>
        <s v="I12"/>
        <s v="I15"/>
        <s v="H15"/>
      </sharedItems>
    </cacheField>
    <cacheField name="VAR" numFmtId="0">
      <sharedItems count="11">
        <s v="JS"/>
        <s v="TM"/>
        <s v="AL"/>
        <s v="SC"/>
        <s v="CC"/>
        <s v="Test Block"/>
        <s v="AC"/>
        <s v="CH"/>
        <s v="FC"/>
        <s v="PD"/>
        <s v="ARRA FIRE CRUNCH" u="1"/>
      </sharedItems>
    </cacheField>
    <cacheField name="FUNDO" numFmtId="0">
      <sharedItems/>
    </cacheField>
    <cacheField name="Jefe Campo" numFmtId="0">
      <sharedItems count="10">
        <s v="Jorge Mogollón"/>
        <s v="Danny Girón"/>
        <s v="Addie Benites"/>
        <s v="Eddie Giron"/>
        <s v="Luiggi Olaechea"/>
        <s v="Pedro Peralta"/>
        <s v="Fernando Fernández"/>
        <s v="Fabián Orozco"/>
        <s v="Ruth Chiroque"/>
        <s v="Por designar"/>
      </sharedItems>
    </cacheField>
    <cacheField name="VAR-LOTE" numFmtId="0">
      <sharedItems/>
    </cacheField>
    <cacheField name="PATRON" numFmtId="0">
      <sharedItems/>
    </cacheField>
    <cacheField name="Casa comercial" numFmtId="0">
      <sharedItems/>
    </cacheField>
    <cacheField name="AÑO" numFmtId="0">
      <sharedItems containsSemiMixedTypes="0" containsString="0" containsNumber="1" containsInteger="1" minValue="2024" maxValue="2024" count="1">
        <n v="2024"/>
      </sharedItems>
    </cacheField>
    <cacheField name="Densidades" numFmtId="0">
      <sharedItems containsSemiMixedTypes="0" containsString="0" containsNumber="1" minValue="1262" maxValue="2133.3778371161548"/>
    </cacheField>
    <cacheField name="Total Has" numFmtId="43">
      <sharedItems containsSemiMixedTypes="0" containsString="0" containsNumber="1" minValue="2.29" maxValue="19.46"/>
    </cacheField>
    <cacheField name="Has Productivas" numFmtId="43">
      <sharedItems containsSemiMixedTypes="0" containsString="0" containsNumber="1" minValue="0" maxValue="16.43"/>
    </cacheField>
    <cacheField name="Has Formación" numFmtId="43">
      <sharedItems containsSemiMixedTypes="0" containsString="0" containsNumber="1" minValue="0" maxValue="15.47"/>
    </cacheField>
    <cacheField name="Has Faltantes" numFmtId="43">
      <sharedItems containsSemiMixedTypes="0" containsString="0" containsNumber="1" minValue="-6.3837823915946501E-16" maxValue="13"/>
    </cacheField>
    <cacheField name="Total Espacios" numFmtId="165">
      <sharedItems containsSemiMixedTypes="0" containsString="0" containsNumber="1" minValue="4367" maxValue="34907"/>
    </cacheField>
    <cacheField name="Pltas. Prod." numFmtId="165">
      <sharedItems containsSemiMixedTypes="0" containsString="0" containsNumber="1" minValue="0" maxValue="31302"/>
    </cacheField>
    <cacheField name="Pltas Formación" numFmtId="165">
      <sharedItems containsSemiMixedTypes="0" containsString="0" containsNumber="1" containsInteger="1" minValue="0" maxValue="29470"/>
    </cacheField>
    <cacheField name="Espacios vacíos" numFmtId="165">
      <sharedItems containsSemiMixedTypes="0" containsString="0" containsNumber="1" minValue="0" maxValue="24765"/>
    </cacheField>
    <cacheField name="distancia_planta" numFmtId="0">
      <sharedItems containsSemiMixedTypes="0" containsString="0" containsNumber="1" minValue="0.75" maxValue="2.4"/>
    </cacheField>
    <cacheField name="distancia_calle" numFmtId="0">
      <sharedItems containsSemiMixedTypes="0" containsString="0" containsNumber="1" minValue="3" maxValue="3.8"/>
    </cacheField>
    <cacheField name="Estado" numFmtId="43">
      <sharedItems count="5">
        <s v="Producción"/>
        <s v="Test Block"/>
        <s v="Habilitación 2024"/>
        <s v="Habilitación 2025"/>
        <s v="Habilitación 2023" u="1"/>
      </sharedItems>
    </cacheField>
    <cacheField name="Fecha plantación" numFmtId="0">
      <sharedItems containsDate="1" containsString="0" containsBlank="1" containsMixedTypes="1" minDate="2013-05-24T00:00:00" maxDate="1900-01-06T18:40:04"/>
    </cacheField>
    <cacheField name="Edad" numFmtId="0">
      <sharedItems containsMixedTypes="1" containsNumber="1" containsInteger="1" minValue="1" maxValue="11"/>
    </cacheField>
    <cacheField name="Tipo Parron" numFmtId="0">
      <sharedItems/>
    </cacheField>
    <cacheField name="Fecha nacimiento" numFmtId="0">
      <sharedItems containsNonDate="0" containsDate="1" containsString="0" containsBlank="1" minDate="1976-08-11T00:00:00" maxDate="2023-03-22T00:00:00"/>
    </cacheField>
    <cacheField name="Edad-Sup" numFmtId="0">
      <sharedItems containsString="0" containsBlank="1" containsNumber="1" containsInteger="1" minValue="1" maxValue="48"/>
    </cacheField>
    <cacheField name="N° celular" numFmtId="0">
      <sharedItems containsMixedTypes="1" containsNumber="1" containsInteger="1" minValue="0" maxValue="990917172"/>
    </cacheField>
    <cacheField name="Dirección" numFmtId="0">
      <sharedItems containsMixedTypes="1" containsNumber="1" containsInteger="1" minValue="0" maxValue="0"/>
    </cacheField>
    <cacheField name="Distrito/CP" numFmtId="3">
      <sharedItems containsMixedTypes="1" containsNumber="1" containsInteger="1" minValue="0" maxValue="0"/>
    </cacheField>
    <cacheField name="Nivel Educativo" numFmtId="0">
      <sharedItems containsMixedTypes="1" containsNumber="1" containsInteger="1" minValue="0" maxValue="0"/>
    </cacheField>
    <cacheField name="Carrera" numFmtId="0">
      <sharedItems containsBlank="1"/>
    </cacheField>
    <cacheField name="Supervisor de lote" numFmtId="0">
      <sharedItems count="58">
        <s v="Viera Giron Ever"/>
        <s v="Burga Sánchez  Emilio Manuel "/>
        <s v="Viera Torres Junior Arturo "/>
        <s v="Saboya Camacho Edwin David"/>
        <s v="Rivas Sosa Ruben Wilder"/>
        <s v="Chiroque More  José Víctor "/>
        <s v="Meca Mimbela Christhian"/>
        <s v="Navarro Siancas Carlos Alberto"/>
        <s v="Viera Nuñez Juan Fredy"/>
        <s v="Dalia Yamunaque Terrones"/>
        <s v="Suarez Mondragon Ronald"/>
        <s v="Guerrrero Pulache Leonel"/>
        <s v="Vázquez Navarro Juan Carlos"/>
        <s v="Risco Marcelo Jose Juan"/>
        <s v="Valverde Vilcherrez Julio Jose"/>
        <s v="Mendoza Juarez Kelvis"/>
        <s v="Juárez Suárez Justo"/>
        <s v="Carrasco Tineo Tania Analí"/>
        <s v="Gaona Rondoy Ederd "/>
        <s v="Rivera Meza Saulo Emanuel"/>
        <s v="Razuri Chiroque  Jose Antonio "/>
        <s v="Vite Periche  Jairo Jeanpierre "/>
        <s v="Nima Rufino  Jesús Marcial "/>
        <s v="Cordova Juarez Elvis Fabian"/>
        <s v="Mija Gutierrez Washington"/>
        <s v="Ubillus Ramirez Miguel Ángel"/>
        <s v="Nieves Mejia Abel Noé "/>
        <s v="Nima Nima Jorge Luis"/>
        <s v="Pasache Atoche Victor Raúl"/>
        <s v="Alama Morales Eddison"/>
        <s v="Olivares Torres Milton"/>
        <s v="Giron Rufino Denis"/>
        <s v="Cruz Saavedra Jessica Marianela"/>
        <s v="Panta Rivas Oswaldo "/>
        <s v="Aguilar De Lama  Lesly Alessandra "/>
        <s v="Pulache Sanchez Romain"/>
        <s v="Gonzalo Palma Arbaiza"/>
        <s v="Boris Ramírez Cruz"/>
        <s v="Cobeñas Nilupu Sandra Mercedes"/>
        <s v="Vacante"/>
        <s v="Miranda Pulache Jorge"/>
        <s v="Reto Cardoza  Julio César "/>
        <s v="Bances Peralta Miguel Armando"/>
        <s v="Viera Herrera Gabino"/>
        <s v="Preciado Alama Felipe Armando"/>
        <s v="Arimuya Vargas Rocío Coina"/>
        <s v="Torres Farfan Edith Cristina"/>
        <s v="Inga Viera Álex David"/>
        <s v="Rivera Campos David Yairson"/>
        <s v="Chuquicusma Mejía Jesús Alberto"/>
        <s v=""/>
        <s v="Suarez Viera Hector"/>
        <s v="Zúñiga Bayona Mirla Marilia"/>
        <s v="Sosa Reto William Armando"/>
        <s v="Calle Alvarado Enisban"/>
        <s v="Pasapera Miranda Elki Vanessa" u="1"/>
        <s v="Sernaque Silva Noemy Rosmery" u="1"/>
        <s v="Vances Peralta Miguel Armando" u="1"/>
      </sharedItems>
    </cacheField>
    <cacheField name="Subgerente" numFmtId="0">
      <sharedItems/>
    </cacheField>
    <cacheField name="Supervisor de sanidad" numFmtId="0">
      <sharedItems/>
    </cacheField>
    <cacheField name="Supervisor de riego" numFmtId="0">
      <sharedItems containsBlank="1"/>
    </cacheField>
    <cacheField name="CAMPO" numFmtId="0">
      <sharedItems/>
    </cacheField>
    <cacheField name="Has prod+Has form" numFmtId="0" formula="'Has Productivas'+'Has Formación'" databaseField="0"/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edregal" refreshedDate="45793.359554513889" createdVersion="6" refreshedVersion="6" minRefreshableVersion="3" recordCount="71" xr:uid="{00000000-000A-0000-FFFF-FFFF75010000}">
  <cacheSource type="worksheet">
    <worksheetSource ref="A3:D74" sheet="Graf. avance censo 2025"/>
  </cacheSource>
  <cacheFields count="4">
    <cacheField name="VAR" numFmtId="0">
      <sharedItems/>
    </cacheField>
    <cacheField name="LOTE" numFmtId="0">
      <sharedItems/>
    </cacheField>
    <cacheField name="Censado" numFmtId="0">
      <sharedItems count="4">
        <s v="Por censar"/>
        <s v="Censado"/>
        <s v="ok" u="1"/>
        <s v="(en blanco)" u="1"/>
      </sharedItems>
    </cacheField>
    <cacheField name="Has " numFmtId="0">
      <sharedItems containsSemiMixedTypes="0" containsString="0" containsNumber="1" minValue="2.1" maxValue="17.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edregal" refreshedDate="46045.335703009259" createdVersion="6" refreshedVersion="8" minRefreshableVersion="3" recordCount="93" xr:uid="{00000000-000A-0000-FFFF-FFFF76010000}">
  <cacheSource type="worksheet">
    <worksheetSource name="MAESTRO_LOTES_26"/>
  </cacheSource>
  <cacheFields count="39">
    <cacheField name="PEP" numFmtId="0">
      <sharedItems containsBlank="1"/>
    </cacheField>
    <cacheField name="VARIEDAD" numFmtId="0">
      <sharedItems/>
    </cacheField>
    <cacheField name="LOTE" numFmtId="0">
      <sharedItems count="89">
        <s v="F01"/>
        <s v="F02"/>
        <s v="F03"/>
        <s v="F04"/>
        <s v="E01"/>
        <s v="E02"/>
        <s v="E03"/>
        <s v="E04"/>
        <s v="D04"/>
        <s v="D05"/>
        <s v="D06"/>
        <s v="F05"/>
        <s v="F06"/>
        <s v="F07"/>
        <s v="E05"/>
        <s v="E06"/>
        <s v="E07"/>
        <s v="B03"/>
        <s v="B02"/>
        <s v="A01"/>
        <s v="A02"/>
        <s v="A03"/>
        <s v="B01"/>
        <s v="G01"/>
        <s v="G02"/>
        <s v="G03"/>
        <s v="G04"/>
        <s v="G05"/>
        <s v="G06"/>
        <s v="H09"/>
        <s v="H10"/>
        <s v="H11"/>
        <s v="F11"/>
        <s v="G09"/>
        <s v="G10"/>
        <s v="G11"/>
        <s v="D12"/>
        <s v="D13"/>
        <s v="D14"/>
        <s v="D15"/>
        <s v="E15"/>
        <s v="A04"/>
        <s v="A05"/>
        <s v="A06"/>
        <s v="B05"/>
        <s v="B06"/>
        <s v="C04"/>
        <s v="C05"/>
        <s v="C06"/>
        <s v="B04"/>
        <s v="B07"/>
        <s v="C07"/>
        <s v="B13"/>
        <s v="B14"/>
        <s v="C12"/>
        <s v="C13"/>
        <s v="C14"/>
        <s v="C15"/>
        <s v="B12"/>
        <s v="A12"/>
        <s v="A13"/>
        <s v="D01"/>
        <s v="D02"/>
        <s v="D03"/>
        <s v="C01"/>
        <s v="C02"/>
        <s v="C03"/>
        <s v="E12"/>
        <s v="E13"/>
        <s v="E14"/>
        <s v="F12"/>
        <s v="F13"/>
        <s v="I13"/>
        <s v="I14"/>
        <s v="H14"/>
        <s v="E08"/>
        <s v="E09"/>
        <s v="F08"/>
        <s v="F09"/>
        <s v="G13"/>
        <s v="H13"/>
        <s v="G14"/>
        <s v="G15"/>
        <s v="B08"/>
        <s v="D07"/>
        <s v="I12"/>
        <s v="I15"/>
        <s v="H15"/>
        <s v="G11 + F11" u="1"/>
      </sharedItems>
    </cacheField>
    <cacheField name="VAR" numFmtId="0">
      <sharedItems count="10">
        <s v="JS"/>
        <s v="TM"/>
        <s v="SC"/>
        <s v="AL"/>
        <s v="CC"/>
        <s v="Test Block"/>
        <s v="AC"/>
        <s v="FC"/>
        <s v="CH"/>
        <s v="PD"/>
      </sharedItems>
    </cacheField>
    <cacheField name="FUNDO" numFmtId="0">
      <sharedItems/>
    </cacheField>
    <cacheField name="Jefe Campo" numFmtId="0">
      <sharedItems count="8">
        <s v="Jorge Mogollón"/>
        <s v="Danny Girón"/>
        <s v="Addie Benites"/>
        <s v="Ruth Chiroque"/>
        <s v="Luiggi Olaechea"/>
        <s v="Fabián Orozco"/>
        <s v="Pedro Peralta"/>
        <s v="Por designar"/>
      </sharedItems>
    </cacheField>
    <cacheField name="VAR-LOTE" numFmtId="0">
      <sharedItems/>
    </cacheField>
    <cacheField name="PATRON" numFmtId="0">
      <sharedItems/>
    </cacheField>
    <cacheField name="Casa comercial" numFmtId="0">
      <sharedItems/>
    </cacheField>
    <cacheField name="AÑO" numFmtId="0">
      <sharedItems containsSemiMixedTypes="0" containsString="0" containsNumber="1" containsInteger="1" minValue="2024" maxValue="2025"/>
    </cacheField>
    <cacheField name="Densidades" numFmtId="0">
      <sharedItems containsSemiMixedTypes="0" containsString="0" containsNumber="1" minValue="1262" maxValue="2070"/>
    </cacheField>
    <cacheField name="Total Has" numFmtId="43">
      <sharedItems containsSemiMixedTypes="0" containsString="0" containsNumber="1" minValue="1.4" maxValue="19.46"/>
    </cacheField>
    <cacheField name="Has Productivas" numFmtId="43">
      <sharedItems containsSemiMixedTypes="0" containsString="0" containsNumber="1" minValue="0" maxValue="18.59"/>
    </cacheField>
    <cacheField name="Has Formación" numFmtId="43">
      <sharedItems containsSemiMixedTypes="0" containsString="0" containsNumber="1" minValue="0" maxValue="15.19"/>
    </cacheField>
    <cacheField name="Has Faltantes" numFmtId="43">
      <sharedItems containsSemiMixedTypes="0" containsString="0" containsNumber="1" minValue="-9.9999999999997868E-3" maxValue="14.76"/>
    </cacheField>
    <cacheField name="Total Espacios" numFmtId="165">
      <sharedItems containsSemiMixedTypes="0" containsString="0" containsNumber="1" minValue="2488" maxValue="34907"/>
    </cacheField>
    <cacheField name="Pltas. Prod." numFmtId="165">
      <sharedItems containsSemiMixedTypes="0" containsString="0" containsNumber="1" minValue="0" maxValue="33346"/>
    </cacheField>
    <cacheField name="Pltas Formación" numFmtId="165">
      <sharedItems containsSemiMixedTypes="0" containsString="0" containsNumber="1" minValue="0" maxValue="28936"/>
    </cacheField>
    <cacheField name="Espacios vacíos" numFmtId="165">
      <sharedItems containsSemiMixedTypes="0" containsString="0" containsNumber="1" minValue="-16" maxValue="28117.8"/>
    </cacheField>
    <cacheField name="distancia_planta" numFmtId="0">
      <sharedItems containsSemiMixedTypes="0" containsString="0" containsNumber="1" minValue="1.33" maxValue="2.4"/>
    </cacheField>
    <cacheField name="distancia_calle" numFmtId="0">
      <sharedItems containsSemiMixedTypes="0" containsString="0" containsNumber="1" minValue="3" maxValue="3.8"/>
    </cacheField>
    <cacheField name="Estado" numFmtId="43">
      <sharedItems count="8">
        <s v="Producción"/>
        <s v="Habilitación 2025"/>
        <s v="Habilitación 2026"/>
        <s v="Test Block"/>
        <s v="Habilitación 2026-posterior" u="1"/>
        <s v="Habilitación 2024" u="1"/>
        <s v="Reservorio 2026" u="1"/>
        <s v="Habilitaciones 2025" u="1"/>
      </sharedItems>
    </cacheField>
    <cacheField name="Fecha plantación" numFmtId="0">
      <sharedItems containsSemiMixedTypes="0" containsNonDate="0" containsDate="1" containsString="0" minDate="2014-07-01T00:00:00" maxDate="2026-08-02T00:00:00"/>
    </cacheField>
    <cacheField name="Edad" numFmtId="0">
      <sharedItems containsSemiMixedTypes="0" containsString="0" containsNumber="1" minValue="-1" maxValue="11.572602739726028"/>
    </cacheField>
    <cacheField name="Tipo Parron" numFmtId="0">
      <sharedItems/>
    </cacheField>
    <cacheField name="Fecha nacimiento" numFmtId="0">
      <sharedItems containsNonDate="0" containsDate="1" containsString="0" containsBlank="1" minDate="1976-08-11T00:00:00" maxDate="2023-03-22T00:00:00"/>
    </cacheField>
    <cacheField name="Edad-Sup" numFmtId="0">
      <sharedItems containsString="0" containsBlank="1" containsNumber="1" containsInteger="1" minValue="2" maxValue="49"/>
    </cacheField>
    <cacheField name="N° celular" numFmtId="0">
      <sharedItems containsMixedTypes="1" containsNumber="1" containsInteger="1" minValue="0" maxValue="990917172"/>
    </cacheField>
    <cacheField name="Dirección" numFmtId="0">
      <sharedItems containsMixedTypes="1" containsNumber="1" containsInteger="1" minValue="0" maxValue="0"/>
    </cacheField>
    <cacheField name="Distrito/CP" numFmtId="3">
      <sharedItems containsMixedTypes="1" containsNumber="1" containsInteger="1" minValue="0" maxValue="0"/>
    </cacheField>
    <cacheField name="Nivel Educativo" numFmtId="0">
      <sharedItems/>
    </cacheField>
    <cacheField name="Carrera" numFmtId="0">
      <sharedItems containsMixedTypes="1" containsNumber="1" containsInteger="1" minValue="0" maxValue="0"/>
    </cacheField>
    <cacheField name="Supervisor de lote" numFmtId="0">
      <sharedItems count="60">
        <s v="Viera Giron Ever"/>
        <s v="Viera Torres Junior Arturo"/>
        <s v="Saboya Camacho Edwin David"/>
        <s v="VACANTE"/>
        <s v="Rivas Sosa Ruben Wilder"/>
        <s v="Chiroque More Jose Victor"/>
        <s v="Meca Mimbela Christhian"/>
        <s v="Viera Nuñez Juan Fredy"/>
        <s v="Navarro Siancas Carlos Alberto"/>
        <s v="Yamunaque Terrones Dalia Ibon"/>
        <s v="Suarez Mondragon Ronald"/>
        <s v="Guerrero Pulache Leonel"/>
        <s v="Vasquez Navarro Juan Carlos"/>
        <s v="Carrasco Tineo Tania Anali"/>
        <s v="Risco Marcelo Jose Juan"/>
        <s v="Valverde Vilcherrez Julio Jose"/>
        <s v="Mendoza Juarez Kelvis"/>
        <s v="Juarez Suarez Justo"/>
        <s v="Gaona Rondoy Ederd"/>
        <s v="Abramonte Juárez Gerardo Alexander"/>
        <s v="Razuri Chiroque Jose Antonio"/>
        <s v="Calle Alvarado Enisban"/>
        <s v="Mija Gutierrez Washington"/>
        <s v="Ubillus Ramirez Miguel Angel"/>
        <s v="Nieves Mejia Abel Noe"/>
        <s v="Nima Nima Jorge Luis"/>
        <s v="Girón Rufino Dennis"/>
        <s v="Alama morales Eddisón"/>
        <s v="Olivares Torres Miltón David"/>
        <s v="Pasache Atoche Victor Raul"/>
        <s v="Panta Rivas Oswaldo"/>
        <s v="Damian Benites Carla"/>
        <s v="Pulache Sanchez Romain"/>
        <s v="Cruz Saavedra Jessica Marianela"/>
        <s v="Gonzalo Palma Arbaiza"/>
        <s v="Cobeñas Nilupu Sandra Mercedes"/>
        <s v="Machuca Muñoz Jose"/>
        <s v="Reto Cardoza Julio Cesar"/>
        <s v="Montenegro Ríos Gregorio Celso"/>
        <s v="Viera Herrera Gabino"/>
        <s v="Preciado Alama Felipe Armando"/>
        <s v="Arimuya Vargas Rocio Coina"/>
        <s v="Torres Farfan Edith Cristina"/>
        <s v="Inga Viera Alex David"/>
        <s v="Chuquicusma Mejia Jesus Alberto"/>
        <s v="Pacherrez Santos Cinthya"/>
        <s v="Suarez Viera Hector"/>
        <s v="Zuñiga Bayona Mirla Marilia"/>
        <s v="Sosa Reto William Armando"/>
        <s v="Nima Rufino Jesus Marcial"/>
        <s v="Torres Silva Katterine"/>
        <s v="Burga Sanchez Emilio Manuel" u="1"/>
        <s v="Vite Periche Jairo Jeanpierre" u="1"/>
        <s v="Jessica Culquicondor Chumacero" u="1"/>
        <s v="Aguilar De Lama Lesly Alessandra" u="1"/>
        <s v="Convocatoria" u="1"/>
        <s v="Benedo sosa Valencia" u="1"/>
        <s v="Miranda Pulache Jorge" u="1"/>
        <s v="Rivera Campos Jairson David" u="1"/>
        <s v="" u="1"/>
      </sharedItems>
    </cacheField>
    <cacheField name="Subgerente" numFmtId="0">
      <sharedItems/>
    </cacheField>
    <cacheField name="Supervisor de sanidad" numFmtId="0">
      <sharedItems/>
    </cacheField>
    <cacheField name="Supervisor de riego" numFmtId="0">
      <sharedItems containsBlank="1"/>
    </cacheField>
    <cacheField name="Supervisor de control biologico" numFmtId="0">
      <sharedItems containsBlank="1"/>
    </cacheField>
    <cacheField name="CAMPO" numFmtId="0">
      <sharedItems/>
    </cacheField>
    <cacheField name="LOTE PoC HISPATEC" numFmtId="0">
      <sharedItems containsBlank="1"/>
    </cacheField>
  </cacheFields>
  <extLst>
    <ext xmlns:x14="http://schemas.microsoft.com/office/spreadsheetml/2009/9/main" uri="{725AE2AE-9491-48be-B2B4-4EB974FC3084}">
      <x14:pivotCacheDefinition pivotCacheId="2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Pedregal" refreshedDate="46106.44441851852" createdVersion="5" refreshedVersion="8" minRefreshableVersion="3" recordCount="0" supportSubquery="1" supportAdvancedDrill="1" xr:uid="{00000000-000A-0000-FFFF-FFFF77010000}">
  <cacheSource type="external" connectionId="6"/>
  <cacheFields count="5">
    <cacheField name="[CAMPOS].[Campos].[Campos]" caption="Campos" numFmtId="0" level="1">
      <sharedItems count="5">
        <s v="CAMPO1"/>
        <s v="CAMPO2"/>
        <s v="CAMPO3"/>
        <s v="CAMPO4"/>
        <s v="CAMPO5"/>
      </sharedItems>
    </cacheField>
    <cacheField name="[Measures].[Años_1ra_plant]" caption="Años_1ra_plant" numFmtId="0" hierarchy="99" level="32767"/>
    <cacheField name="[Primera_plantacion].[filtro].[filtro]" caption="filtro" numFmtId="0" hierarchy="57" level="1">
      <sharedItems containsSemiMixedTypes="0" containsNonDate="0" containsString="0"/>
    </cacheField>
    <cacheField name="[CAMPOS].[Tipo cultivo].[Tipo cultivo]" caption="Tipo cultivo" numFmtId="0" hierarchy="1" level="1">
      <sharedItems count="1">
        <s v="VID"/>
      </sharedItems>
    </cacheField>
    <cacheField name="[CAMPOS].[Periodo siembra-cosecha].[Periodo siembra-cosecha]" caption="Periodo siembra-cosecha" numFmtId="0" hierarchy="2" level="1">
      <sharedItems count="1">
        <s v="1"/>
      </sharedItems>
    </cacheField>
  </cacheFields>
  <cacheHierarchies count="119">
    <cacheHierarchy uniqueName="[CAMPOS].[Campos]" caption="Campos" attribute="1" defaultMemberUniqueName="[CAMPOS].[Campos].[All]" allUniqueName="[CAMPOS].[Campos].[All]" dimensionUniqueName="[CAMPOS]" displayFolder="" count="2" memberValueDatatype="130" unbalanced="0">
      <fieldsUsage count="2">
        <fieldUsage x="-1"/>
        <fieldUsage x="0"/>
      </fieldsUsage>
    </cacheHierarchy>
    <cacheHierarchy uniqueName="[CAMPOS].[Tipo cultivo]" caption="Tipo cultivo" attribute="1" defaultMemberUniqueName="[CAMPOS].[Tipo cultivo].[All]" allUniqueName="[CAMPOS].[Tipo cultivo].[All]" dimensionUniqueName="[CAMPOS]" displayFolder="" count="2" memberValueDatatype="130" unbalanced="0">
      <fieldsUsage count="2">
        <fieldUsage x="-1"/>
        <fieldUsage x="3"/>
      </fieldsUsage>
    </cacheHierarchy>
    <cacheHierarchy uniqueName="[CAMPOS].[Periodo siembra-cosecha]" caption="Periodo siembra-cosecha" attribute="1" defaultMemberUniqueName="[CAMPOS].[Periodo siembra-cosecha].[All]" allUniqueName="[CAMPOS].[Periodo siembra-cosecha].[All]" dimensionUniqueName="[CAMPOS]" displayFolder="" count="2" memberValueDatatype="130" unbalanced="0">
      <fieldsUsage count="2">
        <fieldUsage x="-1"/>
        <fieldUsage x="4"/>
      </fieldsUsage>
    </cacheHierarchy>
    <cacheHierarchy uniqueName="[Datos_valvulas].[VAR]" caption="VAR" attribute="1" defaultMemberUniqueName="[Datos_valvulas].[VAR].[All]" allUniqueName="[Datos_valvulas].[VAR].[All]" dimensionUniqueName="[Datos_valvulas]" displayFolder="" count="0" memberValueDatatype="130" unbalanced="0"/>
    <cacheHierarchy uniqueName="[Datos_valvulas].[Lote]" caption="Lote" attribute="1" defaultMemberUniqueName="[Datos_valvulas].[Lote].[All]" allUniqueName="[Datos_valvulas].[Lote].[All]" dimensionUniqueName="[Datos_valvulas]" displayFolder="" count="0" memberValueDatatype="130" unbalanced="0"/>
    <cacheHierarchy uniqueName="[Datos_valvulas].[Tipo de planta]" caption="Tipo de planta" attribute="1" defaultMemberUniqueName="[Datos_valvulas].[Tipo de planta].[All]" allUniqueName="[Datos_valvulas].[Tipo de planta].[All]" dimensionUniqueName="[Datos_valvulas]" displayFolder="" count="0" memberValueDatatype="130" unbalanced="0"/>
    <cacheHierarchy uniqueName="[Datos_valvulas].[Valvulas]" caption="Valvulas" attribute="1" defaultMemberUniqueName="[Datos_valvulas].[Valvulas].[All]" allUniqueName="[Datos_valvulas].[Valvulas].[All]" dimensionUniqueName="[Datos_valvulas]" displayFolder="" count="0" memberValueDatatype="130" unbalanced="0"/>
    <cacheHierarchy uniqueName="[Datos_valvulas].[Plantas]" caption="Plantas" attribute="1" defaultMemberUniqueName="[Datos_valvulas].[Plantas].[All]" allUniqueName="[Datos_valvulas].[Plantas].[All]" dimensionUniqueName="[Datos_valvulas]" displayFolder="" count="0" memberValueDatatype="20" unbalanced="0"/>
    <cacheHierarchy uniqueName="[Datos_valvulas].[Densidad]" caption="Densidad" attribute="1" defaultMemberUniqueName="[Datos_valvulas].[Densidad].[All]" allUniqueName="[Datos_valvulas].[Densidad].[All]" dimensionUniqueName="[Datos_valvulas]" displayFolder="" count="0" memberValueDatatype="5" unbalanced="0"/>
    <cacheHierarchy uniqueName="[Datos_valvulas].[VARIEDAD]" caption="VARIEDAD" attribute="1" defaultMemberUniqueName="[Datos_valvulas].[VARIEDAD].[All]" allUniqueName="[Datos_valvulas].[VARIEDAD].[All]" dimensionUniqueName="[Datos_valvulas]" displayFolder="" count="0" memberValueDatatype="130" unbalanced="0"/>
    <cacheHierarchy uniqueName="[gantt_diario].[Lote]" caption="Lote" attribute="1" defaultMemberUniqueName="[gantt_diario].[Lote].[All]" allUniqueName="[gantt_diario].[Lote].[All]" dimensionUniqueName="[gantt_diario]" displayFolder="" count="0" memberValueDatatype="130" unbalanced="0"/>
    <cacheHierarchy uniqueName="[gantt_diario].[VARIEDAD]" caption="VARIEDAD" attribute="1" defaultMemberUniqueName="[gantt_diario].[VARIEDAD].[All]" allUniqueName="[gantt_diario].[VARIEDAD].[All]" dimensionUniqueName="[gantt_diario]" displayFolder="" count="0" memberValueDatatype="130" unbalanced="0"/>
    <cacheHierarchy uniqueName="[gantt_diario].[Fecha]" caption="Fecha" attribute="1" time="1" defaultMemberUniqueName="[gantt_diario].[Fecha].[All]" allUniqueName="[gantt_diario].[Fecha].[All]" dimensionUniqueName="[gantt_diario]" displayFolder="" count="0" memberValueDatatype="7" unbalanced="0"/>
    <cacheHierarchy uniqueName="[gantt_diario].[Cajas]" caption="Cajas" attribute="1" defaultMemberUniqueName="[gantt_diario].[Cajas].[All]" allUniqueName="[gantt_diario].[Cajas].[All]" dimensionUniqueName="[gantt_diario]" displayFolder="" count="0" memberValueDatatype="5" unbalanced="0"/>
    <cacheHierarchy uniqueName="[MAESTRO_LOTES].[PEP]" caption="PEP" attribute="1" defaultMemberUniqueName="[MAESTRO_LOTES].[PEP].[All]" allUniqueName="[MAESTRO_LOTES].[PEP].[All]" dimensionUniqueName="[MAESTRO_LOTES]" displayFolder="" count="0" memberValueDatatype="130" unbalanced="0"/>
    <cacheHierarchy uniqueName="[MAESTRO_LOTES].[VARIEDAD]" caption="VARIEDAD" attribute="1" defaultMemberUniqueName="[MAESTRO_LOTES].[VARIEDAD].[All]" allUniqueName="[MAESTRO_LOTES].[VARIEDAD].[All]" dimensionUniqueName="[MAESTRO_LOTES]" displayFolder="" count="0" memberValueDatatype="130" unbalanced="0"/>
    <cacheHierarchy uniqueName="[MAESTRO_LOTES].[LOTE]" caption="LOTE" attribute="1" defaultMemberUniqueName="[MAESTRO_LOTES].[LOTE].[All]" allUniqueName="[MAESTRO_LOTES].[LOTE].[All]" dimensionUniqueName="[MAESTRO_LOTES]" displayFolder="" count="0" memberValueDatatype="130" unbalanced="0"/>
    <cacheHierarchy uniqueName="[MAESTRO_LOTES].[VAR]" caption="VAR" attribute="1" defaultMemberUniqueName="[MAESTRO_LOTES].[VAR].[All]" allUniqueName="[MAESTRO_LOTES].[VAR].[All]" dimensionUniqueName="[MAESTRO_LOTES]" displayFolder="" count="0" memberValueDatatype="130" unbalanced="0"/>
    <cacheHierarchy uniqueName="[MAESTRO_LOTES].[FUNDO]" caption="FUNDO" attribute="1" defaultMemberUniqueName="[MAESTRO_LOTES].[FUNDO].[All]" allUniqueName="[MAESTRO_LOTES].[FUNDO].[All]" dimensionUniqueName="[MAESTRO_LOTES]" displayFolder="" count="0" memberValueDatatype="130" unbalanced="0"/>
    <cacheHierarchy uniqueName="[MAESTRO_LOTES].[Jefe Campo]" caption="Jefe Campo" attribute="1" defaultMemberUniqueName="[MAESTRO_LOTES].[Jefe Campo].[All]" allUniqueName="[MAESTRO_LOTES].[Jefe Campo].[All]" dimensionUniqueName="[MAESTRO_LOTES]" displayFolder="" count="0" memberValueDatatype="130" unbalanced="0"/>
    <cacheHierarchy uniqueName="[MAESTRO_LOTES].[VAR-LOTE]" caption="VAR-LOTE" attribute="1" defaultMemberUniqueName="[MAESTRO_LOTES].[VAR-LOTE].[All]" allUniqueName="[MAESTRO_LOTES].[VAR-LOTE].[All]" dimensionUniqueName="[MAESTRO_LOTES]" displayFolder="" count="0" memberValueDatatype="130" unbalanced="0"/>
    <cacheHierarchy uniqueName="[MAESTRO_LOTES].[PATRON]" caption="PATRON" attribute="1" defaultMemberUniqueName="[MAESTRO_LOTES].[PATRON].[All]" allUniqueName="[MAESTRO_LOTES].[PATRON].[All]" dimensionUniqueName="[MAESTRO_LOTES]" displayFolder="" count="0" memberValueDatatype="130" unbalanced="0"/>
    <cacheHierarchy uniqueName="[MAESTRO_LOTES].[Casa comercial]" caption="Casa comercial" attribute="1" defaultMemberUniqueName="[MAESTRO_LOTES].[Casa comercial].[All]" allUniqueName="[MAESTRO_LOTES].[Casa comercial].[All]" dimensionUniqueName="[MAESTRO_LOTES]" displayFolder="" count="0" memberValueDatatype="130" unbalanced="0"/>
    <cacheHierarchy uniqueName="[MAESTRO_LOTES].[AÑO]" caption="AÑO" attribute="1" defaultMemberUniqueName="[MAESTRO_LOTES].[AÑO].[All]" allUniqueName="[MAESTRO_LOTES].[AÑO].[All]" dimensionUniqueName="[MAESTRO_LOTES]" displayFolder="" count="0" memberValueDatatype="20" unbalanced="0"/>
    <cacheHierarchy uniqueName="[MAESTRO_LOTES].[Densidades]" caption="Densidades" attribute="1" defaultMemberUniqueName="[MAESTRO_LOTES].[Densidades].[All]" allUniqueName="[MAESTRO_LOTES].[Densidades].[All]" dimensionUniqueName="[MAESTRO_LOTES]" displayFolder="" count="0" memberValueDatatype="5" unbalanced="0"/>
    <cacheHierarchy uniqueName="[MAESTRO_LOTES].[Total Has]" caption="Total Has" attribute="1" defaultMemberUniqueName="[MAESTRO_LOTES].[Total Has].[All]" allUniqueName="[MAESTRO_LOTES].[Total Has].[All]" dimensionUniqueName="[MAESTRO_LOTES]" displayFolder="" count="0" memberValueDatatype="5" unbalanced="0"/>
    <cacheHierarchy uniqueName="[MAESTRO_LOTES].[Has Productivas]" caption="Has Productivas" attribute="1" defaultMemberUniqueName="[MAESTRO_LOTES].[Has Productivas].[All]" allUniqueName="[MAESTRO_LOTES].[Has Productivas].[All]" dimensionUniqueName="[MAESTRO_LOTES]" displayFolder="" count="0" memberValueDatatype="5" unbalanced="0"/>
    <cacheHierarchy uniqueName="[MAESTRO_LOTES].[Has Formación]" caption="Has Formación" attribute="1" defaultMemberUniqueName="[MAESTRO_LOTES].[Has Formación].[All]" allUniqueName="[MAESTRO_LOTES].[Has Formación].[All]" dimensionUniqueName="[MAESTRO_LOTES]" displayFolder="" count="0" memberValueDatatype="5" unbalanced="0"/>
    <cacheHierarchy uniqueName="[MAESTRO_LOTES].[Has Faltantes]" caption="Has Faltantes" attribute="1" defaultMemberUniqueName="[MAESTRO_LOTES].[Has Faltantes].[All]" allUniqueName="[MAESTRO_LOTES].[Has Faltantes].[All]" dimensionUniqueName="[MAESTRO_LOTES]" displayFolder="" count="0" memberValueDatatype="5" unbalanced="0"/>
    <cacheHierarchy uniqueName="[MAESTRO_LOTES].[Total Espacios]" caption="Total Espacios" attribute="1" defaultMemberUniqueName="[MAESTRO_LOTES].[Total Espacios].[All]" allUniqueName="[MAESTRO_LOTES].[Total Espacios].[All]" dimensionUniqueName="[MAESTRO_LOTES]" displayFolder="" count="0" memberValueDatatype="5" unbalanced="0"/>
    <cacheHierarchy uniqueName="[MAESTRO_LOTES].[Pltas. Prod.]" caption="Pltas. Prod." attribute="1" defaultMemberUniqueName="[MAESTRO_LOTES].[Pltas. Prod.].[All]" allUniqueName="[MAESTRO_LOTES].[Pltas. Prod.].[All]" dimensionUniqueName="[MAESTRO_LOTES]" displayFolder="" count="0" memberValueDatatype="5" unbalanced="0"/>
    <cacheHierarchy uniqueName="[MAESTRO_LOTES].[Pltas Formación]" caption="Pltas Formación" attribute="1" defaultMemberUniqueName="[MAESTRO_LOTES].[Pltas Formación].[All]" allUniqueName="[MAESTRO_LOTES].[Pltas Formación].[All]" dimensionUniqueName="[MAESTRO_LOTES]" displayFolder="" count="0" memberValueDatatype="5" unbalanced="0"/>
    <cacheHierarchy uniqueName="[MAESTRO_LOTES].[Espacios vacíos]" caption="Espacios vacíos" attribute="1" defaultMemberUniqueName="[MAESTRO_LOTES].[Espacios vacíos].[All]" allUniqueName="[MAESTRO_LOTES].[Espacios vacíos].[All]" dimensionUniqueName="[MAESTRO_LOTES]" displayFolder="" count="0" memberValueDatatype="5" unbalanced="0"/>
    <cacheHierarchy uniqueName="[MAESTRO_LOTES].[distancia_planta]" caption="distancia_planta" attribute="1" defaultMemberUniqueName="[MAESTRO_LOTES].[distancia_planta].[All]" allUniqueName="[MAESTRO_LOTES].[distancia_planta].[All]" dimensionUniqueName="[MAESTRO_LOTES]" displayFolder="" count="0" memberValueDatatype="5" unbalanced="0"/>
    <cacheHierarchy uniqueName="[MAESTRO_LOTES].[distancia_calle]" caption="distancia_calle" attribute="1" defaultMemberUniqueName="[MAESTRO_LOTES].[distancia_calle].[All]" allUniqueName="[MAESTRO_LOTES].[distancia_calle].[All]" dimensionUniqueName="[MAESTRO_LOTES]" displayFolder="" count="0" memberValueDatatype="5" unbalanced="0"/>
    <cacheHierarchy uniqueName="[MAESTRO_LOTES].[Estado]" caption="Estado" attribute="1" defaultMemberUniqueName="[MAESTRO_LOTES].[Estado].[All]" allUniqueName="[MAESTRO_LOTES].[Estado].[All]" dimensionUniqueName="[MAESTRO_LOTES]" displayFolder="" count="0" memberValueDatatype="130" unbalanced="0"/>
    <cacheHierarchy uniqueName="[MAESTRO_LOTES].[Fecha plantación]" caption="Fecha plantación" attribute="1" time="1" defaultMemberUniqueName="[MAESTRO_LOTES].[Fecha plantación].[All]" allUniqueName="[MAESTRO_LOTES].[Fecha plantación].[All]" dimensionUniqueName="[MAESTRO_LOTES]" displayFolder="" count="0" memberValueDatatype="7" unbalanced="0"/>
    <cacheHierarchy uniqueName="[MAESTRO_LOTES].[Edad]" caption="Edad" attribute="1" defaultMemberUniqueName="[MAESTRO_LOTES].[Edad].[All]" allUniqueName="[MAESTRO_LOTES].[Edad].[All]" dimensionUniqueName="[MAESTRO_LOTES]" displayFolder="" count="0" memberValueDatatype="5" unbalanced="0"/>
    <cacheHierarchy uniqueName="[MAESTRO_LOTES].[Tipo Parron]" caption="Tipo Parron" attribute="1" defaultMemberUniqueName="[MAESTRO_LOTES].[Tipo Parron].[All]" allUniqueName="[MAESTRO_LOTES].[Tipo Parron].[All]" dimensionUniqueName="[MAESTRO_LOTES]" displayFolder="" count="0" memberValueDatatype="130" unbalanced="0"/>
    <cacheHierarchy uniqueName="[MAESTRO_LOTES].[Fecha nacimiento]" caption="Fecha nacimiento" attribute="1" time="1" defaultMemberUniqueName="[MAESTRO_LOTES].[Fecha nacimiento].[All]" allUniqueName="[MAESTRO_LOTES].[Fecha nacimiento].[All]" dimensionUniqueName="[MAESTRO_LOTES]" displayFolder="" count="0" memberValueDatatype="7" unbalanced="0"/>
    <cacheHierarchy uniqueName="[MAESTRO_LOTES].[Edad-Sup]" caption="Edad-Sup" attribute="1" defaultMemberUniqueName="[MAESTRO_LOTES].[Edad-Sup].[All]" allUniqueName="[MAESTRO_LOTES].[Edad-Sup].[All]" dimensionUniqueName="[MAESTRO_LOTES]" displayFolder="" count="0" memberValueDatatype="130" unbalanced="0"/>
    <cacheHierarchy uniqueName="[MAESTRO_LOTES].[N° celular]" caption="N° celular" attribute="1" defaultMemberUniqueName="[MAESTRO_LOTES].[N° celular].[All]" allUniqueName="[MAESTRO_LOTES].[N° celular].[All]" dimensionUniqueName="[MAESTRO_LOTES]" displayFolder="" count="0" memberValueDatatype="130" unbalanced="0"/>
    <cacheHierarchy uniqueName="[MAESTRO_LOTES].[Dirección]" caption="Dirección" attribute="1" defaultMemberUniqueName="[MAESTRO_LOTES].[Dirección].[All]" allUniqueName="[MAESTRO_LOTES].[Dirección].[All]" dimensionUniqueName="[MAESTRO_LOTES]" displayFolder="" count="0" memberValueDatatype="130" unbalanced="0"/>
    <cacheHierarchy uniqueName="[MAESTRO_LOTES].[Distrito/CP]" caption="Distrito/CP" attribute="1" defaultMemberUniqueName="[MAESTRO_LOTES].[Distrito/CP].[All]" allUniqueName="[MAESTRO_LOTES].[Distrito/CP].[All]" dimensionUniqueName="[MAESTRO_LOTES]" displayFolder="" count="0" memberValueDatatype="130" unbalanced="0"/>
    <cacheHierarchy uniqueName="[MAESTRO_LOTES].[Nivel Educativo]" caption="Nivel Educativo" attribute="1" defaultMemberUniqueName="[MAESTRO_LOTES].[Nivel Educativo].[All]" allUniqueName="[MAESTRO_LOTES].[Nivel Educativo].[All]" dimensionUniqueName="[MAESTRO_LOTES]" displayFolder="" count="0" memberValueDatatype="130" unbalanced="0"/>
    <cacheHierarchy uniqueName="[MAESTRO_LOTES].[Carrera]" caption="Carrera" attribute="1" defaultMemberUniqueName="[MAESTRO_LOTES].[Carrera].[All]" allUniqueName="[MAESTRO_LOTES].[Carrera].[All]" dimensionUniqueName="[MAESTRO_LOTES]" displayFolder="" count="0" memberValueDatatype="130" unbalanced="0"/>
    <cacheHierarchy uniqueName="[MAESTRO_LOTES].[Supervisor de lote]" caption="Supervisor de lote" attribute="1" defaultMemberUniqueName="[MAESTRO_LOTES].[Supervisor de lote].[All]" allUniqueName="[MAESTRO_LOTES].[Supervisor de lote].[All]" dimensionUniqueName="[MAESTRO_LOTES]" displayFolder="" count="0" memberValueDatatype="130" unbalanced="0"/>
    <cacheHierarchy uniqueName="[MAESTRO_LOTES].[Subgerente]" caption="Subgerente" attribute="1" defaultMemberUniqueName="[MAESTRO_LOTES].[Subgerente].[All]" allUniqueName="[MAESTRO_LOTES].[Subgerente].[All]" dimensionUniqueName="[MAESTRO_LOTES]" displayFolder="" count="0" memberValueDatatype="130" unbalanced="0"/>
    <cacheHierarchy uniqueName="[MAESTRO_LOTES].[Supervisor de sanidad]" caption="Supervisor de sanidad" attribute="1" defaultMemberUniqueName="[MAESTRO_LOTES].[Supervisor de sanidad].[All]" allUniqueName="[MAESTRO_LOTES].[Supervisor de sanidad].[All]" dimensionUniqueName="[MAESTRO_LOTES]" displayFolder="" count="0" memberValueDatatype="130" unbalanced="0"/>
    <cacheHierarchy uniqueName="[MAESTRO_LOTES].[Supervisor de riego]" caption="Supervisor de riego" attribute="1" defaultMemberUniqueName="[MAESTRO_LOTES].[Supervisor de riego].[All]" allUniqueName="[MAESTRO_LOTES].[Supervisor de riego].[All]" dimensionUniqueName="[MAESTRO_LOTES]" displayFolder="" count="0" memberValueDatatype="130" unbalanced="0"/>
    <cacheHierarchy uniqueName="[MAESTRO_LOTES].[Supervisor de control biologico]" caption="Supervisor de control biologico" attribute="1" defaultMemberUniqueName="[MAESTRO_LOTES].[Supervisor de control biologico].[All]" allUniqueName="[MAESTRO_LOTES].[Supervisor de control biologico].[All]" dimensionUniqueName="[MAESTRO_LOTES]" displayFolder="" count="0" memberValueDatatype="130" unbalanced="0"/>
    <cacheHierarchy uniqueName="[MAESTRO_LOTES].[CAMPO]" caption="CAMPO" attribute="1" defaultMemberUniqueName="[MAESTRO_LOTES].[CAMPO].[All]" allUniqueName="[MAESTRO_LOTES].[CAMPO].[All]" dimensionUniqueName="[MAESTRO_LOTES]" displayFolder="" count="0" memberValueDatatype="130" unbalanced="0"/>
    <cacheHierarchy uniqueName="[MAESTRO_LOTES].[LOTE PoC HISPATEC]" caption="LOTE PoC HISPATEC" attribute="1" defaultMemberUniqueName="[MAESTRO_LOTES].[LOTE PoC HISPATEC].[All]" allUniqueName="[MAESTRO_LOTES].[LOTE PoC HISPATEC].[All]" dimensionUniqueName="[MAESTRO_LOTES]" displayFolder="" count="0" memberValueDatatype="130" unbalanced="0"/>
    <cacheHierarchy uniqueName="[MAESTRO_LOTES].[¿Es BLOOM?]" caption="¿Es BLOOM?" attribute="1" defaultMemberUniqueName="[MAESTRO_LOTES].[¿Es BLOOM?].[All]" allUniqueName="[MAESTRO_LOTES].[¿Es BLOOM?].[All]" dimensionUniqueName="[MAESTRO_LOTES]" displayFolder="" count="0" memberValueDatatype="130" unbalanced="0"/>
    <cacheHierarchy uniqueName="[Primera_plantacion].[Campo]" caption="Campo" attribute="1" defaultMemberUniqueName="[Primera_plantacion].[Campo].[All]" allUniqueName="[Primera_plantacion].[Campo].[All]" dimensionUniqueName="[Primera_plantacion]" displayFolder="" count="0" memberValueDatatype="130" unbalanced="0"/>
    <cacheHierarchy uniqueName="[Primera_plantacion].[LOTE]" caption="LOTE" attribute="1" defaultMemberUniqueName="[Primera_plantacion].[LOTE].[All]" allUniqueName="[Primera_plantacion].[LOTE].[All]" dimensionUniqueName="[Primera_plantacion]" displayFolder="" count="0" memberValueDatatype="130" unbalanced="0"/>
    <cacheHierarchy uniqueName="[Primera_plantacion].[1ra plantacion]" caption="1ra plantacion" attribute="1" time="1" defaultMemberUniqueName="[Primera_plantacion].[1ra plantacion].[All]" allUniqueName="[Primera_plantacion].[1ra plantacion].[All]" dimensionUniqueName="[Primera_plantacion]" displayFolder="" count="0" memberValueDatatype="7" unbalanced="0"/>
    <cacheHierarchy uniqueName="[Primera_plantacion].[filtro]" caption="filtro" attribute="1" defaultMemberUniqueName="[Primera_plantacion].[filtro].[All]" allUniqueName="[Primera_plantacion].[filtro].[All]" dimensionUniqueName="[Primera_plantacion]" displayFolder="" count="2" memberValueDatatype="130" unbalanced="0">
      <fieldsUsage count="2">
        <fieldUsage x="-1"/>
        <fieldUsage x="2"/>
      </fieldsUsage>
    </cacheHierarchy>
    <cacheHierarchy uniqueName="[Tabla13].[VARIEDAD]" caption="VARIEDAD" attribute="1" defaultMemberUniqueName="[Tabla13].[VARIEDAD].[All]" allUniqueName="[Tabla13].[VARIEDAD].[All]" dimensionUniqueName="[Tabla13]" displayFolder="" count="0" memberValueDatatype="130" unbalanced="0"/>
    <cacheHierarchy uniqueName="[Tabla13].[LOTE]" caption="LOTE" attribute="1" defaultMemberUniqueName="[Tabla13].[LOTE].[All]" allUniqueName="[Tabla13].[LOTE].[All]" dimensionUniqueName="[Tabla13]" displayFolder="" count="0" memberValueDatatype="130" unbalanced="0"/>
    <cacheHierarchy uniqueName="[Tabla13].[VAR]" caption="VAR" attribute="1" defaultMemberUniqueName="[Tabla13].[VAR].[All]" allUniqueName="[Tabla13].[VAR].[All]" dimensionUniqueName="[Tabla13]" displayFolder="" count="0" memberValueDatatype="130" unbalanced="0"/>
    <cacheHierarchy uniqueName="[Tabla13].[Jefe Campo]" caption="Jefe Campo" attribute="1" defaultMemberUniqueName="[Tabla13].[Jefe Campo].[All]" allUniqueName="[Tabla13].[Jefe Campo].[All]" dimensionUniqueName="[Tabla13]" displayFolder="" count="0" memberValueDatatype="130" unbalanced="0"/>
    <cacheHierarchy uniqueName="[Tabla13].[VAR-LOTE]" caption="VAR-LOTE" attribute="1" defaultMemberUniqueName="[Tabla13].[VAR-LOTE].[All]" allUniqueName="[Tabla13].[VAR-LOTE].[All]" dimensionUniqueName="[Tabla13]" displayFolder="" count="0" memberValueDatatype="130" unbalanced="0"/>
    <cacheHierarchy uniqueName="[Tabla13].[PATRON]" caption="PATRON" attribute="1" defaultMemberUniqueName="[Tabla13].[PATRON].[All]" allUniqueName="[Tabla13].[PATRON].[All]" dimensionUniqueName="[Tabla13]" displayFolder="" count="0" memberValueDatatype="130" unbalanced="0"/>
    <cacheHierarchy uniqueName="[Tabla13].[Casa comercial]" caption="Casa comercial" attribute="1" defaultMemberUniqueName="[Tabla13].[Casa comercial].[All]" allUniqueName="[Tabla13].[Casa comercial].[All]" dimensionUniqueName="[Tabla13]" displayFolder="" count="0" memberValueDatatype="130" unbalanced="0"/>
    <cacheHierarchy uniqueName="[Tabla13].[AÑO]" caption="AÑO" attribute="1" defaultMemberUniqueName="[Tabla13].[AÑO].[All]" allUniqueName="[Tabla13].[AÑO].[All]" dimensionUniqueName="[Tabla13]" displayFolder="" count="0" memberValueDatatype="20" unbalanced="0"/>
    <cacheHierarchy uniqueName="[Tabla13].[Densidades]" caption="Densidades" attribute="1" defaultMemberUniqueName="[Tabla13].[Densidades].[All]" allUniqueName="[Tabla13].[Densidades].[All]" dimensionUniqueName="[Tabla13]" displayFolder="" count="0" memberValueDatatype="5" unbalanced="0"/>
    <cacheHierarchy uniqueName="[Tabla13].[Total Has]" caption="Total Has" attribute="1" defaultMemberUniqueName="[Tabla13].[Total Has].[All]" allUniqueName="[Tabla13].[Total Has].[All]" dimensionUniqueName="[Tabla13]" displayFolder="" count="0" memberValueDatatype="5" unbalanced="0"/>
    <cacheHierarchy uniqueName="[Tabla13].[Has Productivas]" caption="Has Productivas" attribute="1" defaultMemberUniqueName="[Tabla13].[Has Productivas].[All]" allUniqueName="[Tabla13].[Has Productivas].[All]" dimensionUniqueName="[Tabla13]" displayFolder="" count="0" memberValueDatatype="5" unbalanced="0"/>
    <cacheHierarchy uniqueName="[Tabla13].[Has Formación]" caption="Has Formación" attribute="1" defaultMemberUniqueName="[Tabla13].[Has Formación].[All]" allUniqueName="[Tabla13].[Has Formación].[All]" dimensionUniqueName="[Tabla13]" displayFolder="" count="0" memberValueDatatype="5" unbalanced="0"/>
    <cacheHierarchy uniqueName="[Tabla13].[Has Faltantes]" caption="Has Faltantes" attribute="1" defaultMemberUniqueName="[Tabla13].[Has Faltantes].[All]" allUniqueName="[Tabla13].[Has Faltantes].[All]" dimensionUniqueName="[Tabla13]" displayFolder="" count="0" memberValueDatatype="5" unbalanced="0"/>
    <cacheHierarchy uniqueName="[Tabla13].[Total Espacios Censo]" caption="Total Espacios Censo" attribute="1" defaultMemberUniqueName="[Tabla13].[Total Espacios Censo].[All]" allUniqueName="[Tabla13].[Total Espacios Censo].[All]" dimensionUniqueName="[Tabla13]" displayFolder="" count="0" memberValueDatatype="5" unbalanced="0"/>
    <cacheHierarchy uniqueName="[Tabla13].[Pltas. Prod. Censo]" caption="Pltas. Prod. Censo" attribute="1" defaultMemberUniqueName="[Tabla13].[Pltas. Prod. Censo].[All]" allUniqueName="[Tabla13].[Pltas. Prod. Censo].[All]" dimensionUniqueName="[Tabla13]" displayFolder="" count="0" memberValueDatatype="5" unbalanced="0"/>
    <cacheHierarchy uniqueName="[Tabla13].[Pltas Formación Censo]" caption="Pltas Formación Censo" attribute="1" defaultMemberUniqueName="[Tabla13].[Pltas Formación Censo].[All]" allUniqueName="[Tabla13].[Pltas Formación Censo].[All]" dimensionUniqueName="[Tabla13]" displayFolder="" count="0" memberValueDatatype="5" unbalanced="0"/>
    <cacheHierarchy uniqueName="[Tabla13].[Espacios vacíos Censo]" caption="Espacios vacíos Censo" attribute="1" defaultMemberUniqueName="[Tabla13].[Espacios vacíos Censo].[All]" allUniqueName="[Tabla13].[Espacios vacíos Censo].[All]" dimensionUniqueName="[Tabla13]" displayFolder="" count="0" memberValueDatatype="5" unbalanced="0"/>
    <cacheHierarchy uniqueName="[Tabla13].[distancia_planta]" caption="distancia_planta" attribute="1" defaultMemberUniqueName="[Tabla13].[distancia_planta].[All]" allUniqueName="[Tabla13].[distancia_planta].[All]" dimensionUniqueName="[Tabla13]" displayFolder="" count="0" memberValueDatatype="5" unbalanced="0"/>
    <cacheHierarchy uniqueName="[Tabla13].[distancia_calle]" caption="distancia_calle" attribute="1" defaultMemberUniqueName="[Tabla13].[distancia_calle].[All]" allUniqueName="[Tabla13].[distancia_calle].[All]" dimensionUniqueName="[Tabla13]" displayFolder="" count="0" memberValueDatatype="5" unbalanced="0"/>
    <cacheHierarchy uniqueName="[Tabla13].[Estado]" caption="Estado" attribute="1" defaultMemberUniqueName="[Tabla13].[Estado].[All]" allUniqueName="[Tabla13].[Estado].[All]" dimensionUniqueName="[Tabla13]" displayFolder="" count="0" memberValueDatatype="130" unbalanced="0"/>
    <cacheHierarchy uniqueName="[Tabla13].[Fecha plantación]" caption="Fecha plantación" attribute="1" defaultMemberUniqueName="[Tabla13].[Fecha plantación].[All]" allUniqueName="[Tabla13].[Fecha plantación].[All]" dimensionUniqueName="[Tabla13]" displayFolder="" count="0" memberValueDatatype="130" unbalanced="0"/>
    <cacheHierarchy uniqueName="[Tabla13].[Edad]" caption="Edad" attribute="1" defaultMemberUniqueName="[Tabla13].[Edad].[All]" allUniqueName="[Tabla13].[Edad].[All]" dimensionUniqueName="[Tabla13]" displayFolder="" count="0" memberValueDatatype="130" unbalanced="0"/>
    <cacheHierarchy uniqueName="[Tabla13].[Tipo Parron]" caption="Tipo Parron" attribute="1" defaultMemberUniqueName="[Tabla13].[Tipo Parron].[All]" allUniqueName="[Tabla13].[Tipo Parron].[All]" dimensionUniqueName="[Tabla13]" displayFolder="" count="0" memberValueDatatype="130" unbalanced="0"/>
    <cacheHierarchy uniqueName="[Tabla13].[Fecha nacimiento]" caption="Fecha nacimiento" attribute="1" time="1" defaultMemberUniqueName="[Tabla13].[Fecha nacimiento].[All]" allUniqueName="[Tabla13].[Fecha nacimiento].[All]" dimensionUniqueName="[Tabla13]" displayFolder="" count="0" memberValueDatatype="7" unbalanced="0"/>
    <cacheHierarchy uniqueName="[Tabla13].[Edad-Sup]" caption="Edad-Sup" attribute="1" defaultMemberUniqueName="[Tabla13].[Edad-Sup].[All]" allUniqueName="[Tabla13].[Edad-Sup].[All]" dimensionUniqueName="[Tabla13]" displayFolder="" count="0" memberValueDatatype="20" unbalanced="0"/>
    <cacheHierarchy uniqueName="[Tabla13].[N° celular]" caption="N° celular" attribute="1" defaultMemberUniqueName="[Tabla13].[N° celular].[All]" allUniqueName="[Tabla13].[N° celular].[All]" dimensionUniqueName="[Tabla13]" displayFolder="" count="0" memberValueDatatype="20" unbalanced="0"/>
    <cacheHierarchy uniqueName="[Tabla13].[Dirección]" caption="Dirección" attribute="1" defaultMemberUniqueName="[Tabla13].[Dirección].[All]" allUniqueName="[Tabla13].[Dirección].[All]" dimensionUniqueName="[Tabla13]" displayFolder="" count="0" memberValueDatatype="130" unbalanced="0"/>
    <cacheHierarchy uniqueName="[Tabla13].[Nivel Educativo]" caption="Nivel Educativo" attribute="1" defaultMemberUniqueName="[Tabla13].[Nivel Educativo].[All]" allUniqueName="[Tabla13].[Nivel Educativo].[All]" dimensionUniqueName="[Tabla13]" displayFolder="" count="0" memberValueDatatype="130" unbalanced="0"/>
    <cacheHierarchy uniqueName="[Tabla13].[Carrera]" caption="Carrera" attribute="1" defaultMemberUniqueName="[Tabla13].[Carrera].[All]" allUniqueName="[Tabla13].[Carrera].[All]" dimensionUniqueName="[Tabla13]" displayFolder="" count="0" memberValueDatatype="130" unbalanced="0"/>
    <cacheHierarchy uniqueName="[Tabla13].[Supervisor de lote]" caption="Supervisor de lote" attribute="1" defaultMemberUniqueName="[Tabla13].[Supervisor de lote].[All]" allUniqueName="[Tabla13].[Supervisor de lote].[All]" dimensionUniqueName="[Tabla13]" displayFolder="" count="0" memberValueDatatype="130" unbalanced="0"/>
    <cacheHierarchy uniqueName="[Tabla13].[Subgerente]" caption="Subgerente" attribute="1" defaultMemberUniqueName="[Tabla13].[Subgerente].[All]" allUniqueName="[Tabla13].[Subgerente].[All]" dimensionUniqueName="[Tabla13]" displayFolder="" count="0" memberValueDatatype="130" unbalanced="0"/>
    <cacheHierarchy uniqueName="[Measures].[Plantas_prod]" caption="Plantas_prod" measure="1" displayFolder="" measureGroup="Datos_valvulas" count="0"/>
    <cacheHierarchy uniqueName="[Measures].[Plantas_formacion]" caption="Plantas_formacion" measure="1" displayFolder="" measureGroup="Datos_valvulas" count="0"/>
    <cacheHierarchy uniqueName="[Measures].[E_Vacios]" caption="E_Vacios" measure="1" displayFolder="" measureGroup="Datos_valvulas" count="0"/>
    <cacheHierarchy uniqueName="[Measures].[Total_plantas]" caption="Total_plantas" measure="1" displayFolder="" measureGroup="Datos_valvulas" count="0"/>
    <cacheHierarchy uniqueName="[Measures].[Has_prod_valv]" caption="Has_prod_valv" measure="1" displayFolder="" measureGroup="Datos_valvulas" count="0"/>
    <cacheHierarchy uniqueName="[Measures].[Has_form_valv]" caption="Has_form_valv" measure="1" displayFolder="" measureGroup="Datos_valvulas" count="0"/>
    <cacheHierarchy uniqueName="[Measures].[Has_vacias_valv]" caption="Has_vacias_valv" measure="1" displayFolder="" measureGroup="Datos_valvulas" count="0"/>
    <cacheHierarchy uniqueName="[Measures].[Has_Total_valv]" caption="Has_Total_valv" measure="1" displayFolder="" measureGroup="Datos_valvulas" count="0"/>
    <cacheHierarchy uniqueName="[Measures].[Fecha_inicio]" caption="Fecha_inicio" measure="1" displayFolder="" measureGroup="gantt_diario" count="0"/>
    <cacheHierarchy uniqueName="[Measures].[Fecha_fin]" caption="Fecha_fin" measure="1" displayFolder="" measureGroup="gantt_diario" count="0"/>
    <cacheHierarchy uniqueName="[Measures].[Años_1ra_plant]" caption="Años_1ra_plant" measure="1" displayFolder="" measureGroup="Primera_plantacion" count="0" oneField="1">
      <fieldsUsage count="1">
        <fieldUsage x="1"/>
      </fieldsUsage>
    </cacheHierarchy>
    <cacheHierarchy uniqueName="[Measures].[Has_prod]" caption="Has_prod" measure="1" displayFolder="" measureGroup="MAESTRO_LOTES" count="0"/>
    <cacheHierarchy uniqueName="[Measures].[Has_totales]" caption="Has_totales" measure="1" displayFolder="" measureGroup="MAESTRO_LOTES" count="0"/>
    <cacheHierarchy uniqueName="[Measures].[Has_form]" caption="Has_form" measure="1" displayFolder="" measureGroup="MAESTRO_LOTES" count="0"/>
    <cacheHierarchy uniqueName="[Measures].[Has_faltantes]" caption="Has_faltantes" measure="1" displayFolder="" measureGroup="MAESTRO_LOTES" count="0"/>
    <cacheHierarchy uniqueName="[Measures].[__XL_Count Datos_valvulas]" caption="__XL_Count Datos_valvulas" measure="1" displayFolder="" measureGroup="Datos_valvulas" count="0" hidden="1"/>
    <cacheHierarchy uniqueName="[Measures].[__XL_Count gantt_diario]" caption="__XL_Count gantt_diario" measure="1" displayFolder="" measureGroup="gantt_diario" count="0" hidden="1"/>
    <cacheHierarchy uniqueName="[Measures].[__XL_Count Primera_plantacion]" caption="__XL_Count Primera_plantacion" measure="1" displayFolder="" measureGroup="Primera_plantacion" count="0" hidden="1"/>
    <cacheHierarchy uniqueName="[Measures].[__XL_Count CAMPOS]" caption="__XL_Count CAMPOS" measure="1" displayFolder="" measureGroup="CAMPOS" count="0" hidden="1"/>
    <cacheHierarchy uniqueName="[Measures].[__XL_Count MAESTRO_LOTES]" caption="__XL_Count MAESTRO_LOTES" measure="1" displayFolder="" measureGroup="MAESTRO_LOTES" count="0" hidden="1"/>
    <cacheHierarchy uniqueName="[Measures].[__XL_Count Tabla13]" caption="__XL_Count Tabla13" measure="1" displayFolder="" measureGroup="Tabla13" count="0" hidden="1"/>
    <cacheHierarchy uniqueName="[Measures].[__No measures defined]" caption="__No measures defined" measure="1" displayFolder="" count="0" hidden="1"/>
    <cacheHierarchy uniqueName="[Measures].[Recuento de 1ra plantacion]" caption="Recuento de 1ra plantacion" measure="1" displayFolder="" measureGroup="Primera_plantacion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a de Has Productivas]" caption="Suma de Has Productivas" measure="1" displayFolder="" measureGroup="MAESTRO_LOTES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Suma de Total Has]" caption="Suma de Total Has" measure="1" displayFolder="" measureGroup="MAESTRO_LOTES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a de Has Formación]" caption="Suma de Has Formación" measure="1" displayFolder="" measureGroup="Tabla13" count="0" hidden="1">
      <extLst>
        <ext xmlns:x15="http://schemas.microsoft.com/office/spreadsheetml/2010/11/main" uri="{B97F6D7D-B522-45F9-BDA1-12C45D357490}">
          <x15:cacheHierarchy aggregatedColumn="69"/>
        </ext>
      </extLst>
    </cacheHierarchy>
    <cacheHierarchy uniqueName="[Measures].[Suma de Has Formación 2]" caption="Suma de Has Formación 2" measure="1" displayFolder="" measureGroup="MAESTRO_LOTES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a de Densidades]" caption="Suma de Densidades" measure="1" displayFolder="" measureGroup="MAESTRO_LOTES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Promedio de Densidades]" caption="Promedio de Densidades" measure="1" displayFolder="" measureGroup="MAESTRO_LOTES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Recuento de Fecha plantación]" caption="Recuento de Fecha plantación" measure="1" displayFolder="" measureGroup="MAESTRO_LOTES" count="0" hidden="1">
      <extLst>
        <ext xmlns:x15="http://schemas.microsoft.com/office/spreadsheetml/2010/11/main" uri="{B97F6D7D-B522-45F9-BDA1-12C45D357490}">
          <x15:cacheHierarchy aggregatedColumn="36"/>
        </ext>
      </extLst>
    </cacheHierarchy>
  </cacheHierarchies>
  <kpis count="0"/>
  <dimensions count="7">
    <dimension name="CAMPOS" uniqueName="[CAMPOS]" caption="CAMPOS"/>
    <dimension name="Datos_valvulas" uniqueName="[Datos_valvulas]" caption="Datos_valvulas"/>
    <dimension name="gantt_diario" uniqueName="[gantt_diario]" caption="gantt_diario"/>
    <dimension name="MAESTRO_LOTES" uniqueName="[MAESTRO_LOTES]" caption="MAESTRO_LOTES"/>
    <dimension measure="1" name="Measures" uniqueName="[Measures]" caption="Measures"/>
    <dimension name="Primera_plantacion" uniqueName="[Primera_plantacion]" caption="Primera_plantacion"/>
    <dimension name="Tabla13" uniqueName="[Tabla13]" caption="Tabla13"/>
  </dimensions>
  <measureGroups count="6">
    <measureGroup name="CAMPOS" caption="CAMPOS"/>
    <measureGroup name="Datos_valvulas" caption="Datos_valvulas"/>
    <measureGroup name="gantt_diario" caption="gantt_diario"/>
    <measureGroup name="MAESTRO_LOTES" caption="MAESTRO_LOTES"/>
    <measureGroup name="Primera_plantacion" caption="Primera_plantacion"/>
    <measureGroup name="Tabla13" caption="Tabla13"/>
  </measureGroups>
  <maps count="7">
    <map measureGroup="0" dimension="0"/>
    <map measureGroup="1" dimension="1"/>
    <map measureGroup="2" dimension="2"/>
    <map measureGroup="3" dimension="3"/>
    <map measureGroup="4" dimension="0"/>
    <map measureGroup="4" dimension="5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Pedregal" refreshedDate="46106.444419907406" createdVersion="5" refreshedVersion="8" minRefreshableVersion="3" recordCount="0" supportSubquery="1" supportAdvancedDrill="1" xr:uid="{00000000-000A-0000-FFFF-FFFF78010000}">
  <cacheSource type="external" connectionId="6"/>
  <cacheFields count="9">
    <cacheField name="[Datos_valvulas].[VAR].[VAR]" caption="VAR" numFmtId="0" hierarchy="3" level="1">
      <sharedItems count="7">
        <s v="AL"/>
        <s v="CC"/>
        <s v="CH"/>
        <s v="FC"/>
        <s v="JS"/>
        <s v="SC"/>
        <s v="TM"/>
      </sharedItems>
    </cacheField>
    <cacheField name="[Datos_valvulas].[Lote].[Lote]" caption="Lote" numFmtId="0" hierarchy="4" level="1">
      <sharedItems count="10">
        <s v="G06"/>
        <s v="C07"/>
        <s v="H09"/>
        <s v="B13"/>
        <s v="C13"/>
        <s v="E04"/>
        <s v="F04"/>
        <s v="B03"/>
        <s v="E07"/>
        <s v="F05"/>
      </sharedItems>
    </cacheField>
    <cacheField name="[Measures].[Has_prod_valv]" caption="Has_prod_valv" numFmtId="0" hierarchy="93" level="32767"/>
    <cacheField name="[Measures].[Has_Total_valv]" caption="Has_Total_valv" numFmtId="0" hierarchy="96" level="32767"/>
    <cacheField name="[Datos_valvulas].[Valvulas].[Valvulas]" caption="Valvulas" numFmtId="0" hierarchy="6" level="1">
      <sharedItems count="16">
        <s v="A-1"/>
        <s v="B-1"/>
        <s v="C-1"/>
        <s v="D-1"/>
        <s v="C-2"/>
        <s v="A-2"/>
        <s v="B-2"/>
        <s v="A-3"/>
        <s v="A-4"/>
        <s v="B-3"/>
        <s v="B-4"/>
        <s v="C-3"/>
        <s v="C-4"/>
        <s v="D-2"/>
        <s v="D-3"/>
        <s v="D-4"/>
      </sharedItems>
    </cacheField>
    <cacheField name="[Datos_valvulas].[VARIEDAD].[VARIEDAD]" caption="VARIEDAD" numFmtId="0" hierarchy="9" level="1">
      <sharedItems count="7">
        <s v="ALLISON"/>
        <s v="COTTON CANDY"/>
        <s v="CANDY HEARTS"/>
        <s v="ARRA FIRE CRUNCH"/>
        <s v="JACK'S SALUTE"/>
        <s v="SWEET CELEBRATION"/>
        <s v="TIMPSON"/>
      </sharedItems>
    </cacheField>
    <cacheField name="[Datos_valvulas].[Densidad].[Densidad]" caption="Densidad" numFmtId="0" hierarchy="8" level="1">
      <sharedItems containsSemiMixedTypes="0" containsString="0" containsNumber="1" containsInteger="1" minValue="1262" maxValue="1953" count="4">
        <n v="1905"/>
        <n v="1780"/>
        <n v="1262"/>
        <n v="1953"/>
      </sharedItems>
    </cacheField>
    <cacheField name="[Measures].[Total_plantas]" caption="Total_plantas" numFmtId="0" hierarchy="92" level="32767"/>
    <cacheField name="[Measures].[Plantas_prod]" caption="Plantas_prod" numFmtId="0" hierarchy="89" level="32767"/>
  </cacheFields>
  <cacheHierarchies count="119">
    <cacheHierarchy uniqueName="[CAMPOS].[Campos]" caption="Campos" attribute="1" defaultMemberUniqueName="[CAMPOS].[Campos].[All]" allUniqueName="[CAMPOS].[Campos].[All]" dimensionUniqueName="[CAMPOS]" displayFolder="" count="0" memberValueDatatype="130" unbalanced="0"/>
    <cacheHierarchy uniqueName="[CAMPOS].[Tipo cultivo]" caption="Tipo cultivo" attribute="1" defaultMemberUniqueName="[CAMPOS].[Tipo cultivo].[All]" allUniqueName="[CAMPOS].[Tipo cultivo].[All]" dimensionUniqueName="[CAMPOS]" displayFolder="" count="0" memberValueDatatype="130" unbalanced="0"/>
    <cacheHierarchy uniqueName="[CAMPOS].[Periodo siembra-cosecha]" caption="Periodo siembra-cosecha" attribute="1" defaultMemberUniqueName="[CAMPOS].[Periodo siembra-cosecha].[All]" allUniqueName="[CAMPOS].[Periodo siembra-cosecha].[All]" dimensionUniqueName="[CAMPOS]" displayFolder="" count="0" memberValueDatatype="130" unbalanced="0"/>
    <cacheHierarchy uniqueName="[Datos_valvulas].[VAR]" caption="VAR" attribute="1" defaultMemberUniqueName="[Datos_valvulas].[VAR].[All]" allUniqueName="[Datos_valvulas].[VAR].[All]" dimensionUniqueName="[Datos_valvulas]" displayFolder="" count="2" memberValueDatatype="130" unbalanced="0">
      <fieldsUsage count="2">
        <fieldUsage x="-1"/>
        <fieldUsage x="0"/>
      </fieldsUsage>
    </cacheHierarchy>
    <cacheHierarchy uniqueName="[Datos_valvulas].[Lote]" caption="Lote" attribute="1" defaultMemberUniqueName="[Datos_valvulas].[Lote].[All]" allUniqueName="[Datos_valvulas].[Lote].[All]" dimensionUniqueName="[Datos_valvulas]" displayFolder="" count="2" memberValueDatatype="130" unbalanced="0">
      <fieldsUsage count="2">
        <fieldUsage x="-1"/>
        <fieldUsage x="1"/>
      </fieldsUsage>
    </cacheHierarchy>
    <cacheHierarchy uniqueName="[Datos_valvulas].[Tipo de planta]" caption="Tipo de planta" attribute="1" defaultMemberUniqueName="[Datos_valvulas].[Tipo de planta].[All]" allUniqueName="[Datos_valvulas].[Tipo de planta].[All]" dimensionUniqueName="[Datos_valvulas]" displayFolder="" count="0" memberValueDatatype="130" unbalanced="0"/>
    <cacheHierarchy uniqueName="[Datos_valvulas].[Valvulas]" caption="Valvulas" attribute="1" defaultMemberUniqueName="[Datos_valvulas].[Valvulas].[All]" allUniqueName="[Datos_valvulas].[Valvulas].[All]" dimensionUniqueName="[Datos_valvulas]" displayFolder="" count="2" memberValueDatatype="130" unbalanced="0">
      <fieldsUsage count="2">
        <fieldUsage x="-1"/>
        <fieldUsage x="4"/>
      </fieldsUsage>
    </cacheHierarchy>
    <cacheHierarchy uniqueName="[Datos_valvulas].[Plantas]" caption="Plantas" attribute="1" defaultMemberUniqueName="[Datos_valvulas].[Plantas].[All]" allUniqueName="[Datos_valvulas].[Plantas].[All]" dimensionUniqueName="[Datos_valvulas]" displayFolder="" count="0" memberValueDatatype="20" unbalanced="0"/>
    <cacheHierarchy uniqueName="[Datos_valvulas].[Densidad]" caption="Densidad" attribute="1" defaultMemberUniqueName="[Datos_valvulas].[Densidad].[All]" allUniqueName="[Datos_valvulas].[Densidad].[All]" dimensionUniqueName="[Datos_valvulas]" displayFolder="" count="2" memberValueDatatype="5" unbalanced="0">
      <fieldsUsage count="2">
        <fieldUsage x="-1"/>
        <fieldUsage x="6"/>
      </fieldsUsage>
    </cacheHierarchy>
    <cacheHierarchy uniqueName="[Datos_valvulas].[VARIEDAD]" caption="VARIEDAD" attribute="1" defaultMemberUniqueName="[Datos_valvulas].[VARIEDAD].[All]" allUniqueName="[Datos_valvulas].[VARIEDAD].[All]" dimensionUniqueName="[Datos_valvulas]" displayFolder="" count="2" memberValueDatatype="130" unbalanced="0">
      <fieldsUsage count="2">
        <fieldUsage x="-1"/>
        <fieldUsage x="5"/>
      </fieldsUsage>
    </cacheHierarchy>
    <cacheHierarchy uniqueName="[gantt_diario].[Lote]" caption="Lote" attribute="1" defaultMemberUniqueName="[gantt_diario].[Lote].[All]" allUniqueName="[gantt_diario].[Lote].[All]" dimensionUniqueName="[gantt_diario]" displayFolder="" count="0" memberValueDatatype="130" unbalanced="0"/>
    <cacheHierarchy uniqueName="[gantt_diario].[VARIEDAD]" caption="VARIEDAD" attribute="1" defaultMemberUniqueName="[gantt_diario].[VARIEDAD].[All]" allUniqueName="[gantt_diario].[VARIEDAD].[All]" dimensionUniqueName="[gantt_diario]" displayFolder="" count="0" memberValueDatatype="130" unbalanced="0"/>
    <cacheHierarchy uniqueName="[gantt_diario].[Fecha]" caption="Fecha" attribute="1" time="1" defaultMemberUniqueName="[gantt_diario].[Fecha].[All]" allUniqueName="[gantt_diario].[Fecha].[All]" dimensionUniqueName="[gantt_diario]" displayFolder="" count="0" memberValueDatatype="7" unbalanced="0"/>
    <cacheHierarchy uniqueName="[gantt_diario].[Cajas]" caption="Cajas" attribute="1" defaultMemberUniqueName="[gantt_diario].[Cajas].[All]" allUniqueName="[gantt_diario].[Cajas].[All]" dimensionUniqueName="[gantt_diario]" displayFolder="" count="0" memberValueDatatype="5" unbalanced="0"/>
    <cacheHierarchy uniqueName="[MAESTRO_LOTES].[PEP]" caption="PEP" attribute="1" defaultMemberUniqueName="[MAESTRO_LOTES].[PEP].[All]" allUniqueName="[MAESTRO_LOTES].[PEP].[All]" dimensionUniqueName="[MAESTRO_LOTES]" displayFolder="" count="0" memberValueDatatype="130" unbalanced="0"/>
    <cacheHierarchy uniqueName="[MAESTRO_LOTES].[VARIEDAD]" caption="VARIEDAD" attribute="1" defaultMemberUniqueName="[MAESTRO_LOTES].[VARIEDAD].[All]" allUniqueName="[MAESTRO_LOTES].[VARIEDAD].[All]" dimensionUniqueName="[MAESTRO_LOTES]" displayFolder="" count="0" memberValueDatatype="130" unbalanced="0"/>
    <cacheHierarchy uniqueName="[MAESTRO_LOTES].[LOTE]" caption="LOTE" attribute="1" defaultMemberUniqueName="[MAESTRO_LOTES].[LOTE].[All]" allUniqueName="[MAESTRO_LOTES].[LOTE].[All]" dimensionUniqueName="[MAESTRO_LOTES]" displayFolder="" count="0" memberValueDatatype="130" unbalanced="0"/>
    <cacheHierarchy uniqueName="[MAESTRO_LOTES].[VAR]" caption="VAR" attribute="1" defaultMemberUniqueName="[MAESTRO_LOTES].[VAR].[All]" allUniqueName="[MAESTRO_LOTES].[VAR].[All]" dimensionUniqueName="[MAESTRO_LOTES]" displayFolder="" count="0" memberValueDatatype="130" unbalanced="0"/>
    <cacheHierarchy uniqueName="[MAESTRO_LOTES].[FUNDO]" caption="FUNDO" attribute="1" defaultMemberUniqueName="[MAESTRO_LOTES].[FUNDO].[All]" allUniqueName="[MAESTRO_LOTES].[FUNDO].[All]" dimensionUniqueName="[MAESTRO_LOTES]" displayFolder="" count="0" memberValueDatatype="130" unbalanced="0"/>
    <cacheHierarchy uniqueName="[MAESTRO_LOTES].[Jefe Campo]" caption="Jefe Campo" attribute="1" defaultMemberUniqueName="[MAESTRO_LOTES].[Jefe Campo].[All]" allUniqueName="[MAESTRO_LOTES].[Jefe Campo].[All]" dimensionUniqueName="[MAESTRO_LOTES]" displayFolder="" count="0" memberValueDatatype="130" unbalanced="0"/>
    <cacheHierarchy uniqueName="[MAESTRO_LOTES].[VAR-LOTE]" caption="VAR-LOTE" attribute="1" defaultMemberUniqueName="[MAESTRO_LOTES].[VAR-LOTE].[All]" allUniqueName="[MAESTRO_LOTES].[VAR-LOTE].[All]" dimensionUniqueName="[MAESTRO_LOTES]" displayFolder="" count="0" memberValueDatatype="130" unbalanced="0"/>
    <cacheHierarchy uniqueName="[MAESTRO_LOTES].[PATRON]" caption="PATRON" attribute="1" defaultMemberUniqueName="[MAESTRO_LOTES].[PATRON].[All]" allUniqueName="[MAESTRO_LOTES].[PATRON].[All]" dimensionUniqueName="[MAESTRO_LOTES]" displayFolder="" count="0" memberValueDatatype="130" unbalanced="0"/>
    <cacheHierarchy uniqueName="[MAESTRO_LOTES].[Casa comercial]" caption="Casa comercial" attribute="1" defaultMemberUniqueName="[MAESTRO_LOTES].[Casa comercial].[All]" allUniqueName="[MAESTRO_LOTES].[Casa comercial].[All]" dimensionUniqueName="[MAESTRO_LOTES]" displayFolder="" count="0" memberValueDatatype="130" unbalanced="0"/>
    <cacheHierarchy uniqueName="[MAESTRO_LOTES].[AÑO]" caption="AÑO" attribute="1" defaultMemberUniqueName="[MAESTRO_LOTES].[AÑO].[All]" allUniqueName="[MAESTRO_LOTES].[AÑO].[All]" dimensionUniqueName="[MAESTRO_LOTES]" displayFolder="" count="0" memberValueDatatype="20" unbalanced="0"/>
    <cacheHierarchy uniqueName="[MAESTRO_LOTES].[Densidades]" caption="Densidades" attribute="1" defaultMemberUniqueName="[MAESTRO_LOTES].[Densidades].[All]" allUniqueName="[MAESTRO_LOTES].[Densidades].[All]" dimensionUniqueName="[MAESTRO_LOTES]" displayFolder="" count="0" memberValueDatatype="5" unbalanced="0"/>
    <cacheHierarchy uniqueName="[MAESTRO_LOTES].[Total Has]" caption="Total Has" attribute="1" defaultMemberUniqueName="[MAESTRO_LOTES].[Total Has].[All]" allUniqueName="[MAESTRO_LOTES].[Total Has].[All]" dimensionUniqueName="[MAESTRO_LOTES]" displayFolder="" count="0" memberValueDatatype="5" unbalanced="0"/>
    <cacheHierarchy uniqueName="[MAESTRO_LOTES].[Has Productivas]" caption="Has Productivas" attribute="1" defaultMemberUniqueName="[MAESTRO_LOTES].[Has Productivas].[All]" allUniqueName="[MAESTRO_LOTES].[Has Productivas].[All]" dimensionUniqueName="[MAESTRO_LOTES]" displayFolder="" count="0" memberValueDatatype="5" unbalanced="0"/>
    <cacheHierarchy uniqueName="[MAESTRO_LOTES].[Has Formación]" caption="Has Formación" attribute="1" defaultMemberUniqueName="[MAESTRO_LOTES].[Has Formación].[All]" allUniqueName="[MAESTRO_LOTES].[Has Formación].[All]" dimensionUniqueName="[MAESTRO_LOTES]" displayFolder="" count="0" memberValueDatatype="5" unbalanced="0"/>
    <cacheHierarchy uniqueName="[MAESTRO_LOTES].[Has Faltantes]" caption="Has Faltantes" attribute="1" defaultMemberUniqueName="[MAESTRO_LOTES].[Has Faltantes].[All]" allUniqueName="[MAESTRO_LOTES].[Has Faltantes].[All]" dimensionUniqueName="[MAESTRO_LOTES]" displayFolder="" count="0" memberValueDatatype="5" unbalanced="0"/>
    <cacheHierarchy uniqueName="[MAESTRO_LOTES].[Total Espacios]" caption="Total Espacios" attribute="1" defaultMemberUniqueName="[MAESTRO_LOTES].[Total Espacios].[All]" allUniqueName="[MAESTRO_LOTES].[Total Espacios].[All]" dimensionUniqueName="[MAESTRO_LOTES]" displayFolder="" count="0" memberValueDatatype="5" unbalanced="0"/>
    <cacheHierarchy uniqueName="[MAESTRO_LOTES].[Pltas. Prod.]" caption="Pltas. Prod." attribute="1" defaultMemberUniqueName="[MAESTRO_LOTES].[Pltas. Prod.].[All]" allUniqueName="[MAESTRO_LOTES].[Pltas. Prod.].[All]" dimensionUniqueName="[MAESTRO_LOTES]" displayFolder="" count="0" memberValueDatatype="5" unbalanced="0"/>
    <cacheHierarchy uniqueName="[MAESTRO_LOTES].[Pltas Formación]" caption="Pltas Formación" attribute="1" defaultMemberUniqueName="[MAESTRO_LOTES].[Pltas Formación].[All]" allUniqueName="[MAESTRO_LOTES].[Pltas Formación].[All]" dimensionUniqueName="[MAESTRO_LOTES]" displayFolder="" count="0" memberValueDatatype="5" unbalanced="0"/>
    <cacheHierarchy uniqueName="[MAESTRO_LOTES].[Espacios vacíos]" caption="Espacios vacíos" attribute="1" defaultMemberUniqueName="[MAESTRO_LOTES].[Espacios vacíos].[All]" allUniqueName="[MAESTRO_LOTES].[Espacios vacíos].[All]" dimensionUniqueName="[MAESTRO_LOTES]" displayFolder="" count="0" memberValueDatatype="5" unbalanced="0"/>
    <cacheHierarchy uniqueName="[MAESTRO_LOTES].[distancia_planta]" caption="distancia_planta" attribute="1" defaultMemberUniqueName="[MAESTRO_LOTES].[distancia_planta].[All]" allUniqueName="[MAESTRO_LOTES].[distancia_planta].[All]" dimensionUniqueName="[MAESTRO_LOTES]" displayFolder="" count="0" memberValueDatatype="5" unbalanced="0"/>
    <cacheHierarchy uniqueName="[MAESTRO_LOTES].[distancia_calle]" caption="distancia_calle" attribute="1" defaultMemberUniqueName="[MAESTRO_LOTES].[distancia_calle].[All]" allUniqueName="[MAESTRO_LOTES].[distancia_calle].[All]" dimensionUniqueName="[MAESTRO_LOTES]" displayFolder="" count="0" memberValueDatatype="5" unbalanced="0"/>
    <cacheHierarchy uniqueName="[MAESTRO_LOTES].[Estado]" caption="Estado" attribute="1" defaultMemberUniqueName="[MAESTRO_LOTES].[Estado].[All]" allUniqueName="[MAESTRO_LOTES].[Estado].[All]" dimensionUniqueName="[MAESTRO_LOTES]" displayFolder="" count="0" memberValueDatatype="130" unbalanced="0"/>
    <cacheHierarchy uniqueName="[MAESTRO_LOTES].[Fecha plantación]" caption="Fecha plantación" attribute="1" time="1" defaultMemberUniqueName="[MAESTRO_LOTES].[Fecha plantación].[All]" allUniqueName="[MAESTRO_LOTES].[Fecha plantación].[All]" dimensionUniqueName="[MAESTRO_LOTES]" displayFolder="" count="0" memberValueDatatype="7" unbalanced="0"/>
    <cacheHierarchy uniqueName="[MAESTRO_LOTES].[Edad]" caption="Edad" attribute="1" defaultMemberUniqueName="[MAESTRO_LOTES].[Edad].[All]" allUniqueName="[MAESTRO_LOTES].[Edad].[All]" dimensionUniqueName="[MAESTRO_LOTES]" displayFolder="" count="0" memberValueDatatype="5" unbalanced="0"/>
    <cacheHierarchy uniqueName="[MAESTRO_LOTES].[Tipo Parron]" caption="Tipo Parron" attribute="1" defaultMemberUniqueName="[MAESTRO_LOTES].[Tipo Parron].[All]" allUniqueName="[MAESTRO_LOTES].[Tipo Parron].[All]" dimensionUniqueName="[MAESTRO_LOTES]" displayFolder="" count="0" memberValueDatatype="130" unbalanced="0"/>
    <cacheHierarchy uniqueName="[MAESTRO_LOTES].[Fecha nacimiento]" caption="Fecha nacimiento" attribute="1" time="1" defaultMemberUniqueName="[MAESTRO_LOTES].[Fecha nacimiento].[All]" allUniqueName="[MAESTRO_LOTES].[Fecha nacimiento].[All]" dimensionUniqueName="[MAESTRO_LOTES]" displayFolder="" count="0" memberValueDatatype="7" unbalanced="0"/>
    <cacheHierarchy uniqueName="[MAESTRO_LOTES].[Edad-Sup]" caption="Edad-Sup" attribute="1" defaultMemberUniqueName="[MAESTRO_LOTES].[Edad-Sup].[All]" allUniqueName="[MAESTRO_LOTES].[Edad-Sup].[All]" dimensionUniqueName="[MAESTRO_LOTES]" displayFolder="" count="0" memberValueDatatype="130" unbalanced="0"/>
    <cacheHierarchy uniqueName="[MAESTRO_LOTES].[N° celular]" caption="N° celular" attribute="1" defaultMemberUniqueName="[MAESTRO_LOTES].[N° celular].[All]" allUniqueName="[MAESTRO_LOTES].[N° celular].[All]" dimensionUniqueName="[MAESTRO_LOTES]" displayFolder="" count="0" memberValueDatatype="130" unbalanced="0"/>
    <cacheHierarchy uniqueName="[MAESTRO_LOTES].[Dirección]" caption="Dirección" attribute="1" defaultMemberUniqueName="[MAESTRO_LOTES].[Dirección].[All]" allUniqueName="[MAESTRO_LOTES].[Dirección].[All]" dimensionUniqueName="[MAESTRO_LOTES]" displayFolder="" count="0" memberValueDatatype="130" unbalanced="0"/>
    <cacheHierarchy uniqueName="[MAESTRO_LOTES].[Distrito/CP]" caption="Distrito/CP" attribute="1" defaultMemberUniqueName="[MAESTRO_LOTES].[Distrito/CP].[All]" allUniqueName="[MAESTRO_LOTES].[Distrito/CP].[All]" dimensionUniqueName="[MAESTRO_LOTES]" displayFolder="" count="0" memberValueDatatype="130" unbalanced="0"/>
    <cacheHierarchy uniqueName="[MAESTRO_LOTES].[Nivel Educativo]" caption="Nivel Educativo" attribute="1" defaultMemberUniqueName="[MAESTRO_LOTES].[Nivel Educativo].[All]" allUniqueName="[MAESTRO_LOTES].[Nivel Educativo].[All]" dimensionUniqueName="[MAESTRO_LOTES]" displayFolder="" count="0" memberValueDatatype="130" unbalanced="0"/>
    <cacheHierarchy uniqueName="[MAESTRO_LOTES].[Carrera]" caption="Carrera" attribute="1" defaultMemberUniqueName="[MAESTRO_LOTES].[Carrera].[All]" allUniqueName="[MAESTRO_LOTES].[Carrera].[All]" dimensionUniqueName="[MAESTRO_LOTES]" displayFolder="" count="0" memberValueDatatype="130" unbalanced="0"/>
    <cacheHierarchy uniqueName="[MAESTRO_LOTES].[Supervisor de lote]" caption="Supervisor de lote" attribute="1" defaultMemberUniqueName="[MAESTRO_LOTES].[Supervisor de lote].[All]" allUniqueName="[MAESTRO_LOTES].[Supervisor de lote].[All]" dimensionUniqueName="[MAESTRO_LOTES]" displayFolder="" count="0" memberValueDatatype="130" unbalanced="0"/>
    <cacheHierarchy uniqueName="[MAESTRO_LOTES].[Subgerente]" caption="Subgerente" attribute="1" defaultMemberUniqueName="[MAESTRO_LOTES].[Subgerente].[All]" allUniqueName="[MAESTRO_LOTES].[Subgerente].[All]" dimensionUniqueName="[MAESTRO_LOTES]" displayFolder="" count="0" memberValueDatatype="130" unbalanced="0"/>
    <cacheHierarchy uniqueName="[MAESTRO_LOTES].[Supervisor de sanidad]" caption="Supervisor de sanidad" attribute="1" defaultMemberUniqueName="[MAESTRO_LOTES].[Supervisor de sanidad].[All]" allUniqueName="[MAESTRO_LOTES].[Supervisor de sanidad].[All]" dimensionUniqueName="[MAESTRO_LOTES]" displayFolder="" count="0" memberValueDatatype="130" unbalanced="0"/>
    <cacheHierarchy uniqueName="[MAESTRO_LOTES].[Supervisor de riego]" caption="Supervisor de riego" attribute="1" defaultMemberUniqueName="[MAESTRO_LOTES].[Supervisor de riego].[All]" allUniqueName="[MAESTRO_LOTES].[Supervisor de riego].[All]" dimensionUniqueName="[MAESTRO_LOTES]" displayFolder="" count="0" memberValueDatatype="130" unbalanced="0"/>
    <cacheHierarchy uniqueName="[MAESTRO_LOTES].[Supervisor de control biologico]" caption="Supervisor de control biologico" attribute="1" defaultMemberUniqueName="[MAESTRO_LOTES].[Supervisor de control biologico].[All]" allUniqueName="[MAESTRO_LOTES].[Supervisor de control biologico].[All]" dimensionUniqueName="[MAESTRO_LOTES]" displayFolder="" count="0" memberValueDatatype="130" unbalanced="0"/>
    <cacheHierarchy uniqueName="[MAESTRO_LOTES].[CAMPO]" caption="CAMPO" attribute="1" defaultMemberUniqueName="[MAESTRO_LOTES].[CAMPO].[All]" allUniqueName="[MAESTRO_LOTES].[CAMPO].[All]" dimensionUniqueName="[MAESTRO_LOTES]" displayFolder="" count="0" memberValueDatatype="130" unbalanced="0"/>
    <cacheHierarchy uniqueName="[MAESTRO_LOTES].[LOTE PoC HISPATEC]" caption="LOTE PoC HISPATEC" attribute="1" defaultMemberUniqueName="[MAESTRO_LOTES].[LOTE PoC HISPATEC].[All]" allUniqueName="[MAESTRO_LOTES].[LOTE PoC HISPATEC].[All]" dimensionUniqueName="[MAESTRO_LOTES]" displayFolder="" count="0" memberValueDatatype="130" unbalanced="0"/>
    <cacheHierarchy uniqueName="[MAESTRO_LOTES].[¿Es BLOOM?]" caption="¿Es BLOOM?" attribute="1" defaultMemberUniqueName="[MAESTRO_LOTES].[¿Es BLOOM?].[All]" allUniqueName="[MAESTRO_LOTES].[¿Es BLOOM?].[All]" dimensionUniqueName="[MAESTRO_LOTES]" displayFolder="" count="0" memberValueDatatype="130" unbalanced="0"/>
    <cacheHierarchy uniqueName="[Primera_plantacion].[Campo]" caption="Campo" attribute="1" defaultMemberUniqueName="[Primera_plantacion].[Campo].[All]" allUniqueName="[Primera_plantacion].[Campo].[All]" dimensionUniqueName="[Primera_plantacion]" displayFolder="" count="0" memberValueDatatype="130" unbalanced="0"/>
    <cacheHierarchy uniqueName="[Primera_plantacion].[LOTE]" caption="LOTE" attribute="1" defaultMemberUniqueName="[Primera_plantacion].[LOTE].[All]" allUniqueName="[Primera_plantacion].[LOTE].[All]" dimensionUniqueName="[Primera_plantacion]" displayFolder="" count="0" memberValueDatatype="130" unbalanced="0"/>
    <cacheHierarchy uniqueName="[Primera_plantacion].[1ra plantacion]" caption="1ra plantacion" attribute="1" time="1" defaultMemberUniqueName="[Primera_plantacion].[1ra plantacion].[All]" allUniqueName="[Primera_plantacion].[1ra plantacion].[All]" dimensionUniqueName="[Primera_plantacion]" displayFolder="" count="0" memberValueDatatype="7" unbalanced="0"/>
    <cacheHierarchy uniqueName="[Primera_plantacion].[filtro]" caption="filtro" attribute="1" defaultMemberUniqueName="[Primera_plantacion].[filtro].[All]" allUniqueName="[Primera_plantacion].[filtro].[All]" dimensionUniqueName="[Primera_plantacion]" displayFolder="" count="0" memberValueDatatype="130" unbalanced="0"/>
    <cacheHierarchy uniqueName="[Tabla13].[VARIEDAD]" caption="VARIEDAD" attribute="1" defaultMemberUniqueName="[Tabla13].[VARIEDAD].[All]" allUniqueName="[Tabla13].[VARIEDAD].[All]" dimensionUniqueName="[Tabla13]" displayFolder="" count="0" memberValueDatatype="130" unbalanced="0"/>
    <cacheHierarchy uniqueName="[Tabla13].[LOTE]" caption="LOTE" attribute="1" defaultMemberUniqueName="[Tabla13].[LOTE].[All]" allUniqueName="[Tabla13].[LOTE].[All]" dimensionUniqueName="[Tabla13]" displayFolder="" count="0" memberValueDatatype="130" unbalanced="0"/>
    <cacheHierarchy uniqueName="[Tabla13].[VAR]" caption="VAR" attribute="1" defaultMemberUniqueName="[Tabla13].[VAR].[All]" allUniqueName="[Tabla13].[VAR].[All]" dimensionUniqueName="[Tabla13]" displayFolder="" count="0" memberValueDatatype="130" unbalanced="0"/>
    <cacheHierarchy uniqueName="[Tabla13].[Jefe Campo]" caption="Jefe Campo" attribute="1" defaultMemberUniqueName="[Tabla13].[Jefe Campo].[All]" allUniqueName="[Tabla13].[Jefe Campo].[All]" dimensionUniqueName="[Tabla13]" displayFolder="" count="0" memberValueDatatype="130" unbalanced="0"/>
    <cacheHierarchy uniqueName="[Tabla13].[VAR-LOTE]" caption="VAR-LOTE" attribute="1" defaultMemberUniqueName="[Tabla13].[VAR-LOTE].[All]" allUniqueName="[Tabla13].[VAR-LOTE].[All]" dimensionUniqueName="[Tabla13]" displayFolder="" count="0" memberValueDatatype="130" unbalanced="0"/>
    <cacheHierarchy uniqueName="[Tabla13].[PATRON]" caption="PATRON" attribute="1" defaultMemberUniqueName="[Tabla13].[PATRON].[All]" allUniqueName="[Tabla13].[PATRON].[All]" dimensionUniqueName="[Tabla13]" displayFolder="" count="0" memberValueDatatype="130" unbalanced="0"/>
    <cacheHierarchy uniqueName="[Tabla13].[Casa comercial]" caption="Casa comercial" attribute="1" defaultMemberUniqueName="[Tabla13].[Casa comercial].[All]" allUniqueName="[Tabla13].[Casa comercial].[All]" dimensionUniqueName="[Tabla13]" displayFolder="" count="0" memberValueDatatype="130" unbalanced="0"/>
    <cacheHierarchy uniqueName="[Tabla13].[AÑO]" caption="AÑO" attribute="1" defaultMemberUniqueName="[Tabla13].[AÑO].[All]" allUniqueName="[Tabla13].[AÑO].[All]" dimensionUniqueName="[Tabla13]" displayFolder="" count="0" memberValueDatatype="20" unbalanced="0"/>
    <cacheHierarchy uniqueName="[Tabla13].[Densidades]" caption="Densidades" attribute="1" defaultMemberUniqueName="[Tabla13].[Densidades].[All]" allUniqueName="[Tabla13].[Densidades].[All]" dimensionUniqueName="[Tabla13]" displayFolder="" count="0" memberValueDatatype="5" unbalanced="0"/>
    <cacheHierarchy uniqueName="[Tabla13].[Total Has]" caption="Total Has" attribute="1" defaultMemberUniqueName="[Tabla13].[Total Has].[All]" allUniqueName="[Tabla13].[Total Has].[All]" dimensionUniqueName="[Tabla13]" displayFolder="" count="0" memberValueDatatype="5" unbalanced="0"/>
    <cacheHierarchy uniqueName="[Tabla13].[Has Productivas]" caption="Has Productivas" attribute="1" defaultMemberUniqueName="[Tabla13].[Has Productivas].[All]" allUniqueName="[Tabla13].[Has Productivas].[All]" dimensionUniqueName="[Tabla13]" displayFolder="" count="0" memberValueDatatype="5" unbalanced="0"/>
    <cacheHierarchy uniqueName="[Tabla13].[Has Formación]" caption="Has Formación" attribute="1" defaultMemberUniqueName="[Tabla13].[Has Formación].[All]" allUniqueName="[Tabla13].[Has Formación].[All]" dimensionUniqueName="[Tabla13]" displayFolder="" count="0" memberValueDatatype="5" unbalanced="0"/>
    <cacheHierarchy uniqueName="[Tabla13].[Has Faltantes]" caption="Has Faltantes" attribute="1" defaultMemberUniqueName="[Tabla13].[Has Faltantes].[All]" allUniqueName="[Tabla13].[Has Faltantes].[All]" dimensionUniqueName="[Tabla13]" displayFolder="" count="0" memberValueDatatype="5" unbalanced="0"/>
    <cacheHierarchy uniqueName="[Tabla13].[Total Espacios Censo]" caption="Total Espacios Censo" attribute="1" defaultMemberUniqueName="[Tabla13].[Total Espacios Censo].[All]" allUniqueName="[Tabla13].[Total Espacios Censo].[All]" dimensionUniqueName="[Tabla13]" displayFolder="" count="0" memberValueDatatype="5" unbalanced="0"/>
    <cacheHierarchy uniqueName="[Tabla13].[Pltas. Prod. Censo]" caption="Pltas. Prod. Censo" attribute="1" defaultMemberUniqueName="[Tabla13].[Pltas. Prod. Censo].[All]" allUniqueName="[Tabla13].[Pltas. Prod. Censo].[All]" dimensionUniqueName="[Tabla13]" displayFolder="" count="0" memberValueDatatype="5" unbalanced="0"/>
    <cacheHierarchy uniqueName="[Tabla13].[Pltas Formación Censo]" caption="Pltas Formación Censo" attribute="1" defaultMemberUniqueName="[Tabla13].[Pltas Formación Censo].[All]" allUniqueName="[Tabla13].[Pltas Formación Censo].[All]" dimensionUniqueName="[Tabla13]" displayFolder="" count="0" memberValueDatatype="5" unbalanced="0"/>
    <cacheHierarchy uniqueName="[Tabla13].[Espacios vacíos Censo]" caption="Espacios vacíos Censo" attribute="1" defaultMemberUniqueName="[Tabla13].[Espacios vacíos Censo].[All]" allUniqueName="[Tabla13].[Espacios vacíos Censo].[All]" dimensionUniqueName="[Tabla13]" displayFolder="" count="0" memberValueDatatype="5" unbalanced="0"/>
    <cacheHierarchy uniqueName="[Tabla13].[distancia_planta]" caption="distancia_planta" attribute="1" defaultMemberUniqueName="[Tabla13].[distancia_planta].[All]" allUniqueName="[Tabla13].[distancia_planta].[All]" dimensionUniqueName="[Tabla13]" displayFolder="" count="0" memberValueDatatype="5" unbalanced="0"/>
    <cacheHierarchy uniqueName="[Tabla13].[distancia_calle]" caption="distancia_calle" attribute="1" defaultMemberUniqueName="[Tabla13].[distancia_calle].[All]" allUniqueName="[Tabla13].[distancia_calle].[All]" dimensionUniqueName="[Tabla13]" displayFolder="" count="0" memberValueDatatype="5" unbalanced="0"/>
    <cacheHierarchy uniqueName="[Tabla13].[Estado]" caption="Estado" attribute="1" defaultMemberUniqueName="[Tabla13].[Estado].[All]" allUniqueName="[Tabla13].[Estado].[All]" dimensionUniqueName="[Tabla13]" displayFolder="" count="0" memberValueDatatype="130" unbalanced="0"/>
    <cacheHierarchy uniqueName="[Tabla13].[Fecha plantación]" caption="Fecha plantación" attribute="1" defaultMemberUniqueName="[Tabla13].[Fecha plantación].[All]" allUniqueName="[Tabla13].[Fecha plantación].[All]" dimensionUniqueName="[Tabla13]" displayFolder="" count="0" memberValueDatatype="130" unbalanced="0"/>
    <cacheHierarchy uniqueName="[Tabla13].[Edad]" caption="Edad" attribute="1" defaultMemberUniqueName="[Tabla13].[Edad].[All]" allUniqueName="[Tabla13].[Edad].[All]" dimensionUniqueName="[Tabla13]" displayFolder="" count="0" memberValueDatatype="130" unbalanced="0"/>
    <cacheHierarchy uniqueName="[Tabla13].[Tipo Parron]" caption="Tipo Parron" attribute="1" defaultMemberUniqueName="[Tabla13].[Tipo Parron].[All]" allUniqueName="[Tabla13].[Tipo Parron].[All]" dimensionUniqueName="[Tabla13]" displayFolder="" count="0" memberValueDatatype="130" unbalanced="0"/>
    <cacheHierarchy uniqueName="[Tabla13].[Fecha nacimiento]" caption="Fecha nacimiento" attribute="1" time="1" defaultMemberUniqueName="[Tabla13].[Fecha nacimiento].[All]" allUniqueName="[Tabla13].[Fecha nacimiento].[All]" dimensionUniqueName="[Tabla13]" displayFolder="" count="0" memberValueDatatype="7" unbalanced="0"/>
    <cacheHierarchy uniqueName="[Tabla13].[Edad-Sup]" caption="Edad-Sup" attribute="1" defaultMemberUniqueName="[Tabla13].[Edad-Sup].[All]" allUniqueName="[Tabla13].[Edad-Sup].[All]" dimensionUniqueName="[Tabla13]" displayFolder="" count="0" memberValueDatatype="20" unbalanced="0"/>
    <cacheHierarchy uniqueName="[Tabla13].[N° celular]" caption="N° celular" attribute="1" defaultMemberUniqueName="[Tabla13].[N° celular].[All]" allUniqueName="[Tabla13].[N° celular].[All]" dimensionUniqueName="[Tabla13]" displayFolder="" count="0" memberValueDatatype="20" unbalanced="0"/>
    <cacheHierarchy uniqueName="[Tabla13].[Dirección]" caption="Dirección" attribute="1" defaultMemberUniqueName="[Tabla13].[Dirección].[All]" allUniqueName="[Tabla13].[Dirección].[All]" dimensionUniqueName="[Tabla13]" displayFolder="" count="0" memberValueDatatype="130" unbalanced="0"/>
    <cacheHierarchy uniqueName="[Tabla13].[Nivel Educativo]" caption="Nivel Educativo" attribute="1" defaultMemberUniqueName="[Tabla13].[Nivel Educativo].[All]" allUniqueName="[Tabla13].[Nivel Educativo].[All]" dimensionUniqueName="[Tabla13]" displayFolder="" count="0" memberValueDatatype="130" unbalanced="0"/>
    <cacheHierarchy uniqueName="[Tabla13].[Carrera]" caption="Carrera" attribute="1" defaultMemberUniqueName="[Tabla13].[Carrera].[All]" allUniqueName="[Tabla13].[Carrera].[All]" dimensionUniqueName="[Tabla13]" displayFolder="" count="0" memberValueDatatype="130" unbalanced="0"/>
    <cacheHierarchy uniqueName="[Tabla13].[Supervisor de lote]" caption="Supervisor de lote" attribute="1" defaultMemberUniqueName="[Tabla13].[Supervisor de lote].[All]" allUniqueName="[Tabla13].[Supervisor de lote].[All]" dimensionUniqueName="[Tabla13]" displayFolder="" count="0" memberValueDatatype="130" unbalanced="0"/>
    <cacheHierarchy uniqueName="[Tabla13].[Subgerente]" caption="Subgerente" attribute="1" defaultMemberUniqueName="[Tabla13].[Subgerente].[All]" allUniqueName="[Tabla13].[Subgerente].[All]" dimensionUniqueName="[Tabla13]" displayFolder="" count="0" memberValueDatatype="130" unbalanced="0"/>
    <cacheHierarchy uniqueName="[Measures].[Plantas_prod]" caption="Plantas_prod" measure="1" displayFolder="" measureGroup="Datos_valvulas" count="0" oneField="1">
      <fieldsUsage count="1">
        <fieldUsage x="8"/>
      </fieldsUsage>
    </cacheHierarchy>
    <cacheHierarchy uniqueName="[Measures].[Plantas_formacion]" caption="Plantas_formacion" measure="1" displayFolder="" measureGroup="Datos_valvulas" count="0"/>
    <cacheHierarchy uniqueName="[Measures].[E_Vacios]" caption="E_Vacios" measure="1" displayFolder="" measureGroup="Datos_valvulas" count="0"/>
    <cacheHierarchy uniqueName="[Measures].[Total_plantas]" caption="Total_plantas" measure="1" displayFolder="" measureGroup="Datos_valvulas" count="0" oneField="1">
      <fieldsUsage count="1">
        <fieldUsage x="7"/>
      </fieldsUsage>
    </cacheHierarchy>
    <cacheHierarchy uniqueName="[Measures].[Has_prod_valv]" caption="Has_prod_valv" measure="1" displayFolder="" measureGroup="Datos_valvulas" count="0" oneField="1">
      <fieldsUsage count="1">
        <fieldUsage x="2"/>
      </fieldsUsage>
    </cacheHierarchy>
    <cacheHierarchy uniqueName="[Measures].[Has_form_valv]" caption="Has_form_valv" measure="1" displayFolder="" measureGroup="Datos_valvulas" count="0"/>
    <cacheHierarchy uniqueName="[Measures].[Has_vacias_valv]" caption="Has_vacias_valv" measure="1" displayFolder="" measureGroup="Datos_valvulas" count="0"/>
    <cacheHierarchy uniqueName="[Measures].[Has_Total_valv]" caption="Has_Total_valv" measure="1" displayFolder="" measureGroup="Datos_valvulas" count="0" oneField="1">
      <fieldsUsage count="1">
        <fieldUsage x="3"/>
      </fieldsUsage>
    </cacheHierarchy>
    <cacheHierarchy uniqueName="[Measures].[Fecha_inicio]" caption="Fecha_inicio" measure="1" displayFolder="" measureGroup="gantt_diario" count="0"/>
    <cacheHierarchy uniqueName="[Measures].[Fecha_fin]" caption="Fecha_fin" measure="1" displayFolder="" measureGroup="gantt_diario" count="0"/>
    <cacheHierarchy uniqueName="[Measures].[Años_1ra_plant]" caption="Años_1ra_plant" measure="1" displayFolder="" measureGroup="Primera_plantacion" count="0"/>
    <cacheHierarchy uniqueName="[Measures].[Has_prod]" caption="Has_prod" measure="1" displayFolder="" measureGroup="MAESTRO_LOTES" count="0"/>
    <cacheHierarchy uniqueName="[Measures].[Has_totales]" caption="Has_totales" measure="1" displayFolder="" measureGroup="MAESTRO_LOTES" count="0"/>
    <cacheHierarchy uniqueName="[Measures].[Has_form]" caption="Has_form" measure="1" displayFolder="" measureGroup="MAESTRO_LOTES" count="0"/>
    <cacheHierarchy uniqueName="[Measures].[Has_faltantes]" caption="Has_faltantes" measure="1" displayFolder="" measureGroup="MAESTRO_LOTES" count="0"/>
    <cacheHierarchy uniqueName="[Measures].[__XL_Count Datos_valvulas]" caption="__XL_Count Datos_valvulas" measure="1" displayFolder="" measureGroup="Datos_valvulas" count="0" hidden="1"/>
    <cacheHierarchy uniqueName="[Measures].[__XL_Count gantt_diario]" caption="__XL_Count gantt_diario" measure="1" displayFolder="" measureGroup="gantt_diario" count="0" hidden="1"/>
    <cacheHierarchy uniqueName="[Measures].[__XL_Count Primera_plantacion]" caption="__XL_Count Primera_plantacion" measure="1" displayFolder="" measureGroup="Primera_plantacion" count="0" hidden="1"/>
    <cacheHierarchy uniqueName="[Measures].[__XL_Count CAMPOS]" caption="__XL_Count CAMPOS" measure="1" displayFolder="" measureGroup="CAMPOS" count="0" hidden="1"/>
    <cacheHierarchy uniqueName="[Measures].[__XL_Count MAESTRO_LOTES]" caption="__XL_Count MAESTRO_LOTES" measure="1" displayFolder="" measureGroup="MAESTRO_LOTES" count="0" hidden="1"/>
    <cacheHierarchy uniqueName="[Measures].[__XL_Count Tabla13]" caption="__XL_Count Tabla13" measure="1" displayFolder="" measureGroup="Tabla13" count="0" hidden="1"/>
    <cacheHierarchy uniqueName="[Measures].[__No measures defined]" caption="__No measures defined" measure="1" displayFolder="" count="0" hidden="1"/>
    <cacheHierarchy uniqueName="[Measures].[Recuento de 1ra plantacion]" caption="Recuento de 1ra plantacion" measure="1" displayFolder="" measureGroup="Primera_plantacion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a de Has Productivas]" caption="Suma de Has Productivas" measure="1" displayFolder="" measureGroup="MAESTRO_LOTES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Suma de Total Has]" caption="Suma de Total Has" measure="1" displayFolder="" measureGroup="MAESTRO_LOTES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a de Has Formación]" caption="Suma de Has Formación" measure="1" displayFolder="" measureGroup="Tabla13" count="0" hidden="1">
      <extLst>
        <ext xmlns:x15="http://schemas.microsoft.com/office/spreadsheetml/2010/11/main" uri="{B97F6D7D-B522-45F9-BDA1-12C45D357490}">
          <x15:cacheHierarchy aggregatedColumn="69"/>
        </ext>
      </extLst>
    </cacheHierarchy>
    <cacheHierarchy uniqueName="[Measures].[Suma de Has Formación 2]" caption="Suma de Has Formación 2" measure="1" displayFolder="" measureGroup="MAESTRO_LOTES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a de Densidades]" caption="Suma de Densidades" measure="1" displayFolder="" measureGroup="MAESTRO_LOTES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Promedio de Densidades]" caption="Promedio de Densidades" measure="1" displayFolder="" measureGroup="MAESTRO_LOTES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Recuento de Fecha plantación]" caption="Recuento de Fecha plantación" measure="1" displayFolder="" measureGroup="MAESTRO_LOTES" count="0" hidden="1">
      <extLst>
        <ext xmlns:x15="http://schemas.microsoft.com/office/spreadsheetml/2010/11/main" uri="{B97F6D7D-B522-45F9-BDA1-12C45D357490}">
          <x15:cacheHierarchy aggregatedColumn="36"/>
        </ext>
      </extLst>
    </cacheHierarchy>
  </cacheHierarchies>
  <kpis count="0"/>
  <dimensions count="7">
    <dimension name="CAMPOS" uniqueName="[CAMPOS]" caption="CAMPOS"/>
    <dimension name="Datos_valvulas" uniqueName="[Datos_valvulas]" caption="Datos_valvulas"/>
    <dimension name="gantt_diario" uniqueName="[gantt_diario]" caption="gantt_diario"/>
    <dimension name="MAESTRO_LOTES" uniqueName="[MAESTRO_LOTES]" caption="MAESTRO_LOTES"/>
    <dimension measure="1" name="Measures" uniqueName="[Measures]" caption="Measures"/>
    <dimension name="Primera_plantacion" uniqueName="[Primera_plantacion]" caption="Primera_plantacion"/>
    <dimension name="Tabla13" uniqueName="[Tabla13]" caption="Tabla13"/>
  </dimensions>
  <measureGroups count="6">
    <measureGroup name="CAMPOS" caption="CAMPOS"/>
    <measureGroup name="Datos_valvulas" caption="Datos_valvulas"/>
    <measureGroup name="gantt_diario" caption="gantt_diario"/>
    <measureGroup name="MAESTRO_LOTES" caption="MAESTRO_LOTES"/>
    <measureGroup name="Primera_plantacion" caption="Primera_plantacion"/>
    <measureGroup name="Tabla13" caption="Tabla13"/>
  </measureGroups>
  <maps count="7">
    <map measureGroup="0" dimension="0"/>
    <map measureGroup="1" dimension="1"/>
    <map measureGroup="2" dimension="2"/>
    <map measureGroup="3" dimension="3"/>
    <map measureGroup="4" dimension="0"/>
    <map measureGroup="4" dimension="5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Pedregal" refreshedDate="46106.444421412038" createdVersion="5" refreshedVersion="8" minRefreshableVersion="3" recordCount="0" supportSubquery="1" supportAdvancedDrill="1" xr:uid="{00000000-000A-0000-FFFF-FFFF79010000}">
  <cacheSource type="external" connectionId="6"/>
  <cacheFields count="4">
    <cacheField name="[gantt_diario].[VARIEDAD].[VARIEDAD]" caption="VARIEDAD" numFmtId="0" hierarchy="11" level="1">
      <sharedItems count="9">
        <s v="ALLISON"/>
        <s v="ARRA FIRE CRUNCH"/>
        <s v="AUTUMN CRISP"/>
        <s v="CANDY HEARTS"/>
        <s v="COTTON CANDY"/>
        <s v="JACK'S SALUTE"/>
        <s v="SWEET CELEBRATION"/>
        <s v="TEST BLOCK"/>
        <s v="TIMPSON"/>
      </sharedItems>
    </cacheField>
    <cacheField name="[Measures].[Fecha_inicio]" caption="Fecha_inicio" numFmtId="0" hierarchy="97" level="32767"/>
    <cacheField name="[Measures].[Fecha_fin]" caption="Fecha_fin" numFmtId="0" hierarchy="98" level="32767"/>
    <cacheField name="[gantt_diario].[Lote].[Lote]" caption="Lote" numFmtId="0" hierarchy="10" level="1">
      <sharedItems count="70">
        <s v="G01"/>
        <s v="G02"/>
        <s v="G03"/>
        <s v="G04"/>
        <s v="G05"/>
        <s v="G06"/>
        <s v="C12"/>
        <s v="C13"/>
        <s v="A12"/>
        <s v="A13"/>
        <s v="C01"/>
        <s v="C02"/>
        <s v="C03"/>
        <s v="D12"/>
        <s v="D13"/>
        <s v="D14"/>
        <s v="D15"/>
        <s v="E15"/>
        <s v="G09"/>
        <s v="G10"/>
        <s v="G11"/>
        <s v="G14"/>
        <s v="G15"/>
        <s v="B13"/>
        <s v="B14"/>
        <s v="B07"/>
        <s v="C07"/>
        <s v="G13"/>
        <s v="H09"/>
        <s v="H10"/>
        <s v="H11"/>
        <s v="H13"/>
        <s v="A01"/>
        <s v="A02"/>
        <s v="A03"/>
        <s v="D01"/>
        <s v="D02"/>
        <s v="E01"/>
        <s v="E02"/>
        <s v="E03"/>
        <s v="E04"/>
        <s v="F01"/>
        <s v="F02"/>
        <s v="F03"/>
        <s v="F04"/>
        <s v="B01"/>
        <s v="B02"/>
        <s v="B03"/>
        <s v="C15"/>
        <s v="F11"/>
        <s v="B04"/>
        <s v="C04"/>
        <s v="C05"/>
        <s v="C06"/>
        <s v="D04"/>
        <s v="D05"/>
        <s v="D06"/>
        <s v="E05"/>
        <s v="E06"/>
        <s v="E07"/>
        <s v="E08"/>
        <s v="E09"/>
        <s v="E14"/>
        <s v="F05"/>
        <s v="F06"/>
        <s v="F07"/>
        <s v="F08"/>
        <s v="F09"/>
        <s v="F12"/>
        <s v="F13"/>
      </sharedItems>
    </cacheField>
  </cacheFields>
  <cacheHierarchies count="119">
    <cacheHierarchy uniqueName="[CAMPOS].[Campos]" caption="Campos" attribute="1" defaultMemberUniqueName="[CAMPOS].[Campos].[All]" allUniqueName="[CAMPOS].[Campos].[All]" dimensionUniqueName="[CAMPOS]" displayFolder="" count="0" memberValueDatatype="130" unbalanced="0"/>
    <cacheHierarchy uniqueName="[CAMPOS].[Tipo cultivo]" caption="Tipo cultivo" attribute="1" defaultMemberUniqueName="[CAMPOS].[Tipo cultivo].[All]" allUniqueName="[CAMPOS].[Tipo cultivo].[All]" dimensionUniqueName="[CAMPOS]" displayFolder="" count="0" memberValueDatatype="130" unbalanced="0"/>
    <cacheHierarchy uniqueName="[CAMPOS].[Periodo siembra-cosecha]" caption="Periodo siembra-cosecha" attribute="1" defaultMemberUniqueName="[CAMPOS].[Periodo siembra-cosecha].[All]" allUniqueName="[CAMPOS].[Periodo siembra-cosecha].[All]" dimensionUniqueName="[CAMPOS]" displayFolder="" count="0" memberValueDatatype="130" unbalanced="0"/>
    <cacheHierarchy uniqueName="[Datos_valvulas].[VAR]" caption="VAR" attribute="1" defaultMemberUniqueName="[Datos_valvulas].[VAR].[All]" allUniqueName="[Datos_valvulas].[VAR].[All]" dimensionUniqueName="[Datos_valvulas]" displayFolder="" count="0" memberValueDatatype="130" unbalanced="0"/>
    <cacheHierarchy uniqueName="[Datos_valvulas].[Lote]" caption="Lote" attribute="1" defaultMemberUniqueName="[Datos_valvulas].[Lote].[All]" allUniqueName="[Datos_valvulas].[Lote].[All]" dimensionUniqueName="[Datos_valvulas]" displayFolder="" count="0" memberValueDatatype="130" unbalanced="0"/>
    <cacheHierarchy uniqueName="[Datos_valvulas].[Tipo de planta]" caption="Tipo de planta" attribute="1" defaultMemberUniqueName="[Datos_valvulas].[Tipo de planta].[All]" allUniqueName="[Datos_valvulas].[Tipo de planta].[All]" dimensionUniqueName="[Datos_valvulas]" displayFolder="" count="0" memberValueDatatype="130" unbalanced="0"/>
    <cacheHierarchy uniqueName="[Datos_valvulas].[Valvulas]" caption="Valvulas" attribute="1" defaultMemberUniqueName="[Datos_valvulas].[Valvulas].[All]" allUniqueName="[Datos_valvulas].[Valvulas].[All]" dimensionUniqueName="[Datos_valvulas]" displayFolder="" count="0" memberValueDatatype="130" unbalanced="0"/>
    <cacheHierarchy uniqueName="[Datos_valvulas].[Plantas]" caption="Plantas" attribute="1" defaultMemberUniqueName="[Datos_valvulas].[Plantas].[All]" allUniqueName="[Datos_valvulas].[Plantas].[All]" dimensionUniqueName="[Datos_valvulas]" displayFolder="" count="0" memberValueDatatype="20" unbalanced="0"/>
    <cacheHierarchy uniqueName="[Datos_valvulas].[Densidad]" caption="Densidad" attribute="1" defaultMemberUniqueName="[Datos_valvulas].[Densidad].[All]" allUniqueName="[Datos_valvulas].[Densidad].[All]" dimensionUniqueName="[Datos_valvulas]" displayFolder="" count="0" memberValueDatatype="5" unbalanced="0"/>
    <cacheHierarchy uniqueName="[Datos_valvulas].[VARIEDAD]" caption="VARIEDAD" attribute="1" defaultMemberUniqueName="[Datos_valvulas].[VARIEDAD].[All]" allUniqueName="[Datos_valvulas].[VARIEDAD].[All]" dimensionUniqueName="[Datos_valvulas]" displayFolder="" count="0" memberValueDatatype="130" unbalanced="0"/>
    <cacheHierarchy uniqueName="[gantt_diario].[Lote]" caption="Lote" attribute="1" defaultMemberUniqueName="[gantt_diario].[Lote].[All]" allUniqueName="[gantt_diario].[Lote].[All]" dimensionUniqueName="[gantt_diario]" displayFolder="" count="2" memberValueDatatype="130" unbalanced="0">
      <fieldsUsage count="2">
        <fieldUsage x="-1"/>
        <fieldUsage x="3"/>
      </fieldsUsage>
    </cacheHierarchy>
    <cacheHierarchy uniqueName="[gantt_diario].[VARIEDAD]" caption="VARIEDAD" attribute="1" defaultMemberUniqueName="[gantt_diario].[VARIEDAD].[All]" allUniqueName="[gantt_diario].[VARIEDAD].[All]" dimensionUniqueName="[gantt_diario]" displayFolder="" count="2" memberValueDatatype="130" unbalanced="0">
      <fieldsUsage count="2">
        <fieldUsage x="-1"/>
        <fieldUsage x="0"/>
      </fieldsUsage>
    </cacheHierarchy>
    <cacheHierarchy uniqueName="[gantt_diario].[Fecha]" caption="Fecha" attribute="1" time="1" defaultMemberUniqueName="[gantt_diario].[Fecha].[All]" allUniqueName="[gantt_diario].[Fecha].[All]" dimensionUniqueName="[gantt_diario]" displayFolder="" count="0" memberValueDatatype="7" unbalanced="0"/>
    <cacheHierarchy uniqueName="[gantt_diario].[Cajas]" caption="Cajas" attribute="1" defaultMemberUniqueName="[gantt_diario].[Cajas].[All]" allUniqueName="[gantt_diario].[Cajas].[All]" dimensionUniqueName="[gantt_diario]" displayFolder="" count="0" memberValueDatatype="5" unbalanced="0"/>
    <cacheHierarchy uniqueName="[MAESTRO_LOTES].[PEP]" caption="PEP" attribute="1" defaultMemberUniqueName="[MAESTRO_LOTES].[PEP].[All]" allUniqueName="[MAESTRO_LOTES].[PEP].[All]" dimensionUniqueName="[MAESTRO_LOTES]" displayFolder="" count="0" memberValueDatatype="130" unbalanced="0"/>
    <cacheHierarchy uniqueName="[MAESTRO_LOTES].[VARIEDAD]" caption="VARIEDAD" attribute="1" defaultMemberUniqueName="[MAESTRO_LOTES].[VARIEDAD].[All]" allUniqueName="[MAESTRO_LOTES].[VARIEDAD].[All]" dimensionUniqueName="[MAESTRO_LOTES]" displayFolder="" count="0" memberValueDatatype="130" unbalanced="0"/>
    <cacheHierarchy uniqueName="[MAESTRO_LOTES].[LOTE]" caption="LOTE" attribute="1" defaultMemberUniqueName="[MAESTRO_LOTES].[LOTE].[All]" allUniqueName="[MAESTRO_LOTES].[LOTE].[All]" dimensionUniqueName="[MAESTRO_LOTES]" displayFolder="" count="0" memberValueDatatype="130" unbalanced="0"/>
    <cacheHierarchy uniqueName="[MAESTRO_LOTES].[VAR]" caption="VAR" attribute="1" defaultMemberUniqueName="[MAESTRO_LOTES].[VAR].[All]" allUniqueName="[MAESTRO_LOTES].[VAR].[All]" dimensionUniqueName="[MAESTRO_LOTES]" displayFolder="" count="0" memberValueDatatype="130" unbalanced="0"/>
    <cacheHierarchy uniqueName="[MAESTRO_LOTES].[FUNDO]" caption="FUNDO" attribute="1" defaultMemberUniqueName="[MAESTRO_LOTES].[FUNDO].[All]" allUniqueName="[MAESTRO_LOTES].[FUNDO].[All]" dimensionUniqueName="[MAESTRO_LOTES]" displayFolder="" count="0" memberValueDatatype="130" unbalanced="0"/>
    <cacheHierarchy uniqueName="[MAESTRO_LOTES].[Jefe Campo]" caption="Jefe Campo" attribute="1" defaultMemberUniqueName="[MAESTRO_LOTES].[Jefe Campo].[All]" allUniqueName="[MAESTRO_LOTES].[Jefe Campo].[All]" dimensionUniqueName="[MAESTRO_LOTES]" displayFolder="" count="0" memberValueDatatype="130" unbalanced="0"/>
    <cacheHierarchy uniqueName="[MAESTRO_LOTES].[VAR-LOTE]" caption="VAR-LOTE" attribute="1" defaultMemberUniqueName="[MAESTRO_LOTES].[VAR-LOTE].[All]" allUniqueName="[MAESTRO_LOTES].[VAR-LOTE].[All]" dimensionUniqueName="[MAESTRO_LOTES]" displayFolder="" count="0" memberValueDatatype="130" unbalanced="0"/>
    <cacheHierarchy uniqueName="[MAESTRO_LOTES].[PATRON]" caption="PATRON" attribute="1" defaultMemberUniqueName="[MAESTRO_LOTES].[PATRON].[All]" allUniqueName="[MAESTRO_LOTES].[PATRON].[All]" dimensionUniqueName="[MAESTRO_LOTES]" displayFolder="" count="0" memberValueDatatype="130" unbalanced="0"/>
    <cacheHierarchy uniqueName="[MAESTRO_LOTES].[Casa comercial]" caption="Casa comercial" attribute="1" defaultMemberUniqueName="[MAESTRO_LOTES].[Casa comercial].[All]" allUniqueName="[MAESTRO_LOTES].[Casa comercial].[All]" dimensionUniqueName="[MAESTRO_LOTES]" displayFolder="" count="0" memberValueDatatype="130" unbalanced="0"/>
    <cacheHierarchy uniqueName="[MAESTRO_LOTES].[AÑO]" caption="AÑO" attribute="1" defaultMemberUniqueName="[MAESTRO_LOTES].[AÑO].[All]" allUniqueName="[MAESTRO_LOTES].[AÑO].[All]" dimensionUniqueName="[MAESTRO_LOTES]" displayFolder="" count="0" memberValueDatatype="20" unbalanced="0"/>
    <cacheHierarchy uniqueName="[MAESTRO_LOTES].[Densidades]" caption="Densidades" attribute="1" defaultMemberUniqueName="[MAESTRO_LOTES].[Densidades].[All]" allUniqueName="[MAESTRO_LOTES].[Densidades].[All]" dimensionUniqueName="[MAESTRO_LOTES]" displayFolder="" count="0" memberValueDatatype="5" unbalanced="0"/>
    <cacheHierarchy uniqueName="[MAESTRO_LOTES].[Total Has]" caption="Total Has" attribute="1" defaultMemberUniqueName="[MAESTRO_LOTES].[Total Has].[All]" allUniqueName="[MAESTRO_LOTES].[Total Has].[All]" dimensionUniqueName="[MAESTRO_LOTES]" displayFolder="" count="0" memberValueDatatype="5" unbalanced="0"/>
    <cacheHierarchy uniqueName="[MAESTRO_LOTES].[Has Productivas]" caption="Has Productivas" attribute="1" defaultMemberUniqueName="[MAESTRO_LOTES].[Has Productivas].[All]" allUniqueName="[MAESTRO_LOTES].[Has Productivas].[All]" dimensionUniqueName="[MAESTRO_LOTES]" displayFolder="" count="0" memberValueDatatype="5" unbalanced="0"/>
    <cacheHierarchy uniqueName="[MAESTRO_LOTES].[Has Formación]" caption="Has Formación" attribute="1" defaultMemberUniqueName="[MAESTRO_LOTES].[Has Formación].[All]" allUniqueName="[MAESTRO_LOTES].[Has Formación].[All]" dimensionUniqueName="[MAESTRO_LOTES]" displayFolder="" count="0" memberValueDatatype="5" unbalanced="0"/>
    <cacheHierarchy uniqueName="[MAESTRO_LOTES].[Has Faltantes]" caption="Has Faltantes" attribute="1" defaultMemberUniqueName="[MAESTRO_LOTES].[Has Faltantes].[All]" allUniqueName="[MAESTRO_LOTES].[Has Faltantes].[All]" dimensionUniqueName="[MAESTRO_LOTES]" displayFolder="" count="0" memberValueDatatype="5" unbalanced="0"/>
    <cacheHierarchy uniqueName="[MAESTRO_LOTES].[Total Espacios]" caption="Total Espacios" attribute="1" defaultMemberUniqueName="[MAESTRO_LOTES].[Total Espacios].[All]" allUniqueName="[MAESTRO_LOTES].[Total Espacios].[All]" dimensionUniqueName="[MAESTRO_LOTES]" displayFolder="" count="0" memberValueDatatype="5" unbalanced="0"/>
    <cacheHierarchy uniqueName="[MAESTRO_LOTES].[Pltas. Prod.]" caption="Pltas. Prod." attribute="1" defaultMemberUniqueName="[MAESTRO_LOTES].[Pltas. Prod.].[All]" allUniqueName="[MAESTRO_LOTES].[Pltas. Prod.].[All]" dimensionUniqueName="[MAESTRO_LOTES]" displayFolder="" count="0" memberValueDatatype="5" unbalanced="0"/>
    <cacheHierarchy uniqueName="[MAESTRO_LOTES].[Pltas Formación]" caption="Pltas Formación" attribute="1" defaultMemberUniqueName="[MAESTRO_LOTES].[Pltas Formación].[All]" allUniqueName="[MAESTRO_LOTES].[Pltas Formación].[All]" dimensionUniqueName="[MAESTRO_LOTES]" displayFolder="" count="0" memberValueDatatype="5" unbalanced="0"/>
    <cacheHierarchy uniqueName="[MAESTRO_LOTES].[Espacios vacíos]" caption="Espacios vacíos" attribute="1" defaultMemberUniqueName="[MAESTRO_LOTES].[Espacios vacíos].[All]" allUniqueName="[MAESTRO_LOTES].[Espacios vacíos].[All]" dimensionUniqueName="[MAESTRO_LOTES]" displayFolder="" count="0" memberValueDatatype="5" unbalanced="0"/>
    <cacheHierarchy uniqueName="[MAESTRO_LOTES].[distancia_planta]" caption="distancia_planta" attribute="1" defaultMemberUniqueName="[MAESTRO_LOTES].[distancia_planta].[All]" allUniqueName="[MAESTRO_LOTES].[distancia_planta].[All]" dimensionUniqueName="[MAESTRO_LOTES]" displayFolder="" count="0" memberValueDatatype="5" unbalanced="0"/>
    <cacheHierarchy uniqueName="[MAESTRO_LOTES].[distancia_calle]" caption="distancia_calle" attribute="1" defaultMemberUniqueName="[MAESTRO_LOTES].[distancia_calle].[All]" allUniqueName="[MAESTRO_LOTES].[distancia_calle].[All]" dimensionUniqueName="[MAESTRO_LOTES]" displayFolder="" count="0" memberValueDatatype="5" unbalanced="0"/>
    <cacheHierarchy uniqueName="[MAESTRO_LOTES].[Estado]" caption="Estado" attribute="1" defaultMemberUniqueName="[MAESTRO_LOTES].[Estado].[All]" allUniqueName="[MAESTRO_LOTES].[Estado].[All]" dimensionUniqueName="[MAESTRO_LOTES]" displayFolder="" count="0" memberValueDatatype="130" unbalanced="0"/>
    <cacheHierarchy uniqueName="[MAESTRO_LOTES].[Fecha plantación]" caption="Fecha plantación" attribute="1" time="1" defaultMemberUniqueName="[MAESTRO_LOTES].[Fecha plantación].[All]" allUniqueName="[MAESTRO_LOTES].[Fecha plantación].[All]" dimensionUniqueName="[MAESTRO_LOTES]" displayFolder="" count="0" memberValueDatatype="7" unbalanced="0"/>
    <cacheHierarchy uniqueName="[MAESTRO_LOTES].[Edad]" caption="Edad" attribute="1" defaultMemberUniqueName="[MAESTRO_LOTES].[Edad].[All]" allUniqueName="[MAESTRO_LOTES].[Edad].[All]" dimensionUniqueName="[MAESTRO_LOTES]" displayFolder="" count="0" memberValueDatatype="5" unbalanced="0"/>
    <cacheHierarchy uniqueName="[MAESTRO_LOTES].[Tipo Parron]" caption="Tipo Parron" attribute="1" defaultMemberUniqueName="[MAESTRO_LOTES].[Tipo Parron].[All]" allUniqueName="[MAESTRO_LOTES].[Tipo Parron].[All]" dimensionUniqueName="[MAESTRO_LOTES]" displayFolder="" count="0" memberValueDatatype="130" unbalanced="0"/>
    <cacheHierarchy uniqueName="[MAESTRO_LOTES].[Fecha nacimiento]" caption="Fecha nacimiento" attribute="1" time="1" defaultMemberUniqueName="[MAESTRO_LOTES].[Fecha nacimiento].[All]" allUniqueName="[MAESTRO_LOTES].[Fecha nacimiento].[All]" dimensionUniqueName="[MAESTRO_LOTES]" displayFolder="" count="0" memberValueDatatype="7" unbalanced="0"/>
    <cacheHierarchy uniqueName="[MAESTRO_LOTES].[Edad-Sup]" caption="Edad-Sup" attribute="1" defaultMemberUniqueName="[MAESTRO_LOTES].[Edad-Sup].[All]" allUniqueName="[MAESTRO_LOTES].[Edad-Sup].[All]" dimensionUniqueName="[MAESTRO_LOTES]" displayFolder="" count="0" memberValueDatatype="130" unbalanced="0"/>
    <cacheHierarchy uniqueName="[MAESTRO_LOTES].[N° celular]" caption="N° celular" attribute="1" defaultMemberUniqueName="[MAESTRO_LOTES].[N° celular].[All]" allUniqueName="[MAESTRO_LOTES].[N° celular].[All]" dimensionUniqueName="[MAESTRO_LOTES]" displayFolder="" count="0" memberValueDatatype="130" unbalanced="0"/>
    <cacheHierarchy uniqueName="[MAESTRO_LOTES].[Dirección]" caption="Dirección" attribute="1" defaultMemberUniqueName="[MAESTRO_LOTES].[Dirección].[All]" allUniqueName="[MAESTRO_LOTES].[Dirección].[All]" dimensionUniqueName="[MAESTRO_LOTES]" displayFolder="" count="0" memberValueDatatype="130" unbalanced="0"/>
    <cacheHierarchy uniqueName="[MAESTRO_LOTES].[Distrito/CP]" caption="Distrito/CP" attribute="1" defaultMemberUniqueName="[MAESTRO_LOTES].[Distrito/CP].[All]" allUniqueName="[MAESTRO_LOTES].[Distrito/CP].[All]" dimensionUniqueName="[MAESTRO_LOTES]" displayFolder="" count="0" memberValueDatatype="130" unbalanced="0"/>
    <cacheHierarchy uniqueName="[MAESTRO_LOTES].[Nivel Educativo]" caption="Nivel Educativo" attribute="1" defaultMemberUniqueName="[MAESTRO_LOTES].[Nivel Educativo].[All]" allUniqueName="[MAESTRO_LOTES].[Nivel Educativo].[All]" dimensionUniqueName="[MAESTRO_LOTES]" displayFolder="" count="0" memberValueDatatype="130" unbalanced="0"/>
    <cacheHierarchy uniqueName="[MAESTRO_LOTES].[Carrera]" caption="Carrera" attribute="1" defaultMemberUniqueName="[MAESTRO_LOTES].[Carrera].[All]" allUniqueName="[MAESTRO_LOTES].[Carrera].[All]" dimensionUniqueName="[MAESTRO_LOTES]" displayFolder="" count="0" memberValueDatatype="130" unbalanced="0"/>
    <cacheHierarchy uniqueName="[MAESTRO_LOTES].[Supervisor de lote]" caption="Supervisor de lote" attribute="1" defaultMemberUniqueName="[MAESTRO_LOTES].[Supervisor de lote].[All]" allUniqueName="[MAESTRO_LOTES].[Supervisor de lote].[All]" dimensionUniqueName="[MAESTRO_LOTES]" displayFolder="" count="0" memberValueDatatype="130" unbalanced="0"/>
    <cacheHierarchy uniqueName="[MAESTRO_LOTES].[Subgerente]" caption="Subgerente" attribute="1" defaultMemberUniqueName="[MAESTRO_LOTES].[Subgerente].[All]" allUniqueName="[MAESTRO_LOTES].[Subgerente].[All]" dimensionUniqueName="[MAESTRO_LOTES]" displayFolder="" count="0" memberValueDatatype="130" unbalanced="0"/>
    <cacheHierarchy uniqueName="[MAESTRO_LOTES].[Supervisor de sanidad]" caption="Supervisor de sanidad" attribute="1" defaultMemberUniqueName="[MAESTRO_LOTES].[Supervisor de sanidad].[All]" allUniqueName="[MAESTRO_LOTES].[Supervisor de sanidad].[All]" dimensionUniqueName="[MAESTRO_LOTES]" displayFolder="" count="0" memberValueDatatype="130" unbalanced="0"/>
    <cacheHierarchy uniqueName="[MAESTRO_LOTES].[Supervisor de riego]" caption="Supervisor de riego" attribute="1" defaultMemberUniqueName="[MAESTRO_LOTES].[Supervisor de riego].[All]" allUniqueName="[MAESTRO_LOTES].[Supervisor de riego].[All]" dimensionUniqueName="[MAESTRO_LOTES]" displayFolder="" count="0" memberValueDatatype="130" unbalanced="0"/>
    <cacheHierarchy uniqueName="[MAESTRO_LOTES].[Supervisor de control biologico]" caption="Supervisor de control biologico" attribute="1" defaultMemberUniqueName="[MAESTRO_LOTES].[Supervisor de control biologico].[All]" allUniqueName="[MAESTRO_LOTES].[Supervisor de control biologico].[All]" dimensionUniqueName="[MAESTRO_LOTES]" displayFolder="" count="0" memberValueDatatype="130" unbalanced="0"/>
    <cacheHierarchy uniqueName="[MAESTRO_LOTES].[CAMPO]" caption="CAMPO" attribute="1" defaultMemberUniqueName="[MAESTRO_LOTES].[CAMPO].[All]" allUniqueName="[MAESTRO_LOTES].[CAMPO].[All]" dimensionUniqueName="[MAESTRO_LOTES]" displayFolder="" count="0" memberValueDatatype="130" unbalanced="0"/>
    <cacheHierarchy uniqueName="[MAESTRO_LOTES].[LOTE PoC HISPATEC]" caption="LOTE PoC HISPATEC" attribute="1" defaultMemberUniqueName="[MAESTRO_LOTES].[LOTE PoC HISPATEC].[All]" allUniqueName="[MAESTRO_LOTES].[LOTE PoC HISPATEC].[All]" dimensionUniqueName="[MAESTRO_LOTES]" displayFolder="" count="0" memberValueDatatype="130" unbalanced="0"/>
    <cacheHierarchy uniqueName="[MAESTRO_LOTES].[¿Es BLOOM?]" caption="¿Es BLOOM?" attribute="1" defaultMemberUniqueName="[MAESTRO_LOTES].[¿Es BLOOM?].[All]" allUniqueName="[MAESTRO_LOTES].[¿Es BLOOM?].[All]" dimensionUniqueName="[MAESTRO_LOTES]" displayFolder="" count="0" memberValueDatatype="130" unbalanced="0"/>
    <cacheHierarchy uniqueName="[Primera_plantacion].[Campo]" caption="Campo" attribute="1" defaultMemberUniqueName="[Primera_plantacion].[Campo].[All]" allUniqueName="[Primera_plantacion].[Campo].[All]" dimensionUniqueName="[Primera_plantacion]" displayFolder="" count="0" memberValueDatatype="130" unbalanced="0"/>
    <cacheHierarchy uniqueName="[Primera_plantacion].[LOTE]" caption="LOTE" attribute="1" defaultMemberUniqueName="[Primera_plantacion].[LOTE].[All]" allUniqueName="[Primera_plantacion].[LOTE].[All]" dimensionUniqueName="[Primera_plantacion]" displayFolder="" count="0" memberValueDatatype="130" unbalanced="0"/>
    <cacheHierarchy uniqueName="[Primera_plantacion].[1ra plantacion]" caption="1ra plantacion" attribute="1" time="1" defaultMemberUniqueName="[Primera_plantacion].[1ra plantacion].[All]" allUniqueName="[Primera_plantacion].[1ra plantacion].[All]" dimensionUniqueName="[Primera_plantacion]" displayFolder="" count="0" memberValueDatatype="7" unbalanced="0"/>
    <cacheHierarchy uniqueName="[Primera_plantacion].[filtro]" caption="filtro" attribute="1" defaultMemberUniqueName="[Primera_plantacion].[filtro].[All]" allUniqueName="[Primera_plantacion].[filtro].[All]" dimensionUniqueName="[Primera_plantacion]" displayFolder="" count="0" memberValueDatatype="130" unbalanced="0"/>
    <cacheHierarchy uniqueName="[Tabla13].[VARIEDAD]" caption="VARIEDAD" attribute="1" defaultMemberUniqueName="[Tabla13].[VARIEDAD].[All]" allUniqueName="[Tabla13].[VARIEDAD].[All]" dimensionUniqueName="[Tabla13]" displayFolder="" count="0" memberValueDatatype="130" unbalanced="0"/>
    <cacheHierarchy uniqueName="[Tabla13].[LOTE]" caption="LOTE" attribute="1" defaultMemberUniqueName="[Tabla13].[LOTE].[All]" allUniqueName="[Tabla13].[LOTE].[All]" dimensionUniqueName="[Tabla13]" displayFolder="" count="0" memberValueDatatype="130" unbalanced="0"/>
    <cacheHierarchy uniqueName="[Tabla13].[VAR]" caption="VAR" attribute="1" defaultMemberUniqueName="[Tabla13].[VAR].[All]" allUniqueName="[Tabla13].[VAR].[All]" dimensionUniqueName="[Tabla13]" displayFolder="" count="0" memberValueDatatype="130" unbalanced="0"/>
    <cacheHierarchy uniqueName="[Tabla13].[Jefe Campo]" caption="Jefe Campo" attribute="1" defaultMemberUniqueName="[Tabla13].[Jefe Campo].[All]" allUniqueName="[Tabla13].[Jefe Campo].[All]" dimensionUniqueName="[Tabla13]" displayFolder="" count="0" memberValueDatatype="130" unbalanced="0"/>
    <cacheHierarchy uniqueName="[Tabla13].[VAR-LOTE]" caption="VAR-LOTE" attribute="1" defaultMemberUniqueName="[Tabla13].[VAR-LOTE].[All]" allUniqueName="[Tabla13].[VAR-LOTE].[All]" dimensionUniqueName="[Tabla13]" displayFolder="" count="0" memberValueDatatype="130" unbalanced="0"/>
    <cacheHierarchy uniqueName="[Tabla13].[PATRON]" caption="PATRON" attribute="1" defaultMemberUniqueName="[Tabla13].[PATRON].[All]" allUniqueName="[Tabla13].[PATRON].[All]" dimensionUniqueName="[Tabla13]" displayFolder="" count="0" memberValueDatatype="130" unbalanced="0"/>
    <cacheHierarchy uniqueName="[Tabla13].[Casa comercial]" caption="Casa comercial" attribute="1" defaultMemberUniqueName="[Tabla13].[Casa comercial].[All]" allUniqueName="[Tabla13].[Casa comercial].[All]" dimensionUniqueName="[Tabla13]" displayFolder="" count="0" memberValueDatatype="130" unbalanced="0"/>
    <cacheHierarchy uniqueName="[Tabla13].[AÑO]" caption="AÑO" attribute="1" defaultMemberUniqueName="[Tabla13].[AÑO].[All]" allUniqueName="[Tabla13].[AÑO].[All]" dimensionUniqueName="[Tabla13]" displayFolder="" count="0" memberValueDatatype="20" unbalanced="0"/>
    <cacheHierarchy uniqueName="[Tabla13].[Densidades]" caption="Densidades" attribute="1" defaultMemberUniqueName="[Tabla13].[Densidades].[All]" allUniqueName="[Tabla13].[Densidades].[All]" dimensionUniqueName="[Tabla13]" displayFolder="" count="0" memberValueDatatype="5" unbalanced="0"/>
    <cacheHierarchy uniqueName="[Tabla13].[Total Has]" caption="Total Has" attribute="1" defaultMemberUniqueName="[Tabla13].[Total Has].[All]" allUniqueName="[Tabla13].[Total Has].[All]" dimensionUniqueName="[Tabla13]" displayFolder="" count="0" memberValueDatatype="5" unbalanced="0"/>
    <cacheHierarchy uniqueName="[Tabla13].[Has Productivas]" caption="Has Productivas" attribute="1" defaultMemberUniqueName="[Tabla13].[Has Productivas].[All]" allUniqueName="[Tabla13].[Has Productivas].[All]" dimensionUniqueName="[Tabla13]" displayFolder="" count="0" memberValueDatatype="5" unbalanced="0"/>
    <cacheHierarchy uniqueName="[Tabla13].[Has Formación]" caption="Has Formación" attribute="1" defaultMemberUniqueName="[Tabla13].[Has Formación].[All]" allUniqueName="[Tabla13].[Has Formación].[All]" dimensionUniqueName="[Tabla13]" displayFolder="" count="0" memberValueDatatype="5" unbalanced="0"/>
    <cacheHierarchy uniqueName="[Tabla13].[Has Faltantes]" caption="Has Faltantes" attribute="1" defaultMemberUniqueName="[Tabla13].[Has Faltantes].[All]" allUniqueName="[Tabla13].[Has Faltantes].[All]" dimensionUniqueName="[Tabla13]" displayFolder="" count="0" memberValueDatatype="5" unbalanced="0"/>
    <cacheHierarchy uniqueName="[Tabla13].[Total Espacios Censo]" caption="Total Espacios Censo" attribute="1" defaultMemberUniqueName="[Tabla13].[Total Espacios Censo].[All]" allUniqueName="[Tabla13].[Total Espacios Censo].[All]" dimensionUniqueName="[Tabla13]" displayFolder="" count="0" memberValueDatatype="5" unbalanced="0"/>
    <cacheHierarchy uniqueName="[Tabla13].[Pltas. Prod. Censo]" caption="Pltas. Prod. Censo" attribute="1" defaultMemberUniqueName="[Tabla13].[Pltas. Prod. Censo].[All]" allUniqueName="[Tabla13].[Pltas. Prod. Censo].[All]" dimensionUniqueName="[Tabla13]" displayFolder="" count="0" memberValueDatatype="5" unbalanced="0"/>
    <cacheHierarchy uniqueName="[Tabla13].[Pltas Formación Censo]" caption="Pltas Formación Censo" attribute="1" defaultMemberUniqueName="[Tabla13].[Pltas Formación Censo].[All]" allUniqueName="[Tabla13].[Pltas Formación Censo].[All]" dimensionUniqueName="[Tabla13]" displayFolder="" count="0" memberValueDatatype="5" unbalanced="0"/>
    <cacheHierarchy uniqueName="[Tabla13].[Espacios vacíos Censo]" caption="Espacios vacíos Censo" attribute="1" defaultMemberUniqueName="[Tabla13].[Espacios vacíos Censo].[All]" allUniqueName="[Tabla13].[Espacios vacíos Censo].[All]" dimensionUniqueName="[Tabla13]" displayFolder="" count="0" memberValueDatatype="5" unbalanced="0"/>
    <cacheHierarchy uniqueName="[Tabla13].[distancia_planta]" caption="distancia_planta" attribute="1" defaultMemberUniqueName="[Tabla13].[distancia_planta].[All]" allUniqueName="[Tabla13].[distancia_planta].[All]" dimensionUniqueName="[Tabla13]" displayFolder="" count="0" memberValueDatatype="5" unbalanced="0"/>
    <cacheHierarchy uniqueName="[Tabla13].[distancia_calle]" caption="distancia_calle" attribute="1" defaultMemberUniqueName="[Tabla13].[distancia_calle].[All]" allUniqueName="[Tabla13].[distancia_calle].[All]" dimensionUniqueName="[Tabla13]" displayFolder="" count="0" memberValueDatatype="5" unbalanced="0"/>
    <cacheHierarchy uniqueName="[Tabla13].[Estado]" caption="Estado" attribute="1" defaultMemberUniqueName="[Tabla13].[Estado].[All]" allUniqueName="[Tabla13].[Estado].[All]" dimensionUniqueName="[Tabla13]" displayFolder="" count="0" memberValueDatatype="130" unbalanced="0"/>
    <cacheHierarchy uniqueName="[Tabla13].[Fecha plantación]" caption="Fecha plantación" attribute="1" defaultMemberUniqueName="[Tabla13].[Fecha plantación].[All]" allUniqueName="[Tabla13].[Fecha plantación].[All]" dimensionUniqueName="[Tabla13]" displayFolder="" count="0" memberValueDatatype="130" unbalanced="0"/>
    <cacheHierarchy uniqueName="[Tabla13].[Edad]" caption="Edad" attribute="1" defaultMemberUniqueName="[Tabla13].[Edad].[All]" allUniqueName="[Tabla13].[Edad].[All]" dimensionUniqueName="[Tabla13]" displayFolder="" count="0" memberValueDatatype="130" unbalanced="0"/>
    <cacheHierarchy uniqueName="[Tabla13].[Tipo Parron]" caption="Tipo Parron" attribute="1" defaultMemberUniqueName="[Tabla13].[Tipo Parron].[All]" allUniqueName="[Tabla13].[Tipo Parron].[All]" dimensionUniqueName="[Tabla13]" displayFolder="" count="0" memberValueDatatype="130" unbalanced="0"/>
    <cacheHierarchy uniqueName="[Tabla13].[Fecha nacimiento]" caption="Fecha nacimiento" attribute="1" time="1" defaultMemberUniqueName="[Tabla13].[Fecha nacimiento].[All]" allUniqueName="[Tabla13].[Fecha nacimiento].[All]" dimensionUniqueName="[Tabla13]" displayFolder="" count="0" memberValueDatatype="7" unbalanced="0"/>
    <cacheHierarchy uniqueName="[Tabla13].[Edad-Sup]" caption="Edad-Sup" attribute="1" defaultMemberUniqueName="[Tabla13].[Edad-Sup].[All]" allUniqueName="[Tabla13].[Edad-Sup].[All]" dimensionUniqueName="[Tabla13]" displayFolder="" count="0" memberValueDatatype="20" unbalanced="0"/>
    <cacheHierarchy uniqueName="[Tabla13].[N° celular]" caption="N° celular" attribute="1" defaultMemberUniqueName="[Tabla13].[N° celular].[All]" allUniqueName="[Tabla13].[N° celular].[All]" dimensionUniqueName="[Tabla13]" displayFolder="" count="0" memberValueDatatype="20" unbalanced="0"/>
    <cacheHierarchy uniqueName="[Tabla13].[Dirección]" caption="Dirección" attribute="1" defaultMemberUniqueName="[Tabla13].[Dirección].[All]" allUniqueName="[Tabla13].[Dirección].[All]" dimensionUniqueName="[Tabla13]" displayFolder="" count="0" memberValueDatatype="130" unbalanced="0"/>
    <cacheHierarchy uniqueName="[Tabla13].[Nivel Educativo]" caption="Nivel Educativo" attribute="1" defaultMemberUniqueName="[Tabla13].[Nivel Educativo].[All]" allUniqueName="[Tabla13].[Nivel Educativo].[All]" dimensionUniqueName="[Tabla13]" displayFolder="" count="0" memberValueDatatype="130" unbalanced="0"/>
    <cacheHierarchy uniqueName="[Tabla13].[Carrera]" caption="Carrera" attribute="1" defaultMemberUniqueName="[Tabla13].[Carrera].[All]" allUniqueName="[Tabla13].[Carrera].[All]" dimensionUniqueName="[Tabla13]" displayFolder="" count="0" memberValueDatatype="130" unbalanced="0"/>
    <cacheHierarchy uniqueName="[Tabla13].[Supervisor de lote]" caption="Supervisor de lote" attribute="1" defaultMemberUniqueName="[Tabla13].[Supervisor de lote].[All]" allUniqueName="[Tabla13].[Supervisor de lote].[All]" dimensionUniqueName="[Tabla13]" displayFolder="" count="0" memberValueDatatype="130" unbalanced="0"/>
    <cacheHierarchy uniqueName="[Tabla13].[Subgerente]" caption="Subgerente" attribute="1" defaultMemberUniqueName="[Tabla13].[Subgerente].[All]" allUniqueName="[Tabla13].[Subgerente].[All]" dimensionUniqueName="[Tabla13]" displayFolder="" count="0" memberValueDatatype="130" unbalanced="0"/>
    <cacheHierarchy uniqueName="[Measures].[Plantas_prod]" caption="Plantas_prod" measure="1" displayFolder="" measureGroup="Datos_valvulas" count="0"/>
    <cacheHierarchy uniqueName="[Measures].[Plantas_formacion]" caption="Plantas_formacion" measure="1" displayFolder="" measureGroup="Datos_valvulas" count="0"/>
    <cacheHierarchy uniqueName="[Measures].[E_Vacios]" caption="E_Vacios" measure="1" displayFolder="" measureGroup="Datos_valvulas" count="0"/>
    <cacheHierarchy uniqueName="[Measures].[Total_plantas]" caption="Total_plantas" measure="1" displayFolder="" measureGroup="Datos_valvulas" count="0"/>
    <cacheHierarchy uniqueName="[Measures].[Has_prod_valv]" caption="Has_prod_valv" measure="1" displayFolder="" measureGroup="Datos_valvulas" count="0"/>
    <cacheHierarchy uniqueName="[Measures].[Has_form_valv]" caption="Has_form_valv" measure="1" displayFolder="" measureGroup="Datos_valvulas" count="0"/>
    <cacheHierarchy uniqueName="[Measures].[Has_vacias_valv]" caption="Has_vacias_valv" measure="1" displayFolder="" measureGroup="Datos_valvulas" count="0"/>
    <cacheHierarchy uniqueName="[Measures].[Has_Total_valv]" caption="Has_Total_valv" measure="1" displayFolder="" measureGroup="Datos_valvulas" count="0"/>
    <cacheHierarchy uniqueName="[Measures].[Fecha_inicio]" caption="Fecha_inicio" measure="1" displayFolder="" measureGroup="gantt_diario" count="0" oneField="1">
      <fieldsUsage count="1">
        <fieldUsage x="1"/>
      </fieldsUsage>
    </cacheHierarchy>
    <cacheHierarchy uniqueName="[Measures].[Fecha_fin]" caption="Fecha_fin" measure="1" displayFolder="" measureGroup="gantt_diario" count="0" oneField="1">
      <fieldsUsage count="1">
        <fieldUsage x="2"/>
      </fieldsUsage>
    </cacheHierarchy>
    <cacheHierarchy uniqueName="[Measures].[Años_1ra_plant]" caption="Años_1ra_plant" measure="1" displayFolder="" measureGroup="Primera_plantacion" count="0"/>
    <cacheHierarchy uniqueName="[Measures].[Has_prod]" caption="Has_prod" measure="1" displayFolder="" measureGroup="MAESTRO_LOTES" count="0"/>
    <cacheHierarchy uniqueName="[Measures].[Has_totales]" caption="Has_totales" measure="1" displayFolder="" measureGroup="MAESTRO_LOTES" count="0"/>
    <cacheHierarchy uniqueName="[Measures].[Has_form]" caption="Has_form" measure="1" displayFolder="" measureGroup="MAESTRO_LOTES" count="0"/>
    <cacheHierarchy uniqueName="[Measures].[Has_faltantes]" caption="Has_faltantes" measure="1" displayFolder="" measureGroup="MAESTRO_LOTES" count="0"/>
    <cacheHierarchy uniqueName="[Measures].[__XL_Count Datos_valvulas]" caption="__XL_Count Datos_valvulas" measure="1" displayFolder="" measureGroup="Datos_valvulas" count="0" hidden="1"/>
    <cacheHierarchy uniqueName="[Measures].[__XL_Count gantt_diario]" caption="__XL_Count gantt_diario" measure="1" displayFolder="" measureGroup="gantt_diario" count="0" hidden="1"/>
    <cacheHierarchy uniqueName="[Measures].[__XL_Count Primera_plantacion]" caption="__XL_Count Primera_plantacion" measure="1" displayFolder="" measureGroup="Primera_plantacion" count="0" hidden="1"/>
    <cacheHierarchy uniqueName="[Measures].[__XL_Count CAMPOS]" caption="__XL_Count CAMPOS" measure="1" displayFolder="" measureGroup="CAMPOS" count="0" hidden="1"/>
    <cacheHierarchy uniqueName="[Measures].[__XL_Count MAESTRO_LOTES]" caption="__XL_Count MAESTRO_LOTES" measure="1" displayFolder="" measureGroup="MAESTRO_LOTES" count="0" hidden="1"/>
    <cacheHierarchy uniqueName="[Measures].[__XL_Count Tabla13]" caption="__XL_Count Tabla13" measure="1" displayFolder="" measureGroup="Tabla13" count="0" hidden="1"/>
    <cacheHierarchy uniqueName="[Measures].[__No measures defined]" caption="__No measures defined" measure="1" displayFolder="" count="0" hidden="1"/>
    <cacheHierarchy uniqueName="[Measures].[Recuento de 1ra plantacion]" caption="Recuento de 1ra plantacion" measure="1" displayFolder="" measureGroup="Primera_plantacion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a de Has Productivas]" caption="Suma de Has Productivas" measure="1" displayFolder="" measureGroup="MAESTRO_LOTES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Suma de Total Has]" caption="Suma de Total Has" measure="1" displayFolder="" measureGroup="MAESTRO_LOTES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a de Has Formación]" caption="Suma de Has Formación" measure="1" displayFolder="" measureGroup="Tabla13" count="0" hidden="1">
      <extLst>
        <ext xmlns:x15="http://schemas.microsoft.com/office/spreadsheetml/2010/11/main" uri="{B97F6D7D-B522-45F9-BDA1-12C45D357490}">
          <x15:cacheHierarchy aggregatedColumn="69"/>
        </ext>
      </extLst>
    </cacheHierarchy>
    <cacheHierarchy uniqueName="[Measures].[Suma de Has Formación 2]" caption="Suma de Has Formación 2" measure="1" displayFolder="" measureGroup="MAESTRO_LOTES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a de Densidades]" caption="Suma de Densidades" measure="1" displayFolder="" measureGroup="MAESTRO_LOTES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Promedio de Densidades]" caption="Promedio de Densidades" measure="1" displayFolder="" measureGroup="MAESTRO_LOTES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Recuento de Fecha plantación]" caption="Recuento de Fecha plantación" measure="1" displayFolder="" measureGroup="MAESTRO_LOTES" count="0" hidden="1">
      <extLst>
        <ext xmlns:x15="http://schemas.microsoft.com/office/spreadsheetml/2010/11/main" uri="{B97F6D7D-B522-45F9-BDA1-12C45D357490}">
          <x15:cacheHierarchy aggregatedColumn="36"/>
        </ext>
      </extLst>
    </cacheHierarchy>
  </cacheHierarchies>
  <kpis count="0"/>
  <dimensions count="7">
    <dimension name="CAMPOS" uniqueName="[CAMPOS]" caption="CAMPOS"/>
    <dimension name="Datos_valvulas" uniqueName="[Datos_valvulas]" caption="Datos_valvulas"/>
    <dimension name="gantt_diario" uniqueName="[gantt_diario]" caption="gantt_diario"/>
    <dimension name="MAESTRO_LOTES" uniqueName="[MAESTRO_LOTES]" caption="MAESTRO_LOTES"/>
    <dimension measure="1" name="Measures" uniqueName="[Measures]" caption="Measures"/>
    <dimension name="Primera_plantacion" uniqueName="[Primera_plantacion]" caption="Primera_plantacion"/>
    <dimension name="Tabla13" uniqueName="[Tabla13]" caption="Tabla13"/>
  </dimensions>
  <measureGroups count="6">
    <measureGroup name="CAMPOS" caption="CAMPOS"/>
    <measureGroup name="Datos_valvulas" caption="Datos_valvulas"/>
    <measureGroup name="gantt_diario" caption="gantt_diario"/>
    <measureGroup name="MAESTRO_LOTES" caption="MAESTRO_LOTES"/>
    <measureGroup name="Primera_plantacion" caption="Primera_plantacion"/>
    <measureGroup name="Tabla13" caption="Tabla13"/>
  </measureGroups>
  <maps count="7">
    <map measureGroup="0" dimension="0"/>
    <map measureGroup="1" dimension="1"/>
    <map measureGroup="2" dimension="2"/>
    <map measureGroup="3" dimension="3"/>
    <map measureGroup="4" dimension="0"/>
    <map measureGroup="4" dimension="5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Pedregal" refreshedDate="46106.444426620372" createdVersion="5" refreshedVersion="8" minRefreshableVersion="3" recordCount="0" supportSubquery="1" supportAdvancedDrill="1" xr:uid="{00000000-000A-0000-FFFF-FFFF7B010000}">
  <cacheSource type="external" connectionId="6"/>
  <cacheFields count="0"/>
  <cacheHierarchies count="119">
    <cacheHierarchy uniqueName="[CAMPOS].[Campos]" caption="Campos" attribute="1" defaultMemberUniqueName="[CAMPOS].[Campos].[All]" allUniqueName="[CAMPOS].[Campos].[All]" dimensionUniqueName="[CAMPOS]" displayFolder="" count="0" memberValueDatatype="130" unbalanced="0"/>
    <cacheHierarchy uniqueName="[CAMPOS].[Tipo cultivo]" caption="Tipo cultivo" attribute="1" defaultMemberUniqueName="[CAMPOS].[Tipo cultivo].[All]" allUniqueName="[CAMPOS].[Tipo cultivo].[All]" dimensionUniqueName="[CAMPOS]" displayFolder="" count="0" memberValueDatatype="130" unbalanced="0"/>
    <cacheHierarchy uniqueName="[CAMPOS].[Periodo siembra-cosecha]" caption="Periodo siembra-cosecha" attribute="1" defaultMemberUniqueName="[CAMPOS].[Periodo siembra-cosecha].[All]" allUniqueName="[CAMPOS].[Periodo siembra-cosecha].[All]" dimensionUniqueName="[CAMPOS]" displayFolder="" count="0" memberValueDatatype="130" unbalanced="0"/>
    <cacheHierarchy uniqueName="[Datos_valvulas].[VAR]" caption="VAR" attribute="1" defaultMemberUniqueName="[Datos_valvulas].[VAR].[All]" allUniqueName="[Datos_valvulas].[VAR].[All]" dimensionUniqueName="[Datos_valvulas]" displayFolder="" count="0" memberValueDatatype="130" unbalanced="0"/>
    <cacheHierarchy uniqueName="[Datos_valvulas].[Lote]" caption="Lote" attribute="1" defaultMemberUniqueName="[Datos_valvulas].[Lote].[All]" allUniqueName="[Datos_valvulas].[Lote].[All]" dimensionUniqueName="[Datos_valvulas]" displayFolder="" count="0" memberValueDatatype="130" unbalanced="0"/>
    <cacheHierarchy uniqueName="[Datos_valvulas].[Tipo de planta]" caption="Tipo de planta" attribute="1" defaultMemberUniqueName="[Datos_valvulas].[Tipo de planta].[All]" allUniqueName="[Datos_valvulas].[Tipo de planta].[All]" dimensionUniqueName="[Datos_valvulas]" displayFolder="" count="0" memberValueDatatype="130" unbalanced="0"/>
    <cacheHierarchy uniqueName="[Datos_valvulas].[Valvulas]" caption="Valvulas" attribute="1" defaultMemberUniqueName="[Datos_valvulas].[Valvulas].[All]" allUniqueName="[Datos_valvulas].[Valvulas].[All]" dimensionUniqueName="[Datos_valvulas]" displayFolder="" count="0" memberValueDatatype="130" unbalanced="0"/>
    <cacheHierarchy uniqueName="[Datos_valvulas].[Plantas]" caption="Plantas" attribute="1" defaultMemberUniqueName="[Datos_valvulas].[Plantas].[All]" allUniqueName="[Datos_valvulas].[Plantas].[All]" dimensionUniqueName="[Datos_valvulas]" displayFolder="" count="0" memberValueDatatype="20" unbalanced="0"/>
    <cacheHierarchy uniqueName="[Datos_valvulas].[Densidad]" caption="Densidad" attribute="1" defaultMemberUniqueName="[Datos_valvulas].[Densidad].[All]" allUniqueName="[Datos_valvulas].[Densidad].[All]" dimensionUniqueName="[Datos_valvulas]" displayFolder="" count="0" memberValueDatatype="5" unbalanced="0"/>
    <cacheHierarchy uniqueName="[Datos_valvulas].[VARIEDAD]" caption="VARIEDAD" attribute="1" defaultMemberUniqueName="[Datos_valvulas].[VARIEDAD].[All]" allUniqueName="[Datos_valvulas].[VARIEDAD].[All]" dimensionUniqueName="[Datos_valvulas]" displayFolder="" count="0" memberValueDatatype="130" unbalanced="0"/>
    <cacheHierarchy uniqueName="[gantt_diario].[Lote]" caption="Lote" attribute="1" defaultMemberUniqueName="[gantt_diario].[Lote].[All]" allUniqueName="[gantt_diario].[Lote].[All]" dimensionUniqueName="[gantt_diario]" displayFolder="" count="0" memberValueDatatype="130" unbalanced="0"/>
    <cacheHierarchy uniqueName="[gantt_diario].[VARIEDAD]" caption="VARIEDAD" attribute="1" defaultMemberUniqueName="[gantt_diario].[VARIEDAD].[All]" allUniqueName="[gantt_diario].[VARIEDAD].[All]" dimensionUniqueName="[gantt_diario]" displayFolder="" count="0" memberValueDatatype="130" unbalanced="0"/>
    <cacheHierarchy uniqueName="[gantt_diario].[Fecha]" caption="Fecha" attribute="1" time="1" defaultMemberUniqueName="[gantt_diario].[Fecha].[All]" allUniqueName="[gantt_diario].[Fecha].[All]" dimensionUniqueName="[gantt_diario]" displayFolder="" count="0" memberValueDatatype="7" unbalanced="0"/>
    <cacheHierarchy uniqueName="[gantt_diario].[Cajas]" caption="Cajas" attribute="1" defaultMemberUniqueName="[gantt_diario].[Cajas].[All]" allUniqueName="[gantt_diario].[Cajas].[All]" dimensionUniqueName="[gantt_diario]" displayFolder="" count="0" memberValueDatatype="5" unbalanced="0"/>
    <cacheHierarchy uniqueName="[MAESTRO_LOTES].[PEP]" caption="PEP" attribute="1" defaultMemberUniqueName="[MAESTRO_LOTES].[PEP].[All]" allUniqueName="[MAESTRO_LOTES].[PEP].[All]" dimensionUniqueName="[MAESTRO_LOTES]" displayFolder="" count="0" memberValueDatatype="130" unbalanced="0"/>
    <cacheHierarchy uniqueName="[MAESTRO_LOTES].[VARIEDAD]" caption="VARIEDAD" attribute="1" defaultMemberUniqueName="[MAESTRO_LOTES].[VARIEDAD].[All]" allUniqueName="[MAESTRO_LOTES].[VARIEDAD].[All]" dimensionUniqueName="[MAESTRO_LOTES]" displayFolder="" count="0" memberValueDatatype="130" unbalanced="0"/>
    <cacheHierarchy uniqueName="[MAESTRO_LOTES].[LOTE]" caption="LOTE" attribute="1" defaultMemberUniqueName="[MAESTRO_LOTES].[LOTE].[All]" allUniqueName="[MAESTRO_LOTES].[LOTE].[All]" dimensionUniqueName="[MAESTRO_LOTES]" displayFolder="" count="0" memberValueDatatype="130" unbalanced="0"/>
    <cacheHierarchy uniqueName="[MAESTRO_LOTES].[VAR]" caption="VAR" attribute="1" defaultMemberUniqueName="[MAESTRO_LOTES].[VAR].[All]" allUniqueName="[MAESTRO_LOTES].[VAR].[All]" dimensionUniqueName="[MAESTRO_LOTES]" displayFolder="" count="0" memberValueDatatype="130" unbalanced="0"/>
    <cacheHierarchy uniqueName="[MAESTRO_LOTES].[FUNDO]" caption="FUNDO" attribute="1" defaultMemberUniqueName="[MAESTRO_LOTES].[FUNDO].[All]" allUniqueName="[MAESTRO_LOTES].[FUNDO].[All]" dimensionUniqueName="[MAESTRO_LOTES]" displayFolder="" count="0" memberValueDatatype="130" unbalanced="0"/>
    <cacheHierarchy uniqueName="[MAESTRO_LOTES].[Jefe Campo]" caption="Jefe Campo" attribute="1" defaultMemberUniqueName="[MAESTRO_LOTES].[Jefe Campo].[All]" allUniqueName="[MAESTRO_LOTES].[Jefe Campo].[All]" dimensionUniqueName="[MAESTRO_LOTES]" displayFolder="" count="0" memberValueDatatype="130" unbalanced="0"/>
    <cacheHierarchy uniqueName="[MAESTRO_LOTES].[VAR-LOTE]" caption="VAR-LOTE" attribute="1" defaultMemberUniqueName="[MAESTRO_LOTES].[VAR-LOTE].[All]" allUniqueName="[MAESTRO_LOTES].[VAR-LOTE].[All]" dimensionUniqueName="[MAESTRO_LOTES]" displayFolder="" count="0" memberValueDatatype="130" unbalanced="0"/>
    <cacheHierarchy uniqueName="[MAESTRO_LOTES].[PATRON]" caption="PATRON" attribute="1" defaultMemberUniqueName="[MAESTRO_LOTES].[PATRON].[All]" allUniqueName="[MAESTRO_LOTES].[PATRON].[All]" dimensionUniqueName="[MAESTRO_LOTES]" displayFolder="" count="0" memberValueDatatype="130" unbalanced="0"/>
    <cacheHierarchy uniqueName="[MAESTRO_LOTES].[Casa comercial]" caption="Casa comercial" attribute="1" defaultMemberUniqueName="[MAESTRO_LOTES].[Casa comercial].[All]" allUniqueName="[MAESTRO_LOTES].[Casa comercial].[All]" dimensionUniqueName="[MAESTRO_LOTES]" displayFolder="" count="0" memberValueDatatype="130" unbalanced="0"/>
    <cacheHierarchy uniqueName="[MAESTRO_LOTES].[AÑO]" caption="AÑO" attribute="1" defaultMemberUniqueName="[MAESTRO_LOTES].[AÑO].[All]" allUniqueName="[MAESTRO_LOTES].[AÑO].[All]" dimensionUniqueName="[MAESTRO_LOTES]" displayFolder="" count="0" memberValueDatatype="20" unbalanced="0"/>
    <cacheHierarchy uniqueName="[MAESTRO_LOTES].[Densidades]" caption="Densidades" attribute="1" defaultMemberUniqueName="[MAESTRO_LOTES].[Densidades].[All]" allUniqueName="[MAESTRO_LOTES].[Densidades].[All]" dimensionUniqueName="[MAESTRO_LOTES]" displayFolder="" count="0" memberValueDatatype="5" unbalanced="0"/>
    <cacheHierarchy uniqueName="[MAESTRO_LOTES].[Total Has]" caption="Total Has" attribute="1" defaultMemberUniqueName="[MAESTRO_LOTES].[Total Has].[All]" allUniqueName="[MAESTRO_LOTES].[Total Has].[All]" dimensionUniqueName="[MAESTRO_LOTES]" displayFolder="" count="0" memberValueDatatype="5" unbalanced="0"/>
    <cacheHierarchy uniqueName="[MAESTRO_LOTES].[Has Productivas]" caption="Has Productivas" attribute="1" defaultMemberUniqueName="[MAESTRO_LOTES].[Has Productivas].[All]" allUniqueName="[MAESTRO_LOTES].[Has Productivas].[All]" dimensionUniqueName="[MAESTRO_LOTES]" displayFolder="" count="0" memberValueDatatype="5" unbalanced="0"/>
    <cacheHierarchy uniqueName="[MAESTRO_LOTES].[Has Formación]" caption="Has Formación" attribute="1" defaultMemberUniqueName="[MAESTRO_LOTES].[Has Formación].[All]" allUniqueName="[MAESTRO_LOTES].[Has Formación].[All]" dimensionUniqueName="[MAESTRO_LOTES]" displayFolder="" count="0" memberValueDatatype="5" unbalanced="0"/>
    <cacheHierarchy uniqueName="[MAESTRO_LOTES].[Has Faltantes]" caption="Has Faltantes" attribute="1" defaultMemberUniqueName="[MAESTRO_LOTES].[Has Faltantes].[All]" allUniqueName="[MAESTRO_LOTES].[Has Faltantes].[All]" dimensionUniqueName="[MAESTRO_LOTES]" displayFolder="" count="0" memberValueDatatype="5" unbalanced="0"/>
    <cacheHierarchy uniqueName="[MAESTRO_LOTES].[Total Espacios]" caption="Total Espacios" attribute="1" defaultMemberUniqueName="[MAESTRO_LOTES].[Total Espacios].[All]" allUniqueName="[MAESTRO_LOTES].[Total Espacios].[All]" dimensionUniqueName="[MAESTRO_LOTES]" displayFolder="" count="0" memberValueDatatype="5" unbalanced="0"/>
    <cacheHierarchy uniqueName="[MAESTRO_LOTES].[Pltas. Prod.]" caption="Pltas. Prod." attribute="1" defaultMemberUniqueName="[MAESTRO_LOTES].[Pltas. Prod.].[All]" allUniqueName="[MAESTRO_LOTES].[Pltas. Prod.].[All]" dimensionUniqueName="[MAESTRO_LOTES]" displayFolder="" count="0" memberValueDatatype="5" unbalanced="0"/>
    <cacheHierarchy uniqueName="[MAESTRO_LOTES].[Pltas Formación]" caption="Pltas Formación" attribute="1" defaultMemberUniqueName="[MAESTRO_LOTES].[Pltas Formación].[All]" allUniqueName="[MAESTRO_LOTES].[Pltas Formación].[All]" dimensionUniqueName="[MAESTRO_LOTES]" displayFolder="" count="0" memberValueDatatype="5" unbalanced="0"/>
    <cacheHierarchy uniqueName="[MAESTRO_LOTES].[Espacios vacíos]" caption="Espacios vacíos" attribute="1" defaultMemberUniqueName="[MAESTRO_LOTES].[Espacios vacíos].[All]" allUniqueName="[MAESTRO_LOTES].[Espacios vacíos].[All]" dimensionUniqueName="[MAESTRO_LOTES]" displayFolder="" count="0" memberValueDatatype="5" unbalanced="0"/>
    <cacheHierarchy uniqueName="[MAESTRO_LOTES].[distancia_planta]" caption="distancia_planta" attribute="1" defaultMemberUniqueName="[MAESTRO_LOTES].[distancia_planta].[All]" allUniqueName="[MAESTRO_LOTES].[distancia_planta].[All]" dimensionUniqueName="[MAESTRO_LOTES]" displayFolder="" count="0" memberValueDatatype="5" unbalanced="0"/>
    <cacheHierarchy uniqueName="[MAESTRO_LOTES].[distancia_calle]" caption="distancia_calle" attribute="1" defaultMemberUniqueName="[MAESTRO_LOTES].[distancia_calle].[All]" allUniqueName="[MAESTRO_LOTES].[distancia_calle].[All]" dimensionUniqueName="[MAESTRO_LOTES]" displayFolder="" count="0" memberValueDatatype="5" unbalanced="0"/>
    <cacheHierarchy uniqueName="[MAESTRO_LOTES].[Estado]" caption="Estado" attribute="1" defaultMemberUniqueName="[MAESTRO_LOTES].[Estado].[All]" allUniqueName="[MAESTRO_LOTES].[Estado].[All]" dimensionUniqueName="[MAESTRO_LOTES]" displayFolder="" count="0" memberValueDatatype="130" unbalanced="0"/>
    <cacheHierarchy uniqueName="[MAESTRO_LOTES].[Fecha plantación]" caption="Fecha plantación" attribute="1" time="1" defaultMemberUniqueName="[MAESTRO_LOTES].[Fecha plantación].[All]" allUniqueName="[MAESTRO_LOTES].[Fecha plantación].[All]" dimensionUniqueName="[MAESTRO_LOTES]" displayFolder="" count="0" memberValueDatatype="7" unbalanced="0"/>
    <cacheHierarchy uniqueName="[MAESTRO_LOTES].[Edad]" caption="Edad" attribute="1" defaultMemberUniqueName="[MAESTRO_LOTES].[Edad].[All]" allUniqueName="[MAESTRO_LOTES].[Edad].[All]" dimensionUniqueName="[MAESTRO_LOTES]" displayFolder="" count="0" memberValueDatatype="5" unbalanced="0"/>
    <cacheHierarchy uniqueName="[MAESTRO_LOTES].[Tipo Parron]" caption="Tipo Parron" attribute="1" defaultMemberUniqueName="[MAESTRO_LOTES].[Tipo Parron].[All]" allUniqueName="[MAESTRO_LOTES].[Tipo Parron].[All]" dimensionUniqueName="[MAESTRO_LOTES]" displayFolder="" count="0" memberValueDatatype="130" unbalanced="0"/>
    <cacheHierarchy uniqueName="[MAESTRO_LOTES].[Fecha nacimiento]" caption="Fecha nacimiento" attribute="1" time="1" defaultMemberUniqueName="[MAESTRO_LOTES].[Fecha nacimiento].[All]" allUniqueName="[MAESTRO_LOTES].[Fecha nacimiento].[All]" dimensionUniqueName="[MAESTRO_LOTES]" displayFolder="" count="0" memberValueDatatype="7" unbalanced="0"/>
    <cacheHierarchy uniqueName="[MAESTRO_LOTES].[Edad-Sup]" caption="Edad-Sup" attribute="1" defaultMemberUniqueName="[MAESTRO_LOTES].[Edad-Sup].[All]" allUniqueName="[MAESTRO_LOTES].[Edad-Sup].[All]" dimensionUniqueName="[MAESTRO_LOTES]" displayFolder="" count="0" memberValueDatatype="130" unbalanced="0"/>
    <cacheHierarchy uniqueName="[MAESTRO_LOTES].[N° celular]" caption="N° celular" attribute="1" defaultMemberUniqueName="[MAESTRO_LOTES].[N° celular].[All]" allUniqueName="[MAESTRO_LOTES].[N° celular].[All]" dimensionUniqueName="[MAESTRO_LOTES]" displayFolder="" count="0" memberValueDatatype="130" unbalanced="0"/>
    <cacheHierarchy uniqueName="[MAESTRO_LOTES].[Dirección]" caption="Dirección" attribute="1" defaultMemberUniqueName="[MAESTRO_LOTES].[Dirección].[All]" allUniqueName="[MAESTRO_LOTES].[Dirección].[All]" dimensionUniqueName="[MAESTRO_LOTES]" displayFolder="" count="0" memberValueDatatype="130" unbalanced="0"/>
    <cacheHierarchy uniqueName="[MAESTRO_LOTES].[Distrito/CP]" caption="Distrito/CP" attribute="1" defaultMemberUniqueName="[MAESTRO_LOTES].[Distrito/CP].[All]" allUniqueName="[MAESTRO_LOTES].[Distrito/CP].[All]" dimensionUniqueName="[MAESTRO_LOTES]" displayFolder="" count="0" memberValueDatatype="130" unbalanced="0"/>
    <cacheHierarchy uniqueName="[MAESTRO_LOTES].[Nivel Educativo]" caption="Nivel Educativo" attribute="1" defaultMemberUniqueName="[MAESTRO_LOTES].[Nivel Educativo].[All]" allUniqueName="[MAESTRO_LOTES].[Nivel Educativo].[All]" dimensionUniqueName="[MAESTRO_LOTES]" displayFolder="" count="0" memberValueDatatype="130" unbalanced="0"/>
    <cacheHierarchy uniqueName="[MAESTRO_LOTES].[Carrera]" caption="Carrera" attribute="1" defaultMemberUniqueName="[MAESTRO_LOTES].[Carrera].[All]" allUniqueName="[MAESTRO_LOTES].[Carrera].[All]" dimensionUniqueName="[MAESTRO_LOTES]" displayFolder="" count="0" memberValueDatatype="130" unbalanced="0"/>
    <cacheHierarchy uniqueName="[MAESTRO_LOTES].[Supervisor de lote]" caption="Supervisor de lote" attribute="1" defaultMemberUniqueName="[MAESTRO_LOTES].[Supervisor de lote].[All]" allUniqueName="[MAESTRO_LOTES].[Supervisor de lote].[All]" dimensionUniqueName="[MAESTRO_LOTES]" displayFolder="" count="0" memberValueDatatype="130" unbalanced="0"/>
    <cacheHierarchy uniqueName="[MAESTRO_LOTES].[Subgerente]" caption="Subgerente" attribute="1" defaultMemberUniqueName="[MAESTRO_LOTES].[Subgerente].[All]" allUniqueName="[MAESTRO_LOTES].[Subgerente].[All]" dimensionUniqueName="[MAESTRO_LOTES]" displayFolder="" count="0" memberValueDatatype="130" unbalanced="0"/>
    <cacheHierarchy uniqueName="[MAESTRO_LOTES].[Supervisor de sanidad]" caption="Supervisor de sanidad" attribute="1" defaultMemberUniqueName="[MAESTRO_LOTES].[Supervisor de sanidad].[All]" allUniqueName="[MAESTRO_LOTES].[Supervisor de sanidad].[All]" dimensionUniqueName="[MAESTRO_LOTES]" displayFolder="" count="0" memberValueDatatype="130" unbalanced="0"/>
    <cacheHierarchy uniqueName="[MAESTRO_LOTES].[Supervisor de riego]" caption="Supervisor de riego" attribute="1" defaultMemberUniqueName="[MAESTRO_LOTES].[Supervisor de riego].[All]" allUniqueName="[MAESTRO_LOTES].[Supervisor de riego].[All]" dimensionUniqueName="[MAESTRO_LOTES]" displayFolder="" count="0" memberValueDatatype="130" unbalanced="0"/>
    <cacheHierarchy uniqueName="[MAESTRO_LOTES].[Supervisor de control biologico]" caption="Supervisor de control biologico" attribute="1" defaultMemberUniqueName="[MAESTRO_LOTES].[Supervisor de control biologico].[All]" allUniqueName="[MAESTRO_LOTES].[Supervisor de control biologico].[All]" dimensionUniqueName="[MAESTRO_LOTES]" displayFolder="" count="0" memberValueDatatype="130" unbalanced="0"/>
    <cacheHierarchy uniqueName="[MAESTRO_LOTES].[CAMPO]" caption="CAMPO" attribute="1" defaultMemberUniqueName="[MAESTRO_LOTES].[CAMPO].[All]" allUniqueName="[MAESTRO_LOTES].[CAMPO].[All]" dimensionUniqueName="[MAESTRO_LOTES]" displayFolder="" count="0" memberValueDatatype="130" unbalanced="0"/>
    <cacheHierarchy uniqueName="[MAESTRO_LOTES].[LOTE PoC HISPATEC]" caption="LOTE PoC HISPATEC" attribute="1" defaultMemberUniqueName="[MAESTRO_LOTES].[LOTE PoC HISPATEC].[All]" allUniqueName="[MAESTRO_LOTES].[LOTE PoC HISPATEC].[All]" dimensionUniqueName="[MAESTRO_LOTES]" displayFolder="" count="0" memberValueDatatype="130" unbalanced="0"/>
    <cacheHierarchy uniqueName="[MAESTRO_LOTES].[¿Es BLOOM?]" caption="¿Es BLOOM?" attribute="1" defaultMemberUniqueName="[MAESTRO_LOTES].[¿Es BLOOM?].[All]" allUniqueName="[MAESTRO_LOTES].[¿Es BLOOM?].[All]" dimensionUniqueName="[MAESTRO_LOTES]" displayFolder="" count="0" memberValueDatatype="130" unbalanced="0"/>
    <cacheHierarchy uniqueName="[Primera_plantacion].[Campo]" caption="Campo" attribute="1" defaultMemberUniqueName="[Primera_plantacion].[Campo].[All]" allUniqueName="[Primera_plantacion].[Campo].[All]" dimensionUniqueName="[Primera_plantacion]" displayFolder="" count="0" memberValueDatatype="130" unbalanced="0"/>
    <cacheHierarchy uniqueName="[Primera_plantacion].[LOTE]" caption="LOTE" attribute="1" defaultMemberUniqueName="[Primera_plantacion].[LOTE].[All]" allUniqueName="[Primera_plantacion].[LOTE].[All]" dimensionUniqueName="[Primera_plantacion]" displayFolder="" count="0" memberValueDatatype="130" unbalanced="0"/>
    <cacheHierarchy uniqueName="[Primera_plantacion].[1ra plantacion]" caption="1ra plantacion" attribute="1" time="1" defaultMemberUniqueName="[Primera_plantacion].[1ra plantacion].[All]" allUniqueName="[Primera_plantacion].[1ra plantacion].[All]" dimensionUniqueName="[Primera_plantacion]" displayFolder="" count="0" memberValueDatatype="7" unbalanced="0"/>
    <cacheHierarchy uniqueName="[Primera_plantacion].[filtro]" caption="filtro" attribute="1" defaultMemberUniqueName="[Primera_plantacion].[filtro].[All]" allUniqueName="[Primera_plantacion].[filtro].[All]" dimensionUniqueName="[Primera_plantacion]" displayFolder="" count="0" memberValueDatatype="130" unbalanced="0"/>
    <cacheHierarchy uniqueName="[Tabla13].[VARIEDAD]" caption="VARIEDAD" attribute="1" defaultMemberUniqueName="[Tabla13].[VARIEDAD].[All]" allUniqueName="[Tabla13].[VARIEDAD].[All]" dimensionUniqueName="[Tabla13]" displayFolder="" count="0" memberValueDatatype="130" unbalanced="0"/>
    <cacheHierarchy uniqueName="[Tabla13].[LOTE]" caption="LOTE" attribute="1" defaultMemberUniqueName="[Tabla13].[LOTE].[All]" allUniqueName="[Tabla13].[LOTE].[All]" dimensionUniqueName="[Tabla13]" displayFolder="" count="0" memberValueDatatype="130" unbalanced="0"/>
    <cacheHierarchy uniqueName="[Tabla13].[VAR]" caption="VAR" attribute="1" defaultMemberUniqueName="[Tabla13].[VAR].[All]" allUniqueName="[Tabla13].[VAR].[All]" dimensionUniqueName="[Tabla13]" displayFolder="" count="0" memberValueDatatype="130" unbalanced="0"/>
    <cacheHierarchy uniqueName="[Tabla13].[Jefe Campo]" caption="Jefe Campo" attribute="1" defaultMemberUniqueName="[Tabla13].[Jefe Campo].[All]" allUniqueName="[Tabla13].[Jefe Campo].[All]" dimensionUniqueName="[Tabla13]" displayFolder="" count="0" memberValueDatatype="130" unbalanced="0"/>
    <cacheHierarchy uniqueName="[Tabla13].[VAR-LOTE]" caption="VAR-LOTE" attribute="1" defaultMemberUniqueName="[Tabla13].[VAR-LOTE].[All]" allUniqueName="[Tabla13].[VAR-LOTE].[All]" dimensionUniqueName="[Tabla13]" displayFolder="" count="0" memberValueDatatype="130" unbalanced="0"/>
    <cacheHierarchy uniqueName="[Tabla13].[PATRON]" caption="PATRON" attribute="1" defaultMemberUniqueName="[Tabla13].[PATRON].[All]" allUniqueName="[Tabla13].[PATRON].[All]" dimensionUniqueName="[Tabla13]" displayFolder="" count="0" memberValueDatatype="130" unbalanced="0"/>
    <cacheHierarchy uniqueName="[Tabla13].[Casa comercial]" caption="Casa comercial" attribute="1" defaultMemberUniqueName="[Tabla13].[Casa comercial].[All]" allUniqueName="[Tabla13].[Casa comercial].[All]" dimensionUniqueName="[Tabla13]" displayFolder="" count="0" memberValueDatatype="130" unbalanced="0"/>
    <cacheHierarchy uniqueName="[Tabla13].[AÑO]" caption="AÑO" attribute="1" defaultMemberUniqueName="[Tabla13].[AÑO].[All]" allUniqueName="[Tabla13].[AÑO].[All]" dimensionUniqueName="[Tabla13]" displayFolder="" count="0" memberValueDatatype="20" unbalanced="0"/>
    <cacheHierarchy uniqueName="[Tabla13].[Densidades]" caption="Densidades" attribute="1" defaultMemberUniqueName="[Tabla13].[Densidades].[All]" allUniqueName="[Tabla13].[Densidades].[All]" dimensionUniqueName="[Tabla13]" displayFolder="" count="0" memberValueDatatype="5" unbalanced="0"/>
    <cacheHierarchy uniqueName="[Tabla13].[Total Has]" caption="Total Has" attribute="1" defaultMemberUniqueName="[Tabla13].[Total Has].[All]" allUniqueName="[Tabla13].[Total Has].[All]" dimensionUniqueName="[Tabla13]" displayFolder="" count="0" memberValueDatatype="5" unbalanced="0"/>
    <cacheHierarchy uniqueName="[Tabla13].[Has Productivas]" caption="Has Productivas" attribute="1" defaultMemberUniqueName="[Tabla13].[Has Productivas].[All]" allUniqueName="[Tabla13].[Has Productivas].[All]" dimensionUniqueName="[Tabla13]" displayFolder="" count="0" memberValueDatatype="5" unbalanced="0"/>
    <cacheHierarchy uniqueName="[Tabla13].[Has Formación]" caption="Has Formación" attribute="1" defaultMemberUniqueName="[Tabla13].[Has Formación].[All]" allUniqueName="[Tabla13].[Has Formación].[All]" dimensionUniqueName="[Tabla13]" displayFolder="" count="0" memberValueDatatype="5" unbalanced="0"/>
    <cacheHierarchy uniqueName="[Tabla13].[Has Faltantes]" caption="Has Faltantes" attribute="1" defaultMemberUniqueName="[Tabla13].[Has Faltantes].[All]" allUniqueName="[Tabla13].[Has Faltantes].[All]" dimensionUniqueName="[Tabla13]" displayFolder="" count="0" memberValueDatatype="5" unbalanced="0"/>
    <cacheHierarchy uniqueName="[Tabla13].[Total Espacios Censo]" caption="Total Espacios Censo" attribute="1" defaultMemberUniqueName="[Tabla13].[Total Espacios Censo].[All]" allUniqueName="[Tabla13].[Total Espacios Censo].[All]" dimensionUniqueName="[Tabla13]" displayFolder="" count="0" memberValueDatatype="5" unbalanced="0"/>
    <cacheHierarchy uniqueName="[Tabla13].[Pltas. Prod. Censo]" caption="Pltas. Prod. Censo" attribute="1" defaultMemberUniqueName="[Tabla13].[Pltas. Prod. Censo].[All]" allUniqueName="[Tabla13].[Pltas. Prod. Censo].[All]" dimensionUniqueName="[Tabla13]" displayFolder="" count="0" memberValueDatatype="5" unbalanced="0"/>
    <cacheHierarchy uniqueName="[Tabla13].[Pltas Formación Censo]" caption="Pltas Formación Censo" attribute="1" defaultMemberUniqueName="[Tabla13].[Pltas Formación Censo].[All]" allUniqueName="[Tabla13].[Pltas Formación Censo].[All]" dimensionUniqueName="[Tabla13]" displayFolder="" count="0" memberValueDatatype="5" unbalanced="0"/>
    <cacheHierarchy uniqueName="[Tabla13].[Espacios vacíos Censo]" caption="Espacios vacíos Censo" attribute="1" defaultMemberUniqueName="[Tabla13].[Espacios vacíos Censo].[All]" allUniqueName="[Tabla13].[Espacios vacíos Censo].[All]" dimensionUniqueName="[Tabla13]" displayFolder="" count="0" memberValueDatatype="5" unbalanced="0"/>
    <cacheHierarchy uniqueName="[Tabla13].[distancia_planta]" caption="distancia_planta" attribute="1" defaultMemberUniqueName="[Tabla13].[distancia_planta].[All]" allUniqueName="[Tabla13].[distancia_planta].[All]" dimensionUniqueName="[Tabla13]" displayFolder="" count="0" memberValueDatatype="5" unbalanced="0"/>
    <cacheHierarchy uniqueName="[Tabla13].[distancia_calle]" caption="distancia_calle" attribute="1" defaultMemberUniqueName="[Tabla13].[distancia_calle].[All]" allUniqueName="[Tabla13].[distancia_calle].[All]" dimensionUniqueName="[Tabla13]" displayFolder="" count="0" memberValueDatatype="5" unbalanced="0"/>
    <cacheHierarchy uniqueName="[Tabla13].[Estado]" caption="Estado" attribute="1" defaultMemberUniqueName="[Tabla13].[Estado].[All]" allUniqueName="[Tabla13].[Estado].[All]" dimensionUniqueName="[Tabla13]" displayFolder="" count="0" memberValueDatatype="130" unbalanced="0"/>
    <cacheHierarchy uniqueName="[Tabla13].[Fecha plantación]" caption="Fecha plantación" attribute="1" defaultMemberUniqueName="[Tabla13].[Fecha plantación].[All]" allUniqueName="[Tabla13].[Fecha plantación].[All]" dimensionUniqueName="[Tabla13]" displayFolder="" count="0" memberValueDatatype="130" unbalanced="0"/>
    <cacheHierarchy uniqueName="[Tabla13].[Edad]" caption="Edad" attribute="1" defaultMemberUniqueName="[Tabla13].[Edad].[All]" allUniqueName="[Tabla13].[Edad].[All]" dimensionUniqueName="[Tabla13]" displayFolder="" count="0" memberValueDatatype="130" unbalanced="0"/>
    <cacheHierarchy uniqueName="[Tabla13].[Tipo Parron]" caption="Tipo Parron" attribute="1" defaultMemberUniqueName="[Tabla13].[Tipo Parron].[All]" allUniqueName="[Tabla13].[Tipo Parron].[All]" dimensionUniqueName="[Tabla13]" displayFolder="" count="0" memberValueDatatype="130" unbalanced="0"/>
    <cacheHierarchy uniqueName="[Tabla13].[Fecha nacimiento]" caption="Fecha nacimiento" attribute="1" time="1" defaultMemberUniqueName="[Tabla13].[Fecha nacimiento].[All]" allUniqueName="[Tabla13].[Fecha nacimiento].[All]" dimensionUniqueName="[Tabla13]" displayFolder="" count="0" memberValueDatatype="7" unbalanced="0"/>
    <cacheHierarchy uniqueName="[Tabla13].[Edad-Sup]" caption="Edad-Sup" attribute="1" defaultMemberUniqueName="[Tabla13].[Edad-Sup].[All]" allUniqueName="[Tabla13].[Edad-Sup].[All]" dimensionUniqueName="[Tabla13]" displayFolder="" count="0" memberValueDatatype="20" unbalanced="0"/>
    <cacheHierarchy uniqueName="[Tabla13].[N° celular]" caption="N° celular" attribute="1" defaultMemberUniqueName="[Tabla13].[N° celular].[All]" allUniqueName="[Tabla13].[N° celular].[All]" dimensionUniqueName="[Tabla13]" displayFolder="" count="0" memberValueDatatype="20" unbalanced="0"/>
    <cacheHierarchy uniqueName="[Tabla13].[Dirección]" caption="Dirección" attribute="1" defaultMemberUniqueName="[Tabla13].[Dirección].[All]" allUniqueName="[Tabla13].[Dirección].[All]" dimensionUniqueName="[Tabla13]" displayFolder="" count="0" memberValueDatatype="130" unbalanced="0"/>
    <cacheHierarchy uniqueName="[Tabla13].[Nivel Educativo]" caption="Nivel Educativo" attribute="1" defaultMemberUniqueName="[Tabla13].[Nivel Educativo].[All]" allUniqueName="[Tabla13].[Nivel Educativo].[All]" dimensionUniqueName="[Tabla13]" displayFolder="" count="0" memberValueDatatype="130" unbalanced="0"/>
    <cacheHierarchy uniqueName="[Tabla13].[Carrera]" caption="Carrera" attribute="1" defaultMemberUniqueName="[Tabla13].[Carrera].[All]" allUniqueName="[Tabla13].[Carrera].[All]" dimensionUniqueName="[Tabla13]" displayFolder="" count="0" memberValueDatatype="130" unbalanced="0"/>
    <cacheHierarchy uniqueName="[Tabla13].[Supervisor de lote]" caption="Supervisor de lote" attribute="1" defaultMemberUniqueName="[Tabla13].[Supervisor de lote].[All]" allUniqueName="[Tabla13].[Supervisor de lote].[All]" dimensionUniqueName="[Tabla13]" displayFolder="" count="0" memberValueDatatype="130" unbalanced="0"/>
    <cacheHierarchy uniqueName="[Tabla13].[Subgerente]" caption="Subgerente" attribute="1" defaultMemberUniqueName="[Tabla13].[Subgerente].[All]" allUniqueName="[Tabla13].[Subgerente].[All]" dimensionUniqueName="[Tabla13]" displayFolder="" count="0" memberValueDatatype="130" unbalanced="0"/>
    <cacheHierarchy uniqueName="[Measures].[Plantas_prod]" caption="Plantas_prod" measure="1" displayFolder="" measureGroup="Datos_valvulas" count="0"/>
    <cacheHierarchy uniqueName="[Measures].[Plantas_formacion]" caption="Plantas_formacion" measure="1" displayFolder="" measureGroup="Datos_valvulas" count="0"/>
    <cacheHierarchy uniqueName="[Measures].[E_Vacios]" caption="E_Vacios" measure="1" displayFolder="" measureGroup="Datos_valvulas" count="0"/>
    <cacheHierarchy uniqueName="[Measures].[Total_plantas]" caption="Total_plantas" measure="1" displayFolder="" measureGroup="Datos_valvulas" count="0"/>
    <cacheHierarchy uniqueName="[Measures].[Has_prod_valv]" caption="Has_prod_valv" measure="1" displayFolder="" measureGroup="Datos_valvulas" count="0"/>
    <cacheHierarchy uniqueName="[Measures].[Has_form_valv]" caption="Has_form_valv" measure="1" displayFolder="" measureGroup="Datos_valvulas" count="0"/>
    <cacheHierarchy uniqueName="[Measures].[Has_vacias_valv]" caption="Has_vacias_valv" measure="1" displayFolder="" measureGroup="Datos_valvulas" count="0"/>
    <cacheHierarchy uniqueName="[Measures].[Has_Total_valv]" caption="Has_Total_valv" measure="1" displayFolder="" measureGroup="Datos_valvulas" count="0"/>
    <cacheHierarchy uniqueName="[Measures].[Fecha_inicio]" caption="Fecha_inicio" measure="1" displayFolder="" measureGroup="gantt_diario" count="0"/>
    <cacheHierarchy uniqueName="[Measures].[Fecha_fin]" caption="Fecha_fin" measure="1" displayFolder="" measureGroup="gantt_diario" count="0"/>
    <cacheHierarchy uniqueName="[Measures].[Años_1ra_plant]" caption="Años_1ra_plant" measure="1" displayFolder="" measureGroup="Primera_plantacion" count="0"/>
    <cacheHierarchy uniqueName="[Measures].[Has_prod]" caption="Has_prod" measure="1" displayFolder="" measureGroup="MAESTRO_LOTES" count="0"/>
    <cacheHierarchy uniqueName="[Measures].[Has_totales]" caption="Has_totales" measure="1" displayFolder="" measureGroup="MAESTRO_LOTES" count="0"/>
    <cacheHierarchy uniqueName="[Measures].[Has_form]" caption="Has_form" measure="1" displayFolder="" measureGroup="MAESTRO_LOTES" count="0"/>
    <cacheHierarchy uniqueName="[Measures].[Has_faltantes]" caption="Has_faltantes" measure="1" displayFolder="" measureGroup="MAESTRO_LOTES" count="0"/>
    <cacheHierarchy uniqueName="[Measures].[__XL_Count Datos_valvulas]" caption="__XL_Count Datos_valvulas" measure="1" displayFolder="" measureGroup="Datos_valvulas" count="0" hidden="1"/>
    <cacheHierarchy uniqueName="[Measures].[__XL_Count gantt_diario]" caption="__XL_Count gantt_diario" measure="1" displayFolder="" measureGroup="gantt_diario" count="0" hidden="1"/>
    <cacheHierarchy uniqueName="[Measures].[__XL_Count Primera_plantacion]" caption="__XL_Count Primera_plantacion" measure="1" displayFolder="" measureGroup="Primera_plantacion" count="0" hidden="1"/>
    <cacheHierarchy uniqueName="[Measures].[__XL_Count CAMPOS]" caption="__XL_Count CAMPOS" measure="1" displayFolder="" measureGroup="CAMPOS" count="0" hidden="1"/>
    <cacheHierarchy uniqueName="[Measures].[__XL_Count MAESTRO_LOTES]" caption="__XL_Count MAESTRO_LOTES" measure="1" displayFolder="" measureGroup="MAESTRO_LOTES" count="0" hidden="1"/>
    <cacheHierarchy uniqueName="[Measures].[__XL_Count Tabla13]" caption="__XL_Count Tabla13" measure="1" displayFolder="" measureGroup="Tabla13" count="0" hidden="1"/>
    <cacheHierarchy uniqueName="[Measures].[__No measures defined]" caption="__No measures defined" measure="1" displayFolder="" count="0" hidden="1"/>
    <cacheHierarchy uniqueName="[Measures].[Recuento de 1ra plantacion]" caption="Recuento de 1ra plantacion" measure="1" displayFolder="" measureGroup="Primera_plantacion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a de Has Productivas]" caption="Suma de Has Productivas" measure="1" displayFolder="" measureGroup="MAESTRO_LOTES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Suma de Total Has]" caption="Suma de Total Has" measure="1" displayFolder="" measureGroup="MAESTRO_LOTES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a de Has Formación]" caption="Suma de Has Formación" measure="1" displayFolder="" measureGroup="Tabla13" count="0" hidden="1">
      <extLst>
        <ext xmlns:x15="http://schemas.microsoft.com/office/spreadsheetml/2010/11/main" uri="{B97F6D7D-B522-45F9-BDA1-12C45D357490}">
          <x15:cacheHierarchy aggregatedColumn="69"/>
        </ext>
      </extLst>
    </cacheHierarchy>
    <cacheHierarchy uniqueName="[Measures].[Suma de Has Formación 2]" caption="Suma de Has Formación 2" measure="1" displayFolder="" measureGroup="MAESTRO_LOTES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a de Densidades]" caption="Suma de Densidades" measure="1" displayFolder="" measureGroup="MAESTRO_LOTES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Promedio de Densidades]" caption="Promedio de Densidades" measure="1" displayFolder="" measureGroup="MAESTRO_LOTES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Recuento de Fecha plantación]" caption="Recuento de Fecha plantación" measure="1" displayFolder="" measureGroup="MAESTRO_LOTES" count="0" hidden="1">
      <extLst>
        <ext xmlns:x15="http://schemas.microsoft.com/office/spreadsheetml/2010/11/main" uri="{B97F6D7D-B522-45F9-BDA1-12C45D357490}">
          <x15:cacheHierarchy aggregatedColumn="36"/>
        </ext>
      </extLst>
    </cacheHierarchy>
  </cacheHierarchies>
  <kpis count="0"/>
  <dimensions count="7">
    <dimension name="CAMPOS" uniqueName="[CAMPOS]" caption="CAMPOS"/>
    <dimension name="Datos_valvulas" uniqueName="[Datos_valvulas]" caption="Datos_valvulas"/>
    <dimension name="gantt_diario" uniqueName="[gantt_diario]" caption="gantt_diario"/>
    <dimension name="MAESTRO_LOTES" uniqueName="[MAESTRO_LOTES]" caption="MAESTRO_LOTES"/>
    <dimension measure="1" name="Measures" uniqueName="[Measures]" caption="Measures"/>
    <dimension name="Primera_plantacion" uniqueName="[Primera_plantacion]" caption="Primera_plantacion"/>
    <dimension name="Tabla13" uniqueName="[Tabla13]" caption="Tabla13"/>
  </dimensions>
  <measureGroups count="6">
    <measureGroup name="CAMPOS" caption="CAMPOS"/>
    <measureGroup name="Datos_valvulas" caption="Datos_valvulas"/>
    <measureGroup name="gantt_diario" caption="gantt_diario"/>
    <measureGroup name="MAESTRO_LOTES" caption="MAESTRO_LOTES"/>
    <measureGroup name="Primera_plantacion" caption="Primera_plantacion"/>
    <measureGroup name="Tabla13" caption="Tabla13"/>
  </measureGroups>
  <maps count="7">
    <map measureGroup="0" dimension="0"/>
    <map measureGroup="1" dimension="1"/>
    <map measureGroup="2" dimension="2"/>
    <map measureGroup="3" dimension="3"/>
    <map measureGroup="4" dimension="0"/>
    <map measureGroup="4" dimension="5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Pedregal" refreshedDate="46139.426137268521" createdVersion="5" refreshedVersion="8" minRefreshableVersion="3" recordCount="0" supportSubquery="1" supportAdvancedDrill="1" xr:uid="{00000000-000A-0000-FFFF-FFFF7D010000}">
  <cacheSource type="external" connectionId="6"/>
  <cacheFields count="6">
    <cacheField name="[MAESTRO_LOTES].[Estado].[Estado]" caption="Estado" numFmtId="0" hierarchy="35" level="1">
      <sharedItems count="1">
        <s v="Habilitación 2026"/>
      </sharedItems>
    </cacheField>
    <cacheField name="[MAESTRO_LOTES].[VARIEDAD].[VARIEDAD]" caption="VARIEDAD" numFmtId="0" hierarchy="15" level="1">
      <sharedItems count="4">
        <s v="AUTUMN CRISP"/>
        <s v="COTTON CANDY"/>
        <s v="JACK'S SALUTE"/>
        <s v="TIMPSON"/>
      </sharedItems>
    </cacheField>
    <cacheField name="[MAESTRO_LOTES].[LOTE].[LOTE]" caption="LOTE" numFmtId="0" hierarchy="16" level="1">
      <sharedItems count="9">
        <s v="H09"/>
        <s v="H10"/>
        <s v="H11"/>
        <s v="H15"/>
        <s v="F12"/>
        <s v="I12"/>
        <s v="I13"/>
        <s v="C14"/>
        <s v="B05"/>
      </sharedItems>
    </cacheField>
    <cacheField name="[Measures].[Has_totales]" caption="Has_totales" numFmtId="0" hierarchy="101" level="32767"/>
    <cacheField name="[MAESTRO_LOTES].[Densidades].[Densidades]" caption="Densidades" numFmtId="0" hierarchy="24" level="1">
      <sharedItems containsSemiMixedTypes="0" containsString="0" containsNumber="1" minValue="1905" maxValue="1905.1398337112623" count="2">
        <n v="1905"/>
        <n v="1905.1398337112623"/>
      </sharedItems>
    </cacheField>
    <cacheField name="[MAESTRO_LOTES].[Tipo Parron].[Tipo Parron]" caption="Tipo Parron" numFmtId="0" hierarchy="38" level="1">
      <sharedItems count="3">
        <s v="Español"/>
        <s v="Open Gable Flat"/>
        <s v="Open Gable"/>
      </sharedItems>
    </cacheField>
  </cacheFields>
  <cacheHierarchies count="119">
    <cacheHierarchy uniqueName="[CAMPOS].[Campos]" caption="Campos" attribute="1" defaultMemberUniqueName="[CAMPOS].[Campos].[All]" allUniqueName="[CAMPOS].[Campos].[All]" dimensionUniqueName="[CAMPOS]" displayFolder="" count="0" memberValueDatatype="130" unbalanced="0"/>
    <cacheHierarchy uniqueName="[CAMPOS].[Tipo cultivo]" caption="Tipo cultivo" attribute="1" defaultMemberUniqueName="[CAMPOS].[Tipo cultivo].[All]" allUniqueName="[CAMPOS].[Tipo cultivo].[All]" dimensionUniqueName="[CAMPOS]" displayFolder="" count="0" memberValueDatatype="130" unbalanced="0"/>
    <cacheHierarchy uniqueName="[CAMPOS].[Periodo siembra-cosecha]" caption="Periodo siembra-cosecha" attribute="1" defaultMemberUniqueName="[CAMPOS].[Periodo siembra-cosecha].[All]" allUniqueName="[CAMPOS].[Periodo siembra-cosecha].[All]" dimensionUniqueName="[CAMPOS]" displayFolder="" count="0" memberValueDatatype="130" unbalanced="0"/>
    <cacheHierarchy uniqueName="[Datos_valvulas].[VAR]" caption="VAR" attribute="1" defaultMemberUniqueName="[Datos_valvulas].[VAR].[All]" allUniqueName="[Datos_valvulas].[VAR].[All]" dimensionUniqueName="[Datos_valvulas]" displayFolder="" count="0" memberValueDatatype="130" unbalanced="0"/>
    <cacheHierarchy uniqueName="[Datos_valvulas].[Lote]" caption="Lote" attribute="1" defaultMemberUniqueName="[Datos_valvulas].[Lote].[All]" allUniqueName="[Datos_valvulas].[Lote].[All]" dimensionUniqueName="[Datos_valvulas]" displayFolder="" count="0" memberValueDatatype="130" unbalanced="0"/>
    <cacheHierarchy uniqueName="[Datos_valvulas].[Tipo de planta]" caption="Tipo de planta" attribute="1" defaultMemberUniqueName="[Datos_valvulas].[Tipo de planta].[All]" allUniqueName="[Datos_valvulas].[Tipo de planta].[All]" dimensionUniqueName="[Datos_valvulas]" displayFolder="" count="0" memberValueDatatype="130" unbalanced="0"/>
    <cacheHierarchy uniqueName="[Datos_valvulas].[Valvulas]" caption="Valvulas" attribute="1" defaultMemberUniqueName="[Datos_valvulas].[Valvulas].[All]" allUniqueName="[Datos_valvulas].[Valvulas].[All]" dimensionUniqueName="[Datos_valvulas]" displayFolder="" count="0" memberValueDatatype="130" unbalanced="0"/>
    <cacheHierarchy uniqueName="[Datos_valvulas].[Plantas]" caption="Plantas" attribute="1" defaultMemberUniqueName="[Datos_valvulas].[Plantas].[All]" allUniqueName="[Datos_valvulas].[Plantas].[All]" dimensionUniqueName="[Datos_valvulas]" displayFolder="" count="0" memberValueDatatype="20" unbalanced="0"/>
    <cacheHierarchy uniqueName="[Datos_valvulas].[Densidad]" caption="Densidad" attribute="1" defaultMemberUniqueName="[Datos_valvulas].[Densidad].[All]" allUniqueName="[Datos_valvulas].[Densidad].[All]" dimensionUniqueName="[Datos_valvulas]" displayFolder="" count="0" memberValueDatatype="5" unbalanced="0"/>
    <cacheHierarchy uniqueName="[Datos_valvulas].[VARIEDAD]" caption="VARIEDAD" attribute="1" defaultMemberUniqueName="[Datos_valvulas].[VARIEDAD].[All]" allUniqueName="[Datos_valvulas].[VARIEDAD].[All]" dimensionUniqueName="[Datos_valvulas]" displayFolder="" count="0" memberValueDatatype="130" unbalanced="0"/>
    <cacheHierarchy uniqueName="[gantt_diario].[Lote]" caption="Lote" attribute="1" defaultMemberUniqueName="[gantt_diario].[Lote].[All]" allUniqueName="[gantt_diario].[Lote].[All]" dimensionUniqueName="[gantt_diario]" displayFolder="" count="0" memberValueDatatype="130" unbalanced="0"/>
    <cacheHierarchy uniqueName="[gantt_diario].[VARIEDAD]" caption="VARIEDAD" attribute="1" defaultMemberUniqueName="[gantt_diario].[VARIEDAD].[All]" allUniqueName="[gantt_diario].[VARIEDAD].[All]" dimensionUniqueName="[gantt_diario]" displayFolder="" count="0" memberValueDatatype="130" unbalanced="0"/>
    <cacheHierarchy uniqueName="[gantt_diario].[Fecha]" caption="Fecha" attribute="1" time="1" defaultMemberUniqueName="[gantt_diario].[Fecha].[All]" allUniqueName="[gantt_diario].[Fecha].[All]" dimensionUniqueName="[gantt_diario]" displayFolder="" count="0" memberValueDatatype="7" unbalanced="0"/>
    <cacheHierarchy uniqueName="[gantt_diario].[Cajas]" caption="Cajas" attribute="1" defaultMemberUniqueName="[gantt_diario].[Cajas].[All]" allUniqueName="[gantt_diario].[Cajas].[All]" dimensionUniqueName="[gantt_diario]" displayFolder="" count="0" memberValueDatatype="5" unbalanced="0"/>
    <cacheHierarchy uniqueName="[MAESTRO_LOTES].[PEP]" caption="PEP" attribute="1" defaultMemberUniqueName="[MAESTRO_LOTES].[PEP].[All]" allUniqueName="[MAESTRO_LOTES].[PEP].[All]" dimensionUniqueName="[MAESTRO_LOTES]" displayFolder="" count="0" memberValueDatatype="130" unbalanced="0"/>
    <cacheHierarchy uniqueName="[MAESTRO_LOTES].[VARIEDAD]" caption="VARIEDAD" attribute="1" defaultMemberUniqueName="[MAESTRO_LOTES].[VARIEDAD].[All]" allUniqueName="[MAESTRO_LOTES].[VARIEDAD].[All]" dimensionUniqueName="[MAESTRO_LOTES]" displayFolder="" count="2" memberValueDatatype="130" unbalanced="0">
      <fieldsUsage count="2">
        <fieldUsage x="-1"/>
        <fieldUsage x="1"/>
      </fieldsUsage>
    </cacheHierarchy>
    <cacheHierarchy uniqueName="[MAESTRO_LOTES].[LOTE]" caption="LOTE" attribute="1" defaultMemberUniqueName="[MAESTRO_LOTES].[LOTE].[All]" allUniqueName="[MAESTRO_LOTES].[LOTE].[All]" dimensionUniqueName="[MAESTRO_LOTES]" displayFolder="" count="2" memberValueDatatype="130" unbalanced="0">
      <fieldsUsage count="2">
        <fieldUsage x="-1"/>
        <fieldUsage x="2"/>
      </fieldsUsage>
    </cacheHierarchy>
    <cacheHierarchy uniqueName="[MAESTRO_LOTES].[VAR]" caption="VAR" attribute="1" defaultMemberUniqueName="[MAESTRO_LOTES].[VAR].[All]" allUniqueName="[MAESTRO_LOTES].[VAR].[All]" dimensionUniqueName="[MAESTRO_LOTES]" displayFolder="" count="0" memberValueDatatype="130" unbalanced="0"/>
    <cacheHierarchy uniqueName="[MAESTRO_LOTES].[FUNDO]" caption="FUNDO" attribute="1" defaultMemberUniqueName="[MAESTRO_LOTES].[FUNDO].[All]" allUniqueName="[MAESTRO_LOTES].[FUNDO].[All]" dimensionUniqueName="[MAESTRO_LOTES]" displayFolder="" count="0" memberValueDatatype="130" unbalanced="0"/>
    <cacheHierarchy uniqueName="[MAESTRO_LOTES].[Jefe Campo]" caption="Jefe Campo" attribute="1" defaultMemberUniqueName="[MAESTRO_LOTES].[Jefe Campo].[All]" allUniqueName="[MAESTRO_LOTES].[Jefe Campo].[All]" dimensionUniqueName="[MAESTRO_LOTES]" displayFolder="" count="0" memberValueDatatype="130" unbalanced="0"/>
    <cacheHierarchy uniqueName="[MAESTRO_LOTES].[VAR-LOTE]" caption="VAR-LOTE" attribute="1" defaultMemberUniqueName="[MAESTRO_LOTES].[VAR-LOTE].[All]" allUniqueName="[MAESTRO_LOTES].[VAR-LOTE].[All]" dimensionUniqueName="[MAESTRO_LOTES]" displayFolder="" count="0" memberValueDatatype="130" unbalanced="0"/>
    <cacheHierarchy uniqueName="[MAESTRO_LOTES].[PATRON]" caption="PATRON" attribute="1" defaultMemberUniqueName="[MAESTRO_LOTES].[PATRON].[All]" allUniqueName="[MAESTRO_LOTES].[PATRON].[All]" dimensionUniqueName="[MAESTRO_LOTES]" displayFolder="" count="0" memberValueDatatype="130" unbalanced="0"/>
    <cacheHierarchy uniqueName="[MAESTRO_LOTES].[Casa comercial]" caption="Casa comercial" attribute="1" defaultMemberUniqueName="[MAESTRO_LOTES].[Casa comercial].[All]" allUniqueName="[MAESTRO_LOTES].[Casa comercial].[All]" dimensionUniqueName="[MAESTRO_LOTES]" displayFolder="" count="0" memberValueDatatype="130" unbalanced="0"/>
    <cacheHierarchy uniqueName="[MAESTRO_LOTES].[AÑO]" caption="AÑO" attribute="1" defaultMemberUniqueName="[MAESTRO_LOTES].[AÑO].[All]" allUniqueName="[MAESTRO_LOTES].[AÑO].[All]" dimensionUniqueName="[MAESTRO_LOTES]" displayFolder="" count="0" memberValueDatatype="20" unbalanced="0"/>
    <cacheHierarchy uniqueName="[MAESTRO_LOTES].[Densidades]" caption="Densidades" attribute="1" defaultMemberUniqueName="[MAESTRO_LOTES].[Densidades].[All]" allUniqueName="[MAESTRO_LOTES].[Densidades].[All]" dimensionUniqueName="[MAESTRO_LOTES]" displayFolder="" count="2" memberValueDatatype="5" unbalanced="0">
      <fieldsUsage count="2">
        <fieldUsage x="-1"/>
        <fieldUsage x="4"/>
      </fieldsUsage>
    </cacheHierarchy>
    <cacheHierarchy uniqueName="[MAESTRO_LOTES].[Total Has]" caption="Total Has" attribute="1" defaultMemberUniqueName="[MAESTRO_LOTES].[Total Has].[All]" allUniqueName="[MAESTRO_LOTES].[Total Has].[All]" dimensionUniqueName="[MAESTRO_LOTES]" displayFolder="" count="0" memberValueDatatype="5" unbalanced="0"/>
    <cacheHierarchy uniqueName="[MAESTRO_LOTES].[Has Productivas]" caption="Has Productivas" attribute="1" defaultMemberUniqueName="[MAESTRO_LOTES].[Has Productivas].[All]" allUniqueName="[MAESTRO_LOTES].[Has Productivas].[All]" dimensionUniqueName="[MAESTRO_LOTES]" displayFolder="" count="0" memberValueDatatype="5" unbalanced="0"/>
    <cacheHierarchy uniqueName="[MAESTRO_LOTES].[Has Formación]" caption="Has Formación" attribute="1" defaultMemberUniqueName="[MAESTRO_LOTES].[Has Formación].[All]" allUniqueName="[MAESTRO_LOTES].[Has Formación].[All]" dimensionUniqueName="[MAESTRO_LOTES]" displayFolder="" count="0" memberValueDatatype="5" unbalanced="0"/>
    <cacheHierarchy uniqueName="[MAESTRO_LOTES].[Has Faltantes]" caption="Has Faltantes" attribute="1" defaultMemberUniqueName="[MAESTRO_LOTES].[Has Faltantes].[All]" allUniqueName="[MAESTRO_LOTES].[Has Faltantes].[All]" dimensionUniqueName="[MAESTRO_LOTES]" displayFolder="" count="0" memberValueDatatype="5" unbalanced="0"/>
    <cacheHierarchy uniqueName="[MAESTRO_LOTES].[Total Espacios]" caption="Total Espacios" attribute="1" defaultMemberUniqueName="[MAESTRO_LOTES].[Total Espacios].[All]" allUniqueName="[MAESTRO_LOTES].[Total Espacios].[All]" dimensionUniqueName="[MAESTRO_LOTES]" displayFolder="" count="0" memberValueDatatype="5" unbalanced="0"/>
    <cacheHierarchy uniqueName="[MAESTRO_LOTES].[Pltas. Prod.]" caption="Pltas. Prod." attribute="1" defaultMemberUniqueName="[MAESTRO_LOTES].[Pltas. Prod.].[All]" allUniqueName="[MAESTRO_LOTES].[Pltas. Prod.].[All]" dimensionUniqueName="[MAESTRO_LOTES]" displayFolder="" count="0" memberValueDatatype="5" unbalanced="0"/>
    <cacheHierarchy uniqueName="[MAESTRO_LOTES].[Pltas Formación]" caption="Pltas Formación" attribute="1" defaultMemberUniqueName="[MAESTRO_LOTES].[Pltas Formación].[All]" allUniqueName="[MAESTRO_LOTES].[Pltas Formación].[All]" dimensionUniqueName="[MAESTRO_LOTES]" displayFolder="" count="0" memberValueDatatype="5" unbalanced="0"/>
    <cacheHierarchy uniqueName="[MAESTRO_LOTES].[Espacios vacíos]" caption="Espacios vacíos" attribute="1" defaultMemberUniqueName="[MAESTRO_LOTES].[Espacios vacíos].[All]" allUniqueName="[MAESTRO_LOTES].[Espacios vacíos].[All]" dimensionUniqueName="[MAESTRO_LOTES]" displayFolder="" count="0" memberValueDatatype="5" unbalanced="0"/>
    <cacheHierarchy uniqueName="[MAESTRO_LOTES].[distancia_planta]" caption="distancia_planta" attribute="1" defaultMemberUniqueName="[MAESTRO_LOTES].[distancia_planta].[All]" allUniqueName="[MAESTRO_LOTES].[distancia_planta].[All]" dimensionUniqueName="[MAESTRO_LOTES]" displayFolder="" count="0" memberValueDatatype="5" unbalanced="0"/>
    <cacheHierarchy uniqueName="[MAESTRO_LOTES].[distancia_calle]" caption="distancia_calle" attribute="1" defaultMemberUniqueName="[MAESTRO_LOTES].[distancia_calle].[All]" allUniqueName="[MAESTRO_LOTES].[distancia_calle].[All]" dimensionUniqueName="[MAESTRO_LOTES]" displayFolder="" count="0" memberValueDatatype="5" unbalanced="0"/>
    <cacheHierarchy uniqueName="[MAESTRO_LOTES].[Estado]" caption="Estado" attribute="1" defaultMemberUniqueName="[MAESTRO_LOTES].[Estado].[All]" allUniqueName="[MAESTRO_LOTES].[Estado].[All]" dimensionUniqueName="[MAESTRO_LOTES]" displayFolder="" count="2" memberValueDatatype="130" unbalanced="0">
      <fieldsUsage count="2">
        <fieldUsage x="-1"/>
        <fieldUsage x="0"/>
      </fieldsUsage>
    </cacheHierarchy>
    <cacheHierarchy uniqueName="[MAESTRO_LOTES].[Fecha plantación]" caption="Fecha plantación" attribute="1" time="1" defaultMemberUniqueName="[MAESTRO_LOTES].[Fecha plantación].[All]" allUniqueName="[MAESTRO_LOTES].[Fecha plantación].[All]" dimensionUniqueName="[MAESTRO_LOTES]" displayFolder="" count="0" memberValueDatatype="7" unbalanced="0"/>
    <cacheHierarchy uniqueName="[MAESTRO_LOTES].[Edad]" caption="Edad" attribute="1" defaultMemberUniqueName="[MAESTRO_LOTES].[Edad].[All]" allUniqueName="[MAESTRO_LOTES].[Edad].[All]" dimensionUniqueName="[MAESTRO_LOTES]" displayFolder="" count="0" memberValueDatatype="5" unbalanced="0"/>
    <cacheHierarchy uniqueName="[MAESTRO_LOTES].[Tipo Parron]" caption="Tipo Parron" attribute="1" defaultMemberUniqueName="[MAESTRO_LOTES].[Tipo Parron].[All]" allUniqueName="[MAESTRO_LOTES].[Tipo Parron].[All]" dimensionUniqueName="[MAESTRO_LOTES]" displayFolder="" count="2" memberValueDatatype="130" unbalanced="0">
      <fieldsUsage count="2">
        <fieldUsage x="-1"/>
        <fieldUsage x="5"/>
      </fieldsUsage>
    </cacheHierarchy>
    <cacheHierarchy uniqueName="[MAESTRO_LOTES].[Fecha nacimiento]" caption="Fecha nacimiento" attribute="1" time="1" defaultMemberUniqueName="[MAESTRO_LOTES].[Fecha nacimiento].[All]" allUniqueName="[MAESTRO_LOTES].[Fecha nacimiento].[All]" dimensionUniqueName="[MAESTRO_LOTES]" displayFolder="" count="0" memberValueDatatype="7" unbalanced="0"/>
    <cacheHierarchy uniqueName="[MAESTRO_LOTES].[Edad-Sup]" caption="Edad-Sup" attribute="1" defaultMemberUniqueName="[MAESTRO_LOTES].[Edad-Sup].[All]" allUniqueName="[MAESTRO_LOTES].[Edad-Sup].[All]" dimensionUniqueName="[MAESTRO_LOTES]" displayFolder="" count="0" memberValueDatatype="130" unbalanced="0"/>
    <cacheHierarchy uniqueName="[MAESTRO_LOTES].[N° celular]" caption="N° celular" attribute="1" defaultMemberUniqueName="[MAESTRO_LOTES].[N° celular].[All]" allUniqueName="[MAESTRO_LOTES].[N° celular].[All]" dimensionUniqueName="[MAESTRO_LOTES]" displayFolder="" count="0" memberValueDatatype="130" unbalanced="0"/>
    <cacheHierarchy uniqueName="[MAESTRO_LOTES].[Dirección]" caption="Dirección" attribute="1" defaultMemberUniqueName="[MAESTRO_LOTES].[Dirección].[All]" allUniqueName="[MAESTRO_LOTES].[Dirección].[All]" dimensionUniqueName="[MAESTRO_LOTES]" displayFolder="" count="0" memberValueDatatype="130" unbalanced="0"/>
    <cacheHierarchy uniqueName="[MAESTRO_LOTES].[Distrito/CP]" caption="Distrito/CP" attribute="1" defaultMemberUniqueName="[MAESTRO_LOTES].[Distrito/CP].[All]" allUniqueName="[MAESTRO_LOTES].[Distrito/CP].[All]" dimensionUniqueName="[MAESTRO_LOTES]" displayFolder="" count="0" memberValueDatatype="130" unbalanced="0"/>
    <cacheHierarchy uniqueName="[MAESTRO_LOTES].[Nivel Educativo]" caption="Nivel Educativo" attribute="1" defaultMemberUniqueName="[MAESTRO_LOTES].[Nivel Educativo].[All]" allUniqueName="[MAESTRO_LOTES].[Nivel Educativo].[All]" dimensionUniqueName="[MAESTRO_LOTES]" displayFolder="" count="0" memberValueDatatype="130" unbalanced="0"/>
    <cacheHierarchy uniqueName="[MAESTRO_LOTES].[Carrera]" caption="Carrera" attribute="1" defaultMemberUniqueName="[MAESTRO_LOTES].[Carrera].[All]" allUniqueName="[MAESTRO_LOTES].[Carrera].[All]" dimensionUniqueName="[MAESTRO_LOTES]" displayFolder="" count="0" memberValueDatatype="130" unbalanced="0"/>
    <cacheHierarchy uniqueName="[MAESTRO_LOTES].[Supervisor de lote]" caption="Supervisor de lote" attribute="1" defaultMemberUniqueName="[MAESTRO_LOTES].[Supervisor de lote].[All]" allUniqueName="[MAESTRO_LOTES].[Supervisor de lote].[All]" dimensionUniqueName="[MAESTRO_LOTES]" displayFolder="" count="0" memberValueDatatype="130" unbalanced="0"/>
    <cacheHierarchy uniqueName="[MAESTRO_LOTES].[Subgerente]" caption="Subgerente" attribute="1" defaultMemberUniqueName="[MAESTRO_LOTES].[Subgerente].[All]" allUniqueName="[MAESTRO_LOTES].[Subgerente].[All]" dimensionUniqueName="[MAESTRO_LOTES]" displayFolder="" count="0" memberValueDatatype="130" unbalanced="0"/>
    <cacheHierarchy uniqueName="[MAESTRO_LOTES].[Supervisor de sanidad]" caption="Supervisor de sanidad" attribute="1" defaultMemberUniqueName="[MAESTRO_LOTES].[Supervisor de sanidad].[All]" allUniqueName="[MAESTRO_LOTES].[Supervisor de sanidad].[All]" dimensionUniqueName="[MAESTRO_LOTES]" displayFolder="" count="0" memberValueDatatype="130" unbalanced="0"/>
    <cacheHierarchy uniqueName="[MAESTRO_LOTES].[Supervisor de riego]" caption="Supervisor de riego" attribute="1" defaultMemberUniqueName="[MAESTRO_LOTES].[Supervisor de riego].[All]" allUniqueName="[MAESTRO_LOTES].[Supervisor de riego].[All]" dimensionUniqueName="[MAESTRO_LOTES]" displayFolder="" count="0" memberValueDatatype="130" unbalanced="0"/>
    <cacheHierarchy uniqueName="[MAESTRO_LOTES].[Supervisor de control biologico]" caption="Supervisor de control biologico" attribute="1" defaultMemberUniqueName="[MAESTRO_LOTES].[Supervisor de control biologico].[All]" allUniqueName="[MAESTRO_LOTES].[Supervisor de control biologico].[All]" dimensionUniqueName="[MAESTRO_LOTES]" displayFolder="" count="0" memberValueDatatype="130" unbalanced="0"/>
    <cacheHierarchy uniqueName="[MAESTRO_LOTES].[CAMPO]" caption="CAMPO" attribute="1" defaultMemberUniqueName="[MAESTRO_LOTES].[CAMPO].[All]" allUniqueName="[MAESTRO_LOTES].[CAMPO].[All]" dimensionUniqueName="[MAESTRO_LOTES]" displayFolder="" count="0" memberValueDatatype="130" unbalanced="0"/>
    <cacheHierarchy uniqueName="[MAESTRO_LOTES].[LOTE PoC HISPATEC]" caption="LOTE PoC HISPATEC" attribute="1" defaultMemberUniqueName="[MAESTRO_LOTES].[LOTE PoC HISPATEC].[All]" allUniqueName="[MAESTRO_LOTES].[LOTE PoC HISPATEC].[All]" dimensionUniqueName="[MAESTRO_LOTES]" displayFolder="" count="0" memberValueDatatype="130" unbalanced="0"/>
    <cacheHierarchy uniqueName="[MAESTRO_LOTES].[¿Es BLOOM?]" caption="¿Es BLOOM?" attribute="1" defaultMemberUniqueName="[MAESTRO_LOTES].[¿Es BLOOM?].[All]" allUniqueName="[MAESTRO_LOTES].[¿Es BLOOM?].[All]" dimensionUniqueName="[MAESTRO_LOTES]" displayFolder="" count="0" memberValueDatatype="130" unbalanced="0"/>
    <cacheHierarchy uniqueName="[Primera_plantacion].[Campo]" caption="Campo" attribute="1" defaultMemberUniqueName="[Primera_plantacion].[Campo].[All]" allUniqueName="[Primera_plantacion].[Campo].[All]" dimensionUniqueName="[Primera_plantacion]" displayFolder="" count="0" memberValueDatatype="130" unbalanced="0"/>
    <cacheHierarchy uniqueName="[Primera_plantacion].[LOTE]" caption="LOTE" attribute="1" defaultMemberUniqueName="[Primera_plantacion].[LOTE].[All]" allUniqueName="[Primera_plantacion].[LOTE].[All]" dimensionUniqueName="[Primera_plantacion]" displayFolder="" count="0" memberValueDatatype="130" unbalanced="0"/>
    <cacheHierarchy uniqueName="[Primera_plantacion].[1ra plantacion]" caption="1ra plantacion" attribute="1" time="1" defaultMemberUniqueName="[Primera_plantacion].[1ra plantacion].[All]" allUniqueName="[Primera_plantacion].[1ra plantacion].[All]" dimensionUniqueName="[Primera_plantacion]" displayFolder="" count="0" memberValueDatatype="7" unbalanced="0"/>
    <cacheHierarchy uniqueName="[Primera_plantacion].[filtro]" caption="filtro" attribute="1" defaultMemberUniqueName="[Primera_plantacion].[filtro].[All]" allUniqueName="[Primera_plantacion].[filtro].[All]" dimensionUniqueName="[Primera_plantacion]" displayFolder="" count="0" memberValueDatatype="130" unbalanced="0"/>
    <cacheHierarchy uniqueName="[Tabla13].[VARIEDAD]" caption="VARIEDAD" attribute="1" defaultMemberUniqueName="[Tabla13].[VARIEDAD].[All]" allUniqueName="[Tabla13].[VARIEDAD].[All]" dimensionUniqueName="[Tabla13]" displayFolder="" count="0" memberValueDatatype="130" unbalanced="0"/>
    <cacheHierarchy uniqueName="[Tabla13].[LOTE]" caption="LOTE" attribute="1" defaultMemberUniqueName="[Tabla13].[LOTE].[All]" allUniqueName="[Tabla13].[LOTE].[All]" dimensionUniqueName="[Tabla13]" displayFolder="" count="0" memberValueDatatype="130" unbalanced="0"/>
    <cacheHierarchy uniqueName="[Tabla13].[VAR]" caption="VAR" attribute="1" defaultMemberUniqueName="[Tabla13].[VAR].[All]" allUniqueName="[Tabla13].[VAR].[All]" dimensionUniqueName="[Tabla13]" displayFolder="" count="0" memberValueDatatype="130" unbalanced="0"/>
    <cacheHierarchy uniqueName="[Tabla13].[Jefe Campo]" caption="Jefe Campo" attribute="1" defaultMemberUniqueName="[Tabla13].[Jefe Campo].[All]" allUniqueName="[Tabla13].[Jefe Campo].[All]" dimensionUniqueName="[Tabla13]" displayFolder="" count="0" memberValueDatatype="130" unbalanced="0"/>
    <cacheHierarchy uniqueName="[Tabla13].[VAR-LOTE]" caption="VAR-LOTE" attribute="1" defaultMemberUniqueName="[Tabla13].[VAR-LOTE].[All]" allUniqueName="[Tabla13].[VAR-LOTE].[All]" dimensionUniqueName="[Tabla13]" displayFolder="" count="0" memberValueDatatype="130" unbalanced="0"/>
    <cacheHierarchy uniqueName="[Tabla13].[PATRON]" caption="PATRON" attribute="1" defaultMemberUniqueName="[Tabla13].[PATRON].[All]" allUniqueName="[Tabla13].[PATRON].[All]" dimensionUniqueName="[Tabla13]" displayFolder="" count="0" memberValueDatatype="130" unbalanced="0"/>
    <cacheHierarchy uniqueName="[Tabla13].[Casa comercial]" caption="Casa comercial" attribute="1" defaultMemberUniqueName="[Tabla13].[Casa comercial].[All]" allUniqueName="[Tabla13].[Casa comercial].[All]" dimensionUniqueName="[Tabla13]" displayFolder="" count="0" memberValueDatatype="130" unbalanced="0"/>
    <cacheHierarchy uniqueName="[Tabla13].[AÑO]" caption="AÑO" attribute="1" defaultMemberUniqueName="[Tabla13].[AÑO].[All]" allUniqueName="[Tabla13].[AÑO].[All]" dimensionUniqueName="[Tabla13]" displayFolder="" count="0" memberValueDatatype="20" unbalanced="0"/>
    <cacheHierarchy uniqueName="[Tabla13].[Densidades]" caption="Densidades" attribute="1" defaultMemberUniqueName="[Tabla13].[Densidades].[All]" allUniqueName="[Tabla13].[Densidades].[All]" dimensionUniqueName="[Tabla13]" displayFolder="" count="0" memberValueDatatype="5" unbalanced="0"/>
    <cacheHierarchy uniqueName="[Tabla13].[Total Has]" caption="Total Has" attribute="1" defaultMemberUniqueName="[Tabla13].[Total Has].[All]" allUniqueName="[Tabla13].[Total Has].[All]" dimensionUniqueName="[Tabla13]" displayFolder="" count="0" memberValueDatatype="5" unbalanced="0"/>
    <cacheHierarchy uniqueName="[Tabla13].[Has Productivas]" caption="Has Productivas" attribute="1" defaultMemberUniqueName="[Tabla13].[Has Productivas].[All]" allUniqueName="[Tabla13].[Has Productivas].[All]" dimensionUniqueName="[Tabla13]" displayFolder="" count="0" memberValueDatatype="5" unbalanced="0"/>
    <cacheHierarchy uniqueName="[Tabla13].[Has Formación]" caption="Has Formación" attribute="1" defaultMemberUniqueName="[Tabla13].[Has Formación].[All]" allUniqueName="[Tabla13].[Has Formación].[All]" dimensionUniqueName="[Tabla13]" displayFolder="" count="0" memberValueDatatype="5" unbalanced="0"/>
    <cacheHierarchy uniqueName="[Tabla13].[Has Faltantes]" caption="Has Faltantes" attribute="1" defaultMemberUniqueName="[Tabla13].[Has Faltantes].[All]" allUniqueName="[Tabla13].[Has Faltantes].[All]" dimensionUniqueName="[Tabla13]" displayFolder="" count="0" memberValueDatatype="5" unbalanced="0"/>
    <cacheHierarchy uniqueName="[Tabla13].[Total Espacios Censo]" caption="Total Espacios Censo" attribute="1" defaultMemberUniqueName="[Tabla13].[Total Espacios Censo].[All]" allUniqueName="[Tabla13].[Total Espacios Censo].[All]" dimensionUniqueName="[Tabla13]" displayFolder="" count="0" memberValueDatatype="5" unbalanced="0"/>
    <cacheHierarchy uniqueName="[Tabla13].[Pltas. Prod. Censo]" caption="Pltas. Prod. Censo" attribute="1" defaultMemberUniqueName="[Tabla13].[Pltas. Prod. Censo].[All]" allUniqueName="[Tabla13].[Pltas. Prod. Censo].[All]" dimensionUniqueName="[Tabla13]" displayFolder="" count="0" memberValueDatatype="5" unbalanced="0"/>
    <cacheHierarchy uniqueName="[Tabla13].[Pltas Formación Censo]" caption="Pltas Formación Censo" attribute="1" defaultMemberUniqueName="[Tabla13].[Pltas Formación Censo].[All]" allUniqueName="[Tabla13].[Pltas Formación Censo].[All]" dimensionUniqueName="[Tabla13]" displayFolder="" count="0" memberValueDatatype="5" unbalanced="0"/>
    <cacheHierarchy uniqueName="[Tabla13].[Espacios vacíos Censo]" caption="Espacios vacíos Censo" attribute="1" defaultMemberUniqueName="[Tabla13].[Espacios vacíos Censo].[All]" allUniqueName="[Tabla13].[Espacios vacíos Censo].[All]" dimensionUniqueName="[Tabla13]" displayFolder="" count="0" memberValueDatatype="5" unbalanced="0"/>
    <cacheHierarchy uniqueName="[Tabla13].[distancia_planta]" caption="distancia_planta" attribute="1" defaultMemberUniqueName="[Tabla13].[distancia_planta].[All]" allUniqueName="[Tabla13].[distancia_planta].[All]" dimensionUniqueName="[Tabla13]" displayFolder="" count="0" memberValueDatatype="5" unbalanced="0"/>
    <cacheHierarchy uniqueName="[Tabla13].[distancia_calle]" caption="distancia_calle" attribute="1" defaultMemberUniqueName="[Tabla13].[distancia_calle].[All]" allUniqueName="[Tabla13].[distancia_calle].[All]" dimensionUniqueName="[Tabla13]" displayFolder="" count="0" memberValueDatatype="5" unbalanced="0"/>
    <cacheHierarchy uniqueName="[Tabla13].[Estado]" caption="Estado" attribute="1" defaultMemberUniqueName="[Tabla13].[Estado].[All]" allUniqueName="[Tabla13].[Estado].[All]" dimensionUniqueName="[Tabla13]" displayFolder="" count="0" memberValueDatatype="130" unbalanced="0"/>
    <cacheHierarchy uniqueName="[Tabla13].[Fecha plantación]" caption="Fecha plantación" attribute="1" defaultMemberUniqueName="[Tabla13].[Fecha plantación].[All]" allUniqueName="[Tabla13].[Fecha plantación].[All]" dimensionUniqueName="[Tabla13]" displayFolder="" count="0" memberValueDatatype="130" unbalanced="0"/>
    <cacheHierarchy uniqueName="[Tabla13].[Edad]" caption="Edad" attribute="1" defaultMemberUniqueName="[Tabla13].[Edad].[All]" allUniqueName="[Tabla13].[Edad].[All]" dimensionUniqueName="[Tabla13]" displayFolder="" count="0" memberValueDatatype="130" unbalanced="0"/>
    <cacheHierarchy uniqueName="[Tabla13].[Tipo Parron]" caption="Tipo Parron" attribute="1" defaultMemberUniqueName="[Tabla13].[Tipo Parron].[All]" allUniqueName="[Tabla13].[Tipo Parron].[All]" dimensionUniqueName="[Tabla13]" displayFolder="" count="0" memberValueDatatype="130" unbalanced="0"/>
    <cacheHierarchy uniqueName="[Tabla13].[Fecha nacimiento]" caption="Fecha nacimiento" attribute="1" time="1" defaultMemberUniqueName="[Tabla13].[Fecha nacimiento].[All]" allUniqueName="[Tabla13].[Fecha nacimiento].[All]" dimensionUniqueName="[Tabla13]" displayFolder="" count="0" memberValueDatatype="7" unbalanced="0"/>
    <cacheHierarchy uniqueName="[Tabla13].[Edad-Sup]" caption="Edad-Sup" attribute="1" defaultMemberUniqueName="[Tabla13].[Edad-Sup].[All]" allUniqueName="[Tabla13].[Edad-Sup].[All]" dimensionUniqueName="[Tabla13]" displayFolder="" count="0" memberValueDatatype="20" unbalanced="0"/>
    <cacheHierarchy uniqueName="[Tabla13].[N° celular]" caption="N° celular" attribute="1" defaultMemberUniqueName="[Tabla13].[N° celular].[All]" allUniqueName="[Tabla13].[N° celular].[All]" dimensionUniqueName="[Tabla13]" displayFolder="" count="0" memberValueDatatype="20" unbalanced="0"/>
    <cacheHierarchy uniqueName="[Tabla13].[Dirección]" caption="Dirección" attribute="1" defaultMemberUniqueName="[Tabla13].[Dirección].[All]" allUniqueName="[Tabla13].[Dirección].[All]" dimensionUniqueName="[Tabla13]" displayFolder="" count="0" memberValueDatatype="130" unbalanced="0"/>
    <cacheHierarchy uniqueName="[Tabla13].[Nivel Educativo]" caption="Nivel Educativo" attribute="1" defaultMemberUniqueName="[Tabla13].[Nivel Educativo].[All]" allUniqueName="[Tabla13].[Nivel Educativo].[All]" dimensionUniqueName="[Tabla13]" displayFolder="" count="0" memberValueDatatype="130" unbalanced="0"/>
    <cacheHierarchy uniqueName="[Tabla13].[Carrera]" caption="Carrera" attribute="1" defaultMemberUniqueName="[Tabla13].[Carrera].[All]" allUniqueName="[Tabla13].[Carrera].[All]" dimensionUniqueName="[Tabla13]" displayFolder="" count="0" memberValueDatatype="130" unbalanced="0"/>
    <cacheHierarchy uniqueName="[Tabla13].[Supervisor de lote]" caption="Supervisor de lote" attribute="1" defaultMemberUniqueName="[Tabla13].[Supervisor de lote].[All]" allUniqueName="[Tabla13].[Supervisor de lote].[All]" dimensionUniqueName="[Tabla13]" displayFolder="" count="0" memberValueDatatype="130" unbalanced="0"/>
    <cacheHierarchy uniqueName="[Tabla13].[Subgerente]" caption="Subgerente" attribute="1" defaultMemberUniqueName="[Tabla13].[Subgerente].[All]" allUniqueName="[Tabla13].[Subgerente].[All]" dimensionUniqueName="[Tabla13]" displayFolder="" count="0" memberValueDatatype="130" unbalanced="0"/>
    <cacheHierarchy uniqueName="[Measures].[Plantas_prod]" caption="Plantas_prod" measure="1" displayFolder="" measureGroup="Datos_valvulas" count="0"/>
    <cacheHierarchy uniqueName="[Measures].[Plantas_formacion]" caption="Plantas_formacion" measure="1" displayFolder="" measureGroup="Datos_valvulas" count="0"/>
    <cacheHierarchy uniqueName="[Measures].[E_Vacios]" caption="E_Vacios" measure="1" displayFolder="" measureGroup="Datos_valvulas" count="0"/>
    <cacheHierarchy uniqueName="[Measures].[Total_plantas]" caption="Total_plantas" measure="1" displayFolder="" measureGroup="Datos_valvulas" count="0"/>
    <cacheHierarchy uniqueName="[Measures].[Has_prod_valv]" caption="Has_prod_valv" measure="1" displayFolder="" measureGroup="Datos_valvulas" count="0"/>
    <cacheHierarchy uniqueName="[Measures].[Has_form_valv]" caption="Has_form_valv" measure="1" displayFolder="" measureGroup="Datos_valvulas" count="0"/>
    <cacheHierarchy uniqueName="[Measures].[Has_vacias_valv]" caption="Has_vacias_valv" measure="1" displayFolder="" measureGroup="Datos_valvulas" count="0"/>
    <cacheHierarchy uniqueName="[Measures].[Has_Total_valv]" caption="Has_Total_valv" measure="1" displayFolder="" measureGroup="Datos_valvulas" count="0"/>
    <cacheHierarchy uniqueName="[Measures].[Fecha_inicio]" caption="Fecha_inicio" measure="1" displayFolder="" measureGroup="gantt_diario" count="0"/>
    <cacheHierarchy uniqueName="[Measures].[Fecha_fin]" caption="Fecha_fin" measure="1" displayFolder="" measureGroup="gantt_diario" count="0"/>
    <cacheHierarchy uniqueName="[Measures].[Años_1ra_plant]" caption="Años_1ra_plant" measure="1" displayFolder="" measureGroup="Primera_plantacion" count="0"/>
    <cacheHierarchy uniqueName="[Measures].[Has_prod]" caption="Has_prod" measure="1" displayFolder="" measureGroup="MAESTRO_LOTES" count="0"/>
    <cacheHierarchy uniqueName="[Measures].[Has_totales]" caption="Has_totales" measure="1" displayFolder="" measureGroup="MAESTRO_LOTES" count="0" oneField="1">
      <fieldsUsage count="1">
        <fieldUsage x="3"/>
      </fieldsUsage>
    </cacheHierarchy>
    <cacheHierarchy uniqueName="[Measures].[Has_form]" caption="Has_form" measure="1" displayFolder="" measureGroup="MAESTRO_LOTES" count="0"/>
    <cacheHierarchy uniqueName="[Measures].[Has_faltantes]" caption="Has_faltantes" measure="1" displayFolder="" measureGroup="MAESTRO_LOTES" count="0"/>
    <cacheHierarchy uniqueName="[Measures].[__XL_Count Datos_valvulas]" caption="__XL_Count Datos_valvulas" measure="1" displayFolder="" measureGroup="Datos_valvulas" count="0" hidden="1"/>
    <cacheHierarchy uniqueName="[Measures].[__XL_Count gantt_diario]" caption="__XL_Count gantt_diario" measure="1" displayFolder="" measureGroup="gantt_diario" count="0" hidden="1"/>
    <cacheHierarchy uniqueName="[Measures].[__XL_Count Primera_plantacion]" caption="__XL_Count Primera_plantacion" measure="1" displayFolder="" measureGroup="Primera_plantacion" count="0" hidden="1"/>
    <cacheHierarchy uniqueName="[Measures].[__XL_Count CAMPOS]" caption="__XL_Count CAMPOS" measure="1" displayFolder="" measureGroup="CAMPOS" count="0" hidden="1"/>
    <cacheHierarchy uniqueName="[Measures].[__XL_Count MAESTRO_LOTES]" caption="__XL_Count MAESTRO_LOTES" measure="1" displayFolder="" measureGroup="MAESTRO_LOTES" count="0" hidden="1"/>
    <cacheHierarchy uniqueName="[Measures].[__XL_Count Tabla13]" caption="__XL_Count Tabla13" measure="1" displayFolder="" measureGroup="Tabla13" count="0" hidden="1"/>
    <cacheHierarchy uniqueName="[Measures].[__No measures defined]" caption="__No measures defined" measure="1" displayFolder="" count="0" hidden="1"/>
    <cacheHierarchy uniqueName="[Measures].[Recuento de 1ra plantacion]" caption="Recuento de 1ra plantacion" measure="1" displayFolder="" measureGroup="Primera_plantacion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a de Has Productivas]" caption="Suma de Has Productivas" measure="1" displayFolder="" measureGroup="MAESTRO_LOTES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Suma de Total Has]" caption="Suma de Total Has" measure="1" displayFolder="" measureGroup="MAESTRO_LOTES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a de Has Formación]" caption="Suma de Has Formación" measure="1" displayFolder="" measureGroup="Tabla13" count="0" hidden="1">
      <extLst>
        <ext xmlns:x15="http://schemas.microsoft.com/office/spreadsheetml/2010/11/main" uri="{B97F6D7D-B522-45F9-BDA1-12C45D357490}">
          <x15:cacheHierarchy aggregatedColumn="69"/>
        </ext>
      </extLst>
    </cacheHierarchy>
    <cacheHierarchy uniqueName="[Measures].[Suma de Has Formación 2]" caption="Suma de Has Formación 2" measure="1" displayFolder="" measureGroup="MAESTRO_LOTES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a de Densidades]" caption="Suma de Densidades" measure="1" displayFolder="" measureGroup="MAESTRO_LOTES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Promedio de Densidades]" caption="Promedio de Densidades" measure="1" displayFolder="" measureGroup="MAESTRO_LOTES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Recuento de Fecha plantación]" caption="Recuento de Fecha plantación" measure="1" displayFolder="" measureGroup="MAESTRO_LOTES" count="0" hidden="1">
      <extLst>
        <ext xmlns:x15="http://schemas.microsoft.com/office/spreadsheetml/2010/11/main" uri="{B97F6D7D-B522-45F9-BDA1-12C45D357490}">
          <x15:cacheHierarchy aggregatedColumn="36"/>
        </ext>
      </extLst>
    </cacheHierarchy>
  </cacheHierarchies>
  <kpis count="0"/>
  <dimensions count="7">
    <dimension name="CAMPOS" uniqueName="[CAMPOS]" caption="CAMPOS"/>
    <dimension name="Datos_valvulas" uniqueName="[Datos_valvulas]" caption="Datos_valvulas"/>
    <dimension name="gantt_diario" uniqueName="[gantt_diario]" caption="gantt_diario"/>
    <dimension name="MAESTRO_LOTES" uniqueName="[MAESTRO_LOTES]" caption="MAESTRO_LOTES"/>
    <dimension measure="1" name="Measures" uniqueName="[Measures]" caption="Measures"/>
    <dimension name="Primera_plantacion" uniqueName="[Primera_plantacion]" caption="Primera_plantacion"/>
    <dimension name="Tabla13" uniqueName="[Tabla13]" caption="Tabla13"/>
  </dimensions>
  <measureGroups count="6">
    <measureGroup name="CAMPOS" caption="CAMPOS"/>
    <measureGroup name="Datos_valvulas" caption="Datos_valvulas"/>
    <measureGroup name="gantt_diario" caption="gantt_diario"/>
    <measureGroup name="MAESTRO_LOTES" caption="MAESTRO_LOTES"/>
    <measureGroup name="Primera_plantacion" caption="Primera_plantacion"/>
    <measureGroup name="Tabla13" caption="Tabla13"/>
  </measureGroups>
  <maps count="7">
    <map measureGroup="0" dimension="0"/>
    <map measureGroup="1" dimension="1"/>
    <map measureGroup="2" dimension="2"/>
    <map measureGroup="3" dimension="3"/>
    <map measureGroup="4" dimension="0"/>
    <map measureGroup="4" dimension="5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Pedregal" refreshedDate="46139.426143287033" createdVersion="5" refreshedVersion="8" minRefreshableVersion="3" recordCount="0" supportSubquery="1" supportAdvancedDrill="1" xr:uid="{00000000-000A-0000-FFFF-FFFF7A010000}">
  <cacheSource type="external" connectionId="6"/>
  <cacheFields count="7">
    <cacheField name="[MAESTRO_LOTES].[Estado].[Estado]" caption="Estado" numFmtId="0" hierarchy="35" level="1">
      <sharedItems count="1">
        <s v="Habilitación 2026"/>
      </sharedItems>
    </cacheField>
    <cacheField name="[MAESTRO_LOTES].[VARIEDAD].[VARIEDAD]" caption="VARIEDAD" numFmtId="0" hierarchy="15" level="1">
      <sharedItems count="4">
        <s v="AUTUMN CRISP"/>
        <s v="COTTON CANDY"/>
        <s v="TIMPSON" u="1"/>
        <s v="JACK'S SALUTE" u="1"/>
      </sharedItems>
    </cacheField>
    <cacheField name="[MAESTRO_LOTES].[LOTE].[LOTE]" caption="LOTE" numFmtId="0" hierarchy="16" level="1">
      <sharedItems count="7">
        <s v="H15"/>
        <s v="F12"/>
        <s v="I12"/>
        <s v="I13"/>
        <s v="H09"/>
        <s v="H10"/>
        <s v="H11"/>
      </sharedItems>
    </cacheField>
    <cacheField name="[Measures].[Has_totales]" caption="Has_totales" numFmtId="0" hierarchy="101" level="32767"/>
    <cacheField name="[Measures].[Suma de Has Formación 2]" caption="Suma de Has Formación 2" numFmtId="0" hierarchy="115" level="32767"/>
    <cacheField name="[MAESTRO_LOTES].[Tipo Parron].[Tipo Parron]" caption="Tipo Parron" numFmtId="0" hierarchy="38" level="1">
      <sharedItems count="2">
        <s v="Open Gable Flat"/>
        <s v="Español"/>
      </sharedItems>
    </cacheField>
    <cacheField name="[MAESTRO_LOTES].[Jefe Campo].[Jefe Campo]" caption="Jefe Campo" numFmtId="0" hierarchy="19" level="1">
      <sharedItems count="2">
        <s v="Pedro Peralta"/>
        <s v="Ruth Chiroque"/>
      </sharedItems>
    </cacheField>
  </cacheFields>
  <cacheHierarchies count="119">
    <cacheHierarchy uniqueName="[CAMPOS].[Campos]" caption="Campos" attribute="1" defaultMemberUniqueName="[CAMPOS].[Campos].[All]" allUniqueName="[CAMPOS].[Campos].[All]" dimensionUniqueName="[CAMPOS]" displayFolder="" count="0" memberValueDatatype="130" unbalanced="0"/>
    <cacheHierarchy uniqueName="[CAMPOS].[Tipo cultivo]" caption="Tipo cultivo" attribute="1" defaultMemberUniqueName="[CAMPOS].[Tipo cultivo].[All]" allUniqueName="[CAMPOS].[Tipo cultivo].[All]" dimensionUniqueName="[CAMPOS]" displayFolder="" count="0" memberValueDatatype="130" unbalanced="0"/>
    <cacheHierarchy uniqueName="[CAMPOS].[Periodo siembra-cosecha]" caption="Periodo siembra-cosecha" attribute="1" defaultMemberUniqueName="[CAMPOS].[Periodo siembra-cosecha].[All]" allUniqueName="[CAMPOS].[Periodo siembra-cosecha].[All]" dimensionUniqueName="[CAMPOS]" displayFolder="" count="0" memberValueDatatype="130" unbalanced="0"/>
    <cacheHierarchy uniqueName="[Datos_valvulas].[VAR]" caption="VAR" attribute="1" defaultMemberUniqueName="[Datos_valvulas].[VAR].[All]" allUniqueName="[Datos_valvulas].[VAR].[All]" dimensionUniqueName="[Datos_valvulas]" displayFolder="" count="0" memberValueDatatype="130" unbalanced="0"/>
    <cacheHierarchy uniqueName="[Datos_valvulas].[Lote]" caption="Lote" attribute="1" defaultMemberUniqueName="[Datos_valvulas].[Lote].[All]" allUniqueName="[Datos_valvulas].[Lote].[All]" dimensionUniqueName="[Datos_valvulas]" displayFolder="" count="0" memberValueDatatype="130" unbalanced="0"/>
    <cacheHierarchy uniqueName="[Datos_valvulas].[Tipo de planta]" caption="Tipo de planta" attribute="1" defaultMemberUniqueName="[Datos_valvulas].[Tipo de planta].[All]" allUniqueName="[Datos_valvulas].[Tipo de planta].[All]" dimensionUniqueName="[Datos_valvulas]" displayFolder="" count="0" memberValueDatatype="130" unbalanced="0"/>
    <cacheHierarchy uniqueName="[Datos_valvulas].[Valvulas]" caption="Valvulas" attribute="1" defaultMemberUniqueName="[Datos_valvulas].[Valvulas].[All]" allUniqueName="[Datos_valvulas].[Valvulas].[All]" dimensionUniqueName="[Datos_valvulas]" displayFolder="" count="0" memberValueDatatype="130" unbalanced="0"/>
    <cacheHierarchy uniqueName="[Datos_valvulas].[Plantas]" caption="Plantas" attribute="1" defaultMemberUniqueName="[Datos_valvulas].[Plantas].[All]" allUniqueName="[Datos_valvulas].[Plantas].[All]" dimensionUniqueName="[Datos_valvulas]" displayFolder="" count="0" memberValueDatatype="20" unbalanced="0"/>
    <cacheHierarchy uniqueName="[Datos_valvulas].[Densidad]" caption="Densidad" attribute="1" defaultMemberUniqueName="[Datos_valvulas].[Densidad].[All]" allUniqueName="[Datos_valvulas].[Densidad].[All]" dimensionUniqueName="[Datos_valvulas]" displayFolder="" count="0" memberValueDatatype="5" unbalanced="0"/>
    <cacheHierarchy uniqueName="[Datos_valvulas].[VARIEDAD]" caption="VARIEDAD" attribute="1" defaultMemberUniqueName="[Datos_valvulas].[VARIEDAD].[All]" allUniqueName="[Datos_valvulas].[VARIEDAD].[All]" dimensionUniqueName="[Datos_valvulas]" displayFolder="" count="0" memberValueDatatype="130" unbalanced="0"/>
    <cacheHierarchy uniqueName="[gantt_diario].[Lote]" caption="Lote" attribute="1" defaultMemberUniqueName="[gantt_diario].[Lote].[All]" allUniqueName="[gantt_diario].[Lote].[All]" dimensionUniqueName="[gantt_diario]" displayFolder="" count="0" memberValueDatatype="130" unbalanced="0"/>
    <cacheHierarchy uniqueName="[gantt_diario].[VARIEDAD]" caption="VARIEDAD" attribute="1" defaultMemberUniqueName="[gantt_diario].[VARIEDAD].[All]" allUniqueName="[gantt_diario].[VARIEDAD].[All]" dimensionUniqueName="[gantt_diario]" displayFolder="" count="0" memberValueDatatype="130" unbalanced="0"/>
    <cacheHierarchy uniqueName="[gantt_diario].[Fecha]" caption="Fecha" attribute="1" time="1" defaultMemberUniqueName="[gantt_diario].[Fecha].[All]" allUniqueName="[gantt_diario].[Fecha].[All]" dimensionUniqueName="[gantt_diario]" displayFolder="" count="0" memberValueDatatype="7" unbalanced="0"/>
    <cacheHierarchy uniqueName="[gantt_diario].[Cajas]" caption="Cajas" attribute="1" defaultMemberUniqueName="[gantt_diario].[Cajas].[All]" allUniqueName="[gantt_diario].[Cajas].[All]" dimensionUniqueName="[gantt_diario]" displayFolder="" count="0" memberValueDatatype="5" unbalanced="0"/>
    <cacheHierarchy uniqueName="[MAESTRO_LOTES].[PEP]" caption="PEP" attribute="1" defaultMemberUniqueName="[MAESTRO_LOTES].[PEP].[All]" allUniqueName="[MAESTRO_LOTES].[PEP].[All]" dimensionUniqueName="[MAESTRO_LOTES]" displayFolder="" count="0" memberValueDatatype="130" unbalanced="0"/>
    <cacheHierarchy uniqueName="[MAESTRO_LOTES].[VARIEDAD]" caption="VARIEDAD" attribute="1" defaultMemberUniqueName="[MAESTRO_LOTES].[VARIEDAD].[All]" allUniqueName="[MAESTRO_LOTES].[VARIEDAD].[All]" dimensionUniqueName="[MAESTRO_LOTES]" displayFolder="" count="2" memberValueDatatype="130" unbalanced="0">
      <fieldsUsage count="2">
        <fieldUsage x="-1"/>
        <fieldUsage x="1"/>
      </fieldsUsage>
    </cacheHierarchy>
    <cacheHierarchy uniqueName="[MAESTRO_LOTES].[LOTE]" caption="LOTE" attribute="1" defaultMemberUniqueName="[MAESTRO_LOTES].[LOTE].[All]" allUniqueName="[MAESTRO_LOTES].[LOTE].[All]" dimensionUniqueName="[MAESTRO_LOTES]" displayFolder="" count="2" memberValueDatatype="130" unbalanced="0">
      <fieldsUsage count="2">
        <fieldUsage x="-1"/>
        <fieldUsage x="2"/>
      </fieldsUsage>
    </cacheHierarchy>
    <cacheHierarchy uniqueName="[MAESTRO_LOTES].[VAR]" caption="VAR" attribute="1" defaultMemberUniqueName="[MAESTRO_LOTES].[VAR].[All]" allUniqueName="[MAESTRO_LOTES].[VAR].[All]" dimensionUniqueName="[MAESTRO_LOTES]" displayFolder="" count="0" memberValueDatatype="130" unbalanced="0"/>
    <cacheHierarchy uniqueName="[MAESTRO_LOTES].[FUNDO]" caption="FUNDO" attribute="1" defaultMemberUniqueName="[MAESTRO_LOTES].[FUNDO].[All]" allUniqueName="[MAESTRO_LOTES].[FUNDO].[All]" dimensionUniqueName="[MAESTRO_LOTES]" displayFolder="" count="0" memberValueDatatype="130" unbalanced="0"/>
    <cacheHierarchy uniqueName="[MAESTRO_LOTES].[Jefe Campo]" caption="Jefe Campo" attribute="1" defaultMemberUniqueName="[MAESTRO_LOTES].[Jefe Campo].[All]" allUniqueName="[MAESTRO_LOTES].[Jefe Campo].[All]" dimensionUniqueName="[MAESTRO_LOTES]" displayFolder="" count="2" memberValueDatatype="130" unbalanced="0">
      <fieldsUsage count="2">
        <fieldUsage x="-1"/>
        <fieldUsage x="6"/>
      </fieldsUsage>
    </cacheHierarchy>
    <cacheHierarchy uniqueName="[MAESTRO_LOTES].[VAR-LOTE]" caption="VAR-LOTE" attribute="1" defaultMemberUniqueName="[MAESTRO_LOTES].[VAR-LOTE].[All]" allUniqueName="[MAESTRO_LOTES].[VAR-LOTE].[All]" dimensionUniqueName="[MAESTRO_LOTES]" displayFolder="" count="0" memberValueDatatype="130" unbalanced="0"/>
    <cacheHierarchy uniqueName="[MAESTRO_LOTES].[PATRON]" caption="PATRON" attribute="1" defaultMemberUniqueName="[MAESTRO_LOTES].[PATRON].[All]" allUniqueName="[MAESTRO_LOTES].[PATRON].[All]" dimensionUniqueName="[MAESTRO_LOTES]" displayFolder="" count="0" memberValueDatatype="130" unbalanced="0"/>
    <cacheHierarchy uniqueName="[MAESTRO_LOTES].[Casa comercial]" caption="Casa comercial" attribute="1" defaultMemberUniqueName="[MAESTRO_LOTES].[Casa comercial].[All]" allUniqueName="[MAESTRO_LOTES].[Casa comercial].[All]" dimensionUniqueName="[MAESTRO_LOTES]" displayFolder="" count="0" memberValueDatatype="130" unbalanced="0"/>
    <cacheHierarchy uniqueName="[MAESTRO_LOTES].[AÑO]" caption="AÑO" attribute="1" defaultMemberUniqueName="[MAESTRO_LOTES].[AÑO].[All]" allUniqueName="[MAESTRO_LOTES].[AÑO].[All]" dimensionUniqueName="[MAESTRO_LOTES]" displayFolder="" count="0" memberValueDatatype="20" unbalanced="0"/>
    <cacheHierarchy uniqueName="[MAESTRO_LOTES].[Densidades]" caption="Densidades" attribute="1" defaultMemberUniqueName="[MAESTRO_LOTES].[Densidades].[All]" allUniqueName="[MAESTRO_LOTES].[Densidades].[All]" dimensionUniqueName="[MAESTRO_LOTES]" displayFolder="" count="0" memberValueDatatype="5" unbalanced="0"/>
    <cacheHierarchy uniqueName="[MAESTRO_LOTES].[Total Has]" caption="Total Has" attribute="1" defaultMemberUniqueName="[MAESTRO_LOTES].[Total Has].[All]" allUniqueName="[MAESTRO_LOTES].[Total Has].[All]" dimensionUniqueName="[MAESTRO_LOTES]" displayFolder="" count="0" memberValueDatatype="5" unbalanced="0"/>
    <cacheHierarchy uniqueName="[MAESTRO_LOTES].[Has Productivas]" caption="Has Productivas" attribute="1" defaultMemberUniqueName="[MAESTRO_LOTES].[Has Productivas].[All]" allUniqueName="[MAESTRO_LOTES].[Has Productivas].[All]" dimensionUniqueName="[MAESTRO_LOTES]" displayFolder="" count="0" memberValueDatatype="5" unbalanced="0"/>
    <cacheHierarchy uniqueName="[MAESTRO_LOTES].[Has Formación]" caption="Has Formación" attribute="1" defaultMemberUniqueName="[MAESTRO_LOTES].[Has Formación].[All]" allUniqueName="[MAESTRO_LOTES].[Has Formación].[All]" dimensionUniqueName="[MAESTRO_LOTES]" displayFolder="" count="0" memberValueDatatype="5" unbalanced="0"/>
    <cacheHierarchy uniqueName="[MAESTRO_LOTES].[Has Faltantes]" caption="Has Faltantes" attribute="1" defaultMemberUniqueName="[MAESTRO_LOTES].[Has Faltantes].[All]" allUniqueName="[MAESTRO_LOTES].[Has Faltantes].[All]" dimensionUniqueName="[MAESTRO_LOTES]" displayFolder="" count="0" memberValueDatatype="5" unbalanced="0"/>
    <cacheHierarchy uniqueName="[MAESTRO_LOTES].[Total Espacios]" caption="Total Espacios" attribute="1" defaultMemberUniqueName="[MAESTRO_LOTES].[Total Espacios].[All]" allUniqueName="[MAESTRO_LOTES].[Total Espacios].[All]" dimensionUniqueName="[MAESTRO_LOTES]" displayFolder="" count="0" memberValueDatatype="5" unbalanced="0"/>
    <cacheHierarchy uniqueName="[MAESTRO_LOTES].[Pltas. Prod.]" caption="Pltas. Prod." attribute="1" defaultMemberUniqueName="[MAESTRO_LOTES].[Pltas. Prod.].[All]" allUniqueName="[MAESTRO_LOTES].[Pltas. Prod.].[All]" dimensionUniqueName="[MAESTRO_LOTES]" displayFolder="" count="0" memberValueDatatype="5" unbalanced="0"/>
    <cacheHierarchy uniqueName="[MAESTRO_LOTES].[Pltas Formación]" caption="Pltas Formación" attribute="1" defaultMemberUniqueName="[MAESTRO_LOTES].[Pltas Formación].[All]" allUniqueName="[MAESTRO_LOTES].[Pltas Formación].[All]" dimensionUniqueName="[MAESTRO_LOTES]" displayFolder="" count="0" memberValueDatatype="5" unbalanced="0"/>
    <cacheHierarchy uniqueName="[MAESTRO_LOTES].[Espacios vacíos]" caption="Espacios vacíos" attribute="1" defaultMemberUniqueName="[MAESTRO_LOTES].[Espacios vacíos].[All]" allUniqueName="[MAESTRO_LOTES].[Espacios vacíos].[All]" dimensionUniqueName="[MAESTRO_LOTES]" displayFolder="" count="0" memberValueDatatype="5" unbalanced="0"/>
    <cacheHierarchy uniqueName="[MAESTRO_LOTES].[distancia_planta]" caption="distancia_planta" attribute="1" defaultMemberUniqueName="[MAESTRO_LOTES].[distancia_planta].[All]" allUniqueName="[MAESTRO_LOTES].[distancia_planta].[All]" dimensionUniqueName="[MAESTRO_LOTES]" displayFolder="" count="0" memberValueDatatype="5" unbalanced="0"/>
    <cacheHierarchy uniqueName="[MAESTRO_LOTES].[distancia_calle]" caption="distancia_calle" attribute="1" defaultMemberUniqueName="[MAESTRO_LOTES].[distancia_calle].[All]" allUniqueName="[MAESTRO_LOTES].[distancia_calle].[All]" dimensionUniqueName="[MAESTRO_LOTES]" displayFolder="" count="0" memberValueDatatype="5" unbalanced="0"/>
    <cacheHierarchy uniqueName="[MAESTRO_LOTES].[Estado]" caption="Estado" attribute="1" defaultMemberUniqueName="[MAESTRO_LOTES].[Estado].[All]" allUniqueName="[MAESTRO_LOTES].[Estado].[All]" dimensionUniqueName="[MAESTRO_LOTES]" displayFolder="" count="2" memberValueDatatype="130" unbalanced="0">
      <fieldsUsage count="2">
        <fieldUsage x="-1"/>
        <fieldUsage x="0"/>
      </fieldsUsage>
    </cacheHierarchy>
    <cacheHierarchy uniqueName="[MAESTRO_LOTES].[Fecha plantación]" caption="Fecha plantación" attribute="1" time="1" defaultMemberUniqueName="[MAESTRO_LOTES].[Fecha plantación].[All]" allUniqueName="[MAESTRO_LOTES].[Fecha plantación].[All]" dimensionUniqueName="[MAESTRO_LOTES]" displayFolder="" count="0" memberValueDatatype="7" unbalanced="0"/>
    <cacheHierarchy uniqueName="[MAESTRO_LOTES].[Edad]" caption="Edad" attribute="1" defaultMemberUniqueName="[MAESTRO_LOTES].[Edad].[All]" allUniqueName="[MAESTRO_LOTES].[Edad].[All]" dimensionUniqueName="[MAESTRO_LOTES]" displayFolder="" count="0" memberValueDatatype="5" unbalanced="0"/>
    <cacheHierarchy uniqueName="[MAESTRO_LOTES].[Tipo Parron]" caption="Tipo Parron" attribute="1" defaultMemberUniqueName="[MAESTRO_LOTES].[Tipo Parron].[All]" allUniqueName="[MAESTRO_LOTES].[Tipo Parron].[All]" dimensionUniqueName="[MAESTRO_LOTES]" displayFolder="" count="2" memberValueDatatype="130" unbalanced="0">
      <fieldsUsage count="2">
        <fieldUsage x="-1"/>
        <fieldUsage x="5"/>
      </fieldsUsage>
    </cacheHierarchy>
    <cacheHierarchy uniqueName="[MAESTRO_LOTES].[Fecha nacimiento]" caption="Fecha nacimiento" attribute="1" time="1" defaultMemberUniqueName="[MAESTRO_LOTES].[Fecha nacimiento].[All]" allUniqueName="[MAESTRO_LOTES].[Fecha nacimiento].[All]" dimensionUniqueName="[MAESTRO_LOTES]" displayFolder="" count="0" memberValueDatatype="7" unbalanced="0"/>
    <cacheHierarchy uniqueName="[MAESTRO_LOTES].[Edad-Sup]" caption="Edad-Sup" attribute="1" defaultMemberUniqueName="[MAESTRO_LOTES].[Edad-Sup].[All]" allUniqueName="[MAESTRO_LOTES].[Edad-Sup].[All]" dimensionUniqueName="[MAESTRO_LOTES]" displayFolder="" count="0" memberValueDatatype="130" unbalanced="0"/>
    <cacheHierarchy uniqueName="[MAESTRO_LOTES].[N° celular]" caption="N° celular" attribute="1" defaultMemberUniqueName="[MAESTRO_LOTES].[N° celular].[All]" allUniqueName="[MAESTRO_LOTES].[N° celular].[All]" dimensionUniqueName="[MAESTRO_LOTES]" displayFolder="" count="0" memberValueDatatype="130" unbalanced="0"/>
    <cacheHierarchy uniqueName="[MAESTRO_LOTES].[Dirección]" caption="Dirección" attribute="1" defaultMemberUniqueName="[MAESTRO_LOTES].[Dirección].[All]" allUniqueName="[MAESTRO_LOTES].[Dirección].[All]" dimensionUniqueName="[MAESTRO_LOTES]" displayFolder="" count="0" memberValueDatatype="130" unbalanced="0"/>
    <cacheHierarchy uniqueName="[MAESTRO_LOTES].[Distrito/CP]" caption="Distrito/CP" attribute="1" defaultMemberUniqueName="[MAESTRO_LOTES].[Distrito/CP].[All]" allUniqueName="[MAESTRO_LOTES].[Distrito/CP].[All]" dimensionUniqueName="[MAESTRO_LOTES]" displayFolder="" count="0" memberValueDatatype="130" unbalanced="0"/>
    <cacheHierarchy uniqueName="[MAESTRO_LOTES].[Nivel Educativo]" caption="Nivel Educativo" attribute="1" defaultMemberUniqueName="[MAESTRO_LOTES].[Nivel Educativo].[All]" allUniqueName="[MAESTRO_LOTES].[Nivel Educativo].[All]" dimensionUniqueName="[MAESTRO_LOTES]" displayFolder="" count="0" memberValueDatatype="130" unbalanced="0"/>
    <cacheHierarchy uniqueName="[MAESTRO_LOTES].[Carrera]" caption="Carrera" attribute="1" defaultMemberUniqueName="[MAESTRO_LOTES].[Carrera].[All]" allUniqueName="[MAESTRO_LOTES].[Carrera].[All]" dimensionUniqueName="[MAESTRO_LOTES]" displayFolder="" count="0" memberValueDatatype="130" unbalanced="0"/>
    <cacheHierarchy uniqueName="[MAESTRO_LOTES].[Supervisor de lote]" caption="Supervisor de lote" attribute="1" defaultMemberUniqueName="[MAESTRO_LOTES].[Supervisor de lote].[All]" allUniqueName="[MAESTRO_LOTES].[Supervisor de lote].[All]" dimensionUniqueName="[MAESTRO_LOTES]" displayFolder="" count="0" memberValueDatatype="130" unbalanced="0"/>
    <cacheHierarchy uniqueName="[MAESTRO_LOTES].[Subgerente]" caption="Subgerente" attribute="1" defaultMemberUniqueName="[MAESTRO_LOTES].[Subgerente].[All]" allUniqueName="[MAESTRO_LOTES].[Subgerente].[All]" dimensionUniqueName="[MAESTRO_LOTES]" displayFolder="" count="0" memberValueDatatype="130" unbalanced="0"/>
    <cacheHierarchy uniqueName="[MAESTRO_LOTES].[Supervisor de sanidad]" caption="Supervisor de sanidad" attribute="1" defaultMemberUniqueName="[MAESTRO_LOTES].[Supervisor de sanidad].[All]" allUniqueName="[MAESTRO_LOTES].[Supervisor de sanidad].[All]" dimensionUniqueName="[MAESTRO_LOTES]" displayFolder="" count="0" memberValueDatatype="130" unbalanced="0"/>
    <cacheHierarchy uniqueName="[MAESTRO_LOTES].[Supervisor de riego]" caption="Supervisor de riego" attribute="1" defaultMemberUniqueName="[MAESTRO_LOTES].[Supervisor de riego].[All]" allUniqueName="[MAESTRO_LOTES].[Supervisor de riego].[All]" dimensionUniqueName="[MAESTRO_LOTES]" displayFolder="" count="0" memberValueDatatype="130" unbalanced="0"/>
    <cacheHierarchy uniqueName="[MAESTRO_LOTES].[Supervisor de control biologico]" caption="Supervisor de control biologico" attribute="1" defaultMemberUniqueName="[MAESTRO_LOTES].[Supervisor de control biologico].[All]" allUniqueName="[MAESTRO_LOTES].[Supervisor de control biologico].[All]" dimensionUniqueName="[MAESTRO_LOTES]" displayFolder="" count="0" memberValueDatatype="130" unbalanced="0"/>
    <cacheHierarchy uniqueName="[MAESTRO_LOTES].[CAMPO]" caption="CAMPO" attribute="1" defaultMemberUniqueName="[MAESTRO_LOTES].[CAMPO].[All]" allUniqueName="[MAESTRO_LOTES].[CAMPO].[All]" dimensionUniqueName="[MAESTRO_LOTES]" displayFolder="" count="0" memberValueDatatype="130" unbalanced="0"/>
    <cacheHierarchy uniqueName="[MAESTRO_LOTES].[LOTE PoC HISPATEC]" caption="LOTE PoC HISPATEC" attribute="1" defaultMemberUniqueName="[MAESTRO_LOTES].[LOTE PoC HISPATEC].[All]" allUniqueName="[MAESTRO_LOTES].[LOTE PoC HISPATEC].[All]" dimensionUniqueName="[MAESTRO_LOTES]" displayFolder="" count="0" memberValueDatatype="130" unbalanced="0"/>
    <cacheHierarchy uniqueName="[MAESTRO_LOTES].[¿Es BLOOM?]" caption="¿Es BLOOM?" attribute="1" defaultMemberUniqueName="[MAESTRO_LOTES].[¿Es BLOOM?].[All]" allUniqueName="[MAESTRO_LOTES].[¿Es BLOOM?].[All]" dimensionUniqueName="[MAESTRO_LOTES]" displayFolder="" count="0" memberValueDatatype="130" unbalanced="0"/>
    <cacheHierarchy uniqueName="[Primera_plantacion].[Campo]" caption="Campo" attribute="1" defaultMemberUniqueName="[Primera_plantacion].[Campo].[All]" allUniqueName="[Primera_plantacion].[Campo].[All]" dimensionUniqueName="[Primera_plantacion]" displayFolder="" count="0" memberValueDatatype="130" unbalanced="0"/>
    <cacheHierarchy uniqueName="[Primera_plantacion].[LOTE]" caption="LOTE" attribute="1" defaultMemberUniqueName="[Primera_plantacion].[LOTE].[All]" allUniqueName="[Primera_plantacion].[LOTE].[All]" dimensionUniqueName="[Primera_plantacion]" displayFolder="" count="0" memberValueDatatype="130" unbalanced="0"/>
    <cacheHierarchy uniqueName="[Primera_plantacion].[1ra plantacion]" caption="1ra plantacion" attribute="1" time="1" defaultMemberUniqueName="[Primera_plantacion].[1ra plantacion].[All]" allUniqueName="[Primera_plantacion].[1ra plantacion].[All]" dimensionUniqueName="[Primera_plantacion]" displayFolder="" count="0" memberValueDatatype="7" unbalanced="0"/>
    <cacheHierarchy uniqueName="[Primera_plantacion].[filtro]" caption="filtro" attribute="1" defaultMemberUniqueName="[Primera_plantacion].[filtro].[All]" allUniqueName="[Primera_plantacion].[filtro].[All]" dimensionUniqueName="[Primera_plantacion]" displayFolder="" count="0" memberValueDatatype="130" unbalanced="0"/>
    <cacheHierarchy uniqueName="[Tabla13].[VARIEDAD]" caption="VARIEDAD" attribute="1" defaultMemberUniqueName="[Tabla13].[VARIEDAD].[All]" allUniqueName="[Tabla13].[VARIEDAD].[All]" dimensionUniqueName="[Tabla13]" displayFolder="" count="0" memberValueDatatype="130" unbalanced="0"/>
    <cacheHierarchy uniqueName="[Tabla13].[LOTE]" caption="LOTE" attribute="1" defaultMemberUniqueName="[Tabla13].[LOTE].[All]" allUniqueName="[Tabla13].[LOTE].[All]" dimensionUniqueName="[Tabla13]" displayFolder="" count="0" memberValueDatatype="130" unbalanced="0"/>
    <cacheHierarchy uniqueName="[Tabla13].[VAR]" caption="VAR" attribute="1" defaultMemberUniqueName="[Tabla13].[VAR].[All]" allUniqueName="[Tabla13].[VAR].[All]" dimensionUniqueName="[Tabla13]" displayFolder="" count="0" memberValueDatatype="130" unbalanced="0"/>
    <cacheHierarchy uniqueName="[Tabla13].[Jefe Campo]" caption="Jefe Campo" attribute="1" defaultMemberUniqueName="[Tabla13].[Jefe Campo].[All]" allUniqueName="[Tabla13].[Jefe Campo].[All]" dimensionUniqueName="[Tabla13]" displayFolder="" count="0" memberValueDatatype="130" unbalanced="0"/>
    <cacheHierarchy uniqueName="[Tabla13].[VAR-LOTE]" caption="VAR-LOTE" attribute="1" defaultMemberUniqueName="[Tabla13].[VAR-LOTE].[All]" allUniqueName="[Tabla13].[VAR-LOTE].[All]" dimensionUniqueName="[Tabla13]" displayFolder="" count="0" memberValueDatatype="130" unbalanced="0"/>
    <cacheHierarchy uniqueName="[Tabla13].[PATRON]" caption="PATRON" attribute="1" defaultMemberUniqueName="[Tabla13].[PATRON].[All]" allUniqueName="[Tabla13].[PATRON].[All]" dimensionUniqueName="[Tabla13]" displayFolder="" count="0" memberValueDatatype="130" unbalanced="0"/>
    <cacheHierarchy uniqueName="[Tabla13].[Casa comercial]" caption="Casa comercial" attribute="1" defaultMemberUniqueName="[Tabla13].[Casa comercial].[All]" allUniqueName="[Tabla13].[Casa comercial].[All]" dimensionUniqueName="[Tabla13]" displayFolder="" count="0" memberValueDatatype="130" unbalanced="0"/>
    <cacheHierarchy uniqueName="[Tabla13].[AÑO]" caption="AÑO" attribute="1" defaultMemberUniqueName="[Tabla13].[AÑO].[All]" allUniqueName="[Tabla13].[AÑO].[All]" dimensionUniqueName="[Tabla13]" displayFolder="" count="0" memberValueDatatype="20" unbalanced="0"/>
    <cacheHierarchy uniqueName="[Tabla13].[Densidades]" caption="Densidades" attribute="1" defaultMemberUniqueName="[Tabla13].[Densidades].[All]" allUniqueName="[Tabla13].[Densidades].[All]" dimensionUniqueName="[Tabla13]" displayFolder="" count="0" memberValueDatatype="5" unbalanced="0"/>
    <cacheHierarchy uniqueName="[Tabla13].[Total Has]" caption="Total Has" attribute="1" defaultMemberUniqueName="[Tabla13].[Total Has].[All]" allUniqueName="[Tabla13].[Total Has].[All]" dimensionUniqueName="[Tabla13]" displayFolder="" count="0" memberValueDatatype="5" unbalanced="0"/>
    <cacheHierarchy uniqueName="[Tabla13].[Has Productivas]" caption="Has Productivas" attribute="1" defaultMemberUniqueName="[Tabla13].[Has Productivas].[All]" allUniqueName="[Tabla13].[Has Productivas].[All]" dimensionUniqueName="[Tabla13]" displayFolder="" count="0" memberValueDatatype="5" unbalanced="0"/>
    <cacheHierarchy uniqueName="[Tabla13].[Has Formación]" caption="Has Formación" attribute="1" defaultMemberUniqueName="[Tabla13].[Has Formación].[All]" allUniqueName="[Tabla13].[Has Formación].[All]" dimensionUniqueName="[Tabla13]" displayFolder="" count="0" memberValueDatatype="5" unbalanced="0"/>
    <cacheHierarchy uniqueName="[Tabla13].[Has Faltantes]" caption="Has Faltantes" attribute="1" defaultMemberUniqueName="[Tabla13].[Has Faltantes].[All]" allUniqueName="[Tabla13].[Has Faltantes].[All]" dimensionUniqueName="[Tabla13]" displayFolder="" count="0" memberValueDatatype="5" unbalanced="0"/>
    <cacheHierarchy uniqueName="[Tabla13].[Total Espacios Censo]" caption="Total Espacios Censo" attribute="1" defaultMemberUniqueName="[Tabla13].[Total Espacios Censo].[All]" allUniqueName="[Tabla13].[Total Espacios Censo].[All]" dimensionUniqueName="[Tabla13]" displayFolder="" count="0" memberValueDatatype="5" unbalanced="0"/>
    <cacheHierarchy uniqueName="[Tabla13].[Pltas. Prod. Censo]" caption="Pltas. Prod. Censo" attribute="1" defaultMemberUniqueName="[Tabla13].[Pltas. Prod. Censo].[All]" allUniqueName="[Tabla13].[Pltas. Prod. Censo].[All]" dimensionUniqueName="[Tabla13]" displayFolder="" count="0" memberValueDatatype="5" unbalanced="0"/>
    <cacheHierarchy uniqueName="[Tabla13].[Pltas Formación Censo]" caption="Pltas Formación Censo" attribute="1" defaultMemberUniqueName="[Tabla13].[Pltas Formación Censo].[All]" allUniqueName="[Tabla13].[Pltas Formación Censo].[All]" dimensionUniqueName="[Tabla13]" displayFolder="" count="0" memberValueDatatype="5" unbalanced="0"/>
    <cacheHierarchy uniqueName="[Tabla13].[Espacios vacíos Censo]" caption="Espacios vacíos Censo" attribute="1" defaultMemberUniqueName="[Tabla13].[Espacios vacíos Censo].[All]" allUniqueName="[Tabla13].[Espacios vacíos Censo].[All]" dimensionUniqueName="[Tabla13]" displayFolder="" count="0" memberValueDatatype="5" unbalanced="0"/>
    <cacheHierarchy uniqueName="[Tabla13].[distancia_planta]" caption="distancia_planta" attribute="1" defaultMemberUniqueName="[Tabla13].[distancia_planta].[All]" allUniqueName="[Tabla13].[distancia_planta].[All]" dimensionUniqueName="[Tabla13]" displayFolder="" count="0" memberValueDatatype="5" unbalanced="0"/>
    <cacheHierarchy uniqueName="[Tabla13].[distancia_calle]" caption="distancia_calle" attribute="1" defaultMemberUniqueName="[Tabla13].[distancia_calle].[All]" allUniqueName="[Tabla13].[distancia_calle].[All]" dimensionUniqueName="[Tabla13]" displayFolder="" count="0" memberValueDatatype="5" unbalanced="0"/>
    <cacheHierarchy uniqueName="[Tabla13].[Estado]" caption="Estado" attribute="1" defaultMemberUniqueName="[Tabla13].[Estado].[All]" allUniqueName="[Tabla13].[Estado].[All]" dimensionUniqueName="[Tabla13]" displayFolder="" count="0" memberValueDatatype="130" unbalanced="0"/>
    <cacheHierarchy uniqueName="[Tabla13].[Fecha plantación]" caption="Fecha plantación" attribute="1" defaultMemberUniqueName="[Tabla13].[Fecha plantación].[All]" allUniqueName="[Tabla13].[Fecha plantación].[All]" dimensionUniqueName="[Tabla13]" displayFolder="" count="0" memberValueDatatype="130" unbalanced="0"/>
    <cacheHierarchy uniqueName="[Tabla13].[Edad]" caption="Edad" attribute="1" defaultMemberUniqueName="[Tabla13].[Edad].[All]" allUniqueName="[Tabla13].[Edad].[All]" dimensionUniqueName="[Tabla13]" displayFolder="" count="0" memberValueDatatype="130" unbalanced="0"/>
    <cacheHierarchy uniqueName="[Tabla13].[Tipo Parron]" caption="Tipo Parron" attribute="1" defaultMemberUniqueName="[Tabla13].[Tipo Parron].[All]" allUniqueName="[Tabla13].[Tipo Parron].[All]" dimensionUniqueName="[Tabla13]" displayFolder="" count="0" memberValueDatatype="130" unbalanced="0"/>
    <cacheHierarchy uniqueName="[Tabla13].[Fecha nacimiento]" caption="Fecha nacimiento" attribute="1" time="1" defaultMemberUniqueName="[Tabla13].[Fecha nacimiento].[All]" allUniqueName="[Tabla13].[Fecha nacimiento].[All]" dimensionUniqueName="[Tabla13]" displayFolder="" count="0" memberValueDatatype="7" unbalanced="0"/>
    <cacheHierarchy uniqueName="[Tabla13].[Edad-Sup]" caption="Edad-Sup" attribute="1" defaultMemberUniqueName="[Tabla13].[Edad-Sup].[All]" allUniqueName="[Tabla13].[Edad-Sup].[All]" dimensionUniqueName="[Tabla13]" displayFolder="" count="0" memberValueDatatype="20" unbalanced="0"/>
    <cacheHierarchy uniqueName="[Tabla13].[N° celular]" caption="N° celular" attribute="1" defaultMemberUniqueName="[Tabla13].[N° celular].[All]" allUniqueName="[Tabla13].[N° celular].[All]" dimensionUniqueName="[Tabla13]" displayFolder="" count="0" memberValueDatatype="20" unbalanced="0"/>
    <cacheHierarchy uniqueName="[Tabla13].[Dirección]" caption="Dirección" attribute="1" defaultMemberUniqueName="[Tabla13].[Dirección].[All]" allUniqueName="[Tabla13].[Dirección].[All]" dimensionUniqueName="[Tabla13]" displayFolder="" count="0" memberValueDatatype="130" unbalanced="0"/>
    <cacheHierarchy uniqueName="[Tabla13].[Nivel Educativo]" caption="Nivel Educativo" attribute="1" defaultMemberUniqueName="[Tabla13].[Nivel Educativo].[All]" allUniqueName="[Tabla13].[Nivel Educativo].[All]" dimensionUniqueName="[Tabla13]" displayFolder="" count="0" memberValueDatatype="130" unbalanced="0"/>
    <cacheHierarchy uniqueName="[Tabla13].[Carrera]" caption="Carrera" attribute="1" defaultMemberUniqueName="[Tabla13].[Carrera].[All]" allUniqueName="[Tabla13].[Carrera].[All]" dimensionUniqueName="[Tabla13]" displayFolder="" count="0" memberValueDatatype="130" unbalanced="0"/>
    <cacheHierarchy uniqueName="[Tabla13].[Supervisor de lote]" caption="Supervisor de lote" attribute="1" defaultMemberUniqueName="[Tabla13].[Supervisor de lote].[All]" allUniqueName="[Tabla13].[Supervisor de lote].[All]" dimensionUniqueName="[Tabla13]" displayFolder="" count="0" memberValueDatatype="130" unbalanced="0"/>
    <cacheHierarchy uniqueName="[Tabla13].[Subgerente]" caption="Subgerente" attribute="1" defaultMemberUniqueName="[Tabla13].[Subgerente].[All]" allUniqueName="[Tabla13].[Subgerente].[All]" dimensionUniqueName="[Tabla13]" displayFolder="" count="0" memberValueDatatype="130" unbalanced="0"/>
    <cacheHierarchy uniqueName="[Measures].[Plantas_prod]" caption="Plantas_prod" measure="1" displayFolder="" measureGroup="Datos_valvulas" count="0"/>
    <cacheHierarchy uniqueName="[Measures].[Plantas_formacion]" caption="Plantas_formacion" measure="1" displayFolder="" measureGroup="Datos_valvulas" count="0"/>
    <cacheHierarchy uniqueName="[Measures].[E_Vacios]" caption="E_Vacios" measure="1" displayFolder="" measureGroup="Datos_valvulas" count="0"/>
    <cacheHierarchy uniqueName="[Measures].[Total_plantas]" caption="Total_plantas" measure="1" displayFolder="" measureGroup="Datos_valvulas" count="0"/>
    <cacheHierarchy uniqueName="[Measures].[Has_prod_valv]" caption="Has_prod_valv" measure="1" displayFolder="" measureGroup="Datos_valvulas" count="0"/>
    <cacheHierarchy uniqueName="[Measures].[Has_form_valv]" caption="Has_form_valv" measure="1" displayFolder="" measureGroup="Datos_valvulas" count="0"/>
    <cacheHierarchy uniqueName="[Measures].[Has_vacias_valv]" caption="Has_vacias_valv" measure="1" displayFolder="" measureGroup="Datos_valvulas" count="0"/>
    <cacheHierarchy uniqueName="[Measures].[Has_Total_valv]" caption="Has_Total_valv" measure="1" displayFolder="" measureGroup="Datos_valvulas" count="0"/>
    <cacheHierarchy uniqueName="[Measures].[Fecha_inicio]" caption="Fecha_inicio" measure="1" displayFolder="" measureGroup="gantt_diario" count="0"/>
    <cacheHierarchy uniqueName="[Measures].[Fecha_fin]" caption="Fecha_fin" measure="1" displayFolder="" measureGroup="gantt_diario" count="0"/>
    <cacheHierarchy uniqueName="[Measures].[Años_1ra_plant]" caption="Años_1ra_plant" measure="1" displayFolder="" measureGroup="Primera_plantacion" count="0"/>
    <cacheHierarchy uniqueName="[Measures].[Has_prod]" caption="Has_prod" measure="1" displayFolder="" measureGroup="MAESTRO_LOTES" count="0"/>
    <cacheHierarchy uniqueName="[Measures].[Has_totales]" caption="Has_totales" measure="1" displayFolder="" measureGroup="MAESTRO_LOTES" count="0" oneField="1">
      <fieldsUsage count="1">
        <fieldUsage x="3"/>
      </fieldsUsage>
    </cacheHierarchy>
    <cacheHierarchy uniqueName="[Measures].[Has_form]" caption="Has_form" measure="1" displayFolder="" measureGroup="MAESTRO_LOTES" count="0"/>
    <cacheHierarchy uniqueName="[Measures].[Has_faltantes]" caption="Has_faltantes" measure="1" displayFolder="" measureGroup="MAESTRO_LOTES" count="0"/>
    <cacheHierarchy uniqueName="[Measures].[__XL_Count Datos_valvulas]" caption="__XL_Count Datos_valvulas" measure="1" displayFolder="" measureGroup="Datos_valvulas" count="0" hidden="1"/>
    <cacheHierarchy uniqueName="[Measures].[__XL_Count gantt_diario]" caption="__XL_Count gantt_diario" measure="1" displayFolder="" measureGroup="gantt_diario" count="0" hidden="1"/>
    <cacheHierarchy uniqueName="[Measures].[__XL_Count Primera_plantacion]" caption="__XL_Count Primera_plantacion" measure="1" displayFolder="" measureGroup="Primera_plantacion" count="0" hidden="1"/>
    <cacheHierarchy uniqueName="[Measures].[__XL_Count CAMPOS]" caption="__XL_Count CAMPOS" measure="1" displayFolder="" measureGroup="CAMPOS" count="0" hidden="1"/>
    <cacheHierarchy uniqueName="[Measures].[__XL_Count MAESTRO_LOTES]" caption="__XL_Count MAESTRO_LOTES" measure="1" displayFolder="" measureGroup="MAESTRO_LOTES" count="0" hidden="1"/>
    <cacheHierarchy uniqueName="[Measures].[__XL_Count Tabla13]" caption="__XL_Count Tabla13" measure="1" displayFolder="" measureGroup="Tabla13" count="0" hidden="1"/>
    <cacheHierarchy uniqueName="[Measures].[__No measures defined]" caption="__No measures defined" measure="1" displayFolder="" count="0" hidden="1"/>
    <cacheHierarchy uniqueName="[Measures].[Recuento de 1ra plantacion]" caption="Recuento de 1ra plantacion" measure="1" displayFolder="" measureGroup="Primera_plantacion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a de Has Productivas]" caption="Suma de Has Productivas" measure="1" displayFolder="" measureGroup="MAESTRO_LOTES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Suma de Total Has]" caption="Suma de Total Has" measure="1" displayFolder="" measureGroup="MAESTRO_LOTES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a de Has Formación]" caption="Suma de Has Formación" measure="1" displayFolder="" measureGroup="Tabla13" count="0" hidden="1">
      <extLst>
        <ext xmlns:x15="http://schemas.microsoft.com/office/spreadsheetml/2010/11/main" uri="{B97F6D7D-B522-45F9-BDA1-12C45D357490}">
          <x15:cacheHierarchy aggregatedColumn="69"/>
        </ext>
      </extLst>
    </cacheHierarchy>
    <cacheHierarchy uniqueName="[Measures].[Suma de Has Formación 2]" caption="Suma de Has Formación 2" measure="1" displayFolder="" measureGroup="MAESTRO_LOTES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a de Densidades]" caption="Suma de Densidades" measure="1" displayFolder="" measureGroup="MAESTRO_LOTES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Promedio de Densidades]" caption="Promedio de Densidades" measure="1" displayFolder="" measureGroup="MAESTRO_LOTES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Recuento de Fecha plantación]" caption="Recuento de Fecha plantación" measure="1" displayFolder="" measureGroup="MAESTRO_LOTES" count="0" hidden="1">
      <extLst>
        <ext xmlns:x15="http://schemas.microsoft.com/office/spreadsheetml/2010/11/main" uri="{B97F6D7D-B522-45F9-BDA1-12C45D357490}">
          <x15:cacheHierarchy aggregatedColumn="36"/>
        </ext>
      </extLst>
    </cacheHierarchy>
  </cacheHierarchies>
  <kpis count="0"/>
  <dimensions count="7">
    <dimension name="CAMPOS" uniqueName="[CAMPOS]" caption="CAMPOS"/>
    <dimension name="Datos_valvulas" uniqueName="[Datos_valvulas]" caption="Datos_valvulas"/>
    <dimension name="gantt_diario" uniqueName="[gantt_diario]" caption="gantt_diario"/>
    <dimension name="MAESTRO_LOTES" uniqueName="[MAESTRO_LOTES]" caption="MAESTRO_LOTES"/>
    <dimension measure="1" name="Measures" uniqueName="[Measures]" caption="Measures"/>
    <dimension name="Primera_plantacion" uniqueName="[Primera_plantacion]" caption="Primera_plantacion"/>
    <dimension name="Tabla13" uniqueName="[Tabla13]" caption="Tabla13"/>
  </dimensions>
  <measureGroups count="6">
    <measureGroup name="CAMPOS" caption="CAMPOS"/>
    <measureGroup name="Datos_valvulas" caption="Datos_valvulas"/>
    <measureGroup name="gantt_diario" caption="gantt_diario"/>
    <measureGroup name="MAESTRO_LOTES" caption="MAESTRO_LOTES"/>
    <measureGroup name="Primera_plantacion" caption="Primera_plantacion"/>
    <measureGroup name="Tabla13" caption="Tabla13"/>
  </measureGroups>
  <maps count="7">
    <map measureGroup="0" dimension="0"/>
    <map measureGroup="1" dimension="1"/>
    <map measureGroup="2" dimension="2"/>
    <map measureGroup="3" dimension="3"/>
    <map measureGroup="4" dimension="0"/>
    <map measureGroup="4" dimension="5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Pedregal" refreshedDate="46139.479296180558" createdVersion="5" refreshedVersion="8" minRefreshableVersion="3" recordCount="0" supportSubquery="1" supportAdvancedDrill="1" xr:uid="{00000000-000A-0000-FFFF-FFFF7E010000}">
  <cacheSource type="external" connectionId="6"/>
  <cacheFields count="7">
    <cacheField name="[MAESTRO_LOTES].[Estado].[Estado]" caption="Estado" numFmtId="0" hierarchy="35" level="1">
      <sharedItems count="4">
        <s v="Habilitación 2025"/>
        <s v="Habilitación 2026"/>
        <s v="Producción"/>
        <s v="Test Block"/>
      </sharedItems>
    </cacheField>
    <cacheField name="[MAESTRO_LOTES].[VARIEDAD].[VARIEDAD]" caption="VARIEDAD" numFmtId="0" hierarchy="15" level="1">
      <sharedItems count="9">
        <s v="ARRA FIRE CRUNCH"/>
        <s v="COTTON CANDY"/>
        <s v="JACK'S SALUTE"/>
        <s v="SWEET CELEBRATION"/>
        <s v="CANDY HEARTS"/>
        <s v="AUTUMN CRISP"/>
        <s v="TIMPSON"/>
        <s v="ALLISON"/>
        <s v="Test Block"/>
      </sharedItems>
    </cacheField>
    <cacheField name="[MAESTRO_LOTES].[LOTE].[LOTE]" caption="LOTE" numFmtId="0" hierarchy="16" level="1">
      <sharedItems count="79">
        <s v="A04"/>
        <s v="A05"/>
        <s v="A06"/>
        <s v="B06"/>
        <s v="B08"/>
        <s v="C07"/>
        <s v="D07"/>
        <s v="D03"/>
        <s v="B02"/>
        <s v="B03"/>
        <s v="B12"/>
        <s v="E12"/>
        <s v="E13"/>
        <s v="H14"/>
        <s v="I14"/>
        <s v="C14"/>
        <s v="C01"/>
        <s v="C02"/>
        <s v="C03"/>
        <s v="B07"/>
        <s v="A01"/>
        <s v="A02"/>
        <s v="A03"/>
        <s v="D01"/>
        <s v="D02"/>
        <s v="E01"/>
        <s v="E02"/>
        <s v="E03"/>
        <s v="E04"/>
        <s v="F01"/>
        <s v="F02"/>
        <s v="F03"/>
        <s v="F04"/>
        <s v="B01"/>
        <s v="B04"/>
        <s v="C04"/>
        <s v="C05"/>
        <s v="C06"/>
        <s v="D04"/>
        <s v="D05"/>
        <s v="D06"/>
        <s v="E05"/>
        <s v="E06"/>
        <s v="E07"/>
        <s v="F05"/>
        <s v="F06"/>
        <s v="F07"/>
        <s v="G01"/>
        <s v="G02"/>
        <s v="G03"/>
        <s v="G04"/>
        <s v="G05"/>
        <s v="G06"/>
        <s v="C12"/>
        <s v="C13"/>
        <s v="A12"/>
        <s v="A13"/>
        <s v="D12"/>
        <s v="D13"/>
        <s v="D14"/>
        <s v="D15"/>
        <s v="E15"/>
        <s v="G09"/>
        <s v="G10"/>
        <s v="G11"/>
        <s v="G14"/>
        <s v="G15"/>
        <s v="B13"/>
        <s v="B14"/>
        <s v="G13"/>
        <s v="H13"/>
        <s v="C15"/>
        <s v="E08"/>
        <s v="E09"/>
        <s v="E14"/>
        <s v="F08"/>
        <s v="F09"/>
        <s v="F13"/>
        <s v="F11"/>
      </sharedItems>
    </cacheField>
    <cacheField name="[Measures].[Has_totales]" caption="Has_totales" numFmtId="0" hierarchy="101" level="32767"/>
    <cacheField name="[Measures].[Has_form]" caption="Has_form" numFmtId="0" hierarchy="102" level="32767"/>
    <cacheField name="[Measures].[Has_prod]" caption="Has_prod" numFmtId="0" hierarchy="100" level="32767"/>
    <cacheField name="[MAESTRO_LOTES].[Subgerente].[Subgerente]" caption="Subgerente" numFmtId="0" hierarchy="47" level="1">
      <sharedItems count="2">
        <s v="Roger Calapuja"/>
        <s v="Zenaida Carrasco"/>
      </sharedItems>
    </cacheField>
  </cacheFields>
  <cacheHierarchies count="119">
    <cacheHierarchy uniqueName="[CAMPOS].[Campos]" caption="Campos" attribute="1" defaultMemberUniqueName="[CAMPOS].[Campos].[All]" allUniqueName="[CAMPOS].[Campos].[All]" dimensionUniqueName="[CAMPOS]" displayFolder="" count="0" memberValueDatatype="130" unbalanced="0"/>
    <cacheHierarchy uniqueName="[CAMPOS].[Tipo cultivo]" caption="Tipo cultivo" attribute="1" defaultMemberUniqueName="[CAMPOS].[Tipo cultivo].[All]" allUniqueName="[CAMPOS].[Tipo cultivo].[All]" dimensionUniqueName="[CAMPOS]" displayFolder="" count="0" memberValueDatatype="130" unbalanced="0"/>
    <cacheHierarchy uniqueName="[CAMPOS].[Periodo siembra-cosecha]" caption="Periodo siembra-cosecha" attribute="1" defaultMemberUniqueName="[CAMPOS].[Periodo siembra-cosecha].[All]" allUniqueName="[CAMPOS].[Periodo siembra-cosecha].[All]" dimensionUniqueName="[CAMPOS]" displayFolder="" count="0" memberValueDatatype="130" unbalanced="0"/>
    <cacheHierarchy uniqueName="[Datos_valvulas].[VAR]" caption="VAR" attribute="1" defaultMemberUniqueName="[Datos_valvulas].[VAR].[All]" allUniqueName="[Datos_valvulas].[VAR].[All]" dimensionUniqueName="[Datos_valvulas]" displayFolder="" count="0" memberValueDatatype="130" unbalanced="0"/>
    <cacheHierarchy uniqueName="[Datos_valvulas].[Lote]" caption="Lote" attribute="1" defaultMemberUniqueName="[Datos_valvulas].[Lote].[All]" allUniqueName="[Datos_valvulas].[Lote].[All]" dimensionUniqueName="[Datos_valvulas]" displayFolder="" count="0" memberValueDatatype="130" unbalanced="0"/>
    <cacheHierarchy uniqueName="[Datos_valvulas].[Tipo de planta]" caption="Tipo de planta" attribute="1" defaultMemberUniqueName="[Datos_valvulas].[Tipo de planta].[All]" allUniqueName="[Datos_valvulas].[Tipo de planta].[All]" dimensionUniqueName="[Datos_valvulas]" displayFolder="" count="0" memberValueDatatype="130" unbalanced="0"/>
    <cacheHierarchy uniqueName="[Datos_valvulas].[Valvulas]" caption="Valvulas" attribute="1" defaultMemberUniqueName="[Datos_valvulas].[Valvulas].[All]" allUniqueName="[Datos_valvulas].[Valvulas].[All]" dimensionUniqueName="[Datos_valvulas]" displayFolder="" count="0" memberValueDatatype="130" unbalanced="0"/>
    <cacheHierarchy uniqueName="[Datos_valvulas].[Plantas]" caption="Plantas" attribute="1" defaultMemberUniqueName="[Datos_valvulas].[Plantas].[All]" allUniqueName="[Datos_valvulas].[Plantas].[All]" dimensionUniqueName="[Datos_valvulas]" displayFolder="" count="0" memberValueDatatype="20" unbalanced="0"/>
    <cacheHierarchy uniqueName="[Datos_valvulas].[Densidad]" caption="Densidad" attribute="1" defaultMemberUniqueName="[Datos_valvulas].[Densidad].[All]" allUniqueName="[Datos_valvulas].[Densidad].[All]" dimensionUniqueName="[Datos_valvulas]" displayFolder="" count="0" memberValueDatatype="5" unbalanced="0"/>
    <cacheHierarchy uniqueName="[Datos_valvulas].[VARIEDAD]" caption="VARIEDAD" attribute="1" defaultMemberUniqueName="[Datos_valvulas].[VARIEDAD].[All]" allUniqueName="[Datos_valvulas].[VARIEDAD].[All]" dimensionUniqueName="[Datos_valvulas]" displayFolder="" count="0" memberValueDatatype="130" unbalanced="0"/>
    <cacheHierarchy uniqueName="[gantt_diario].[Lote]" caption="Lote" attribute="1" defaultMemberUniqueName="[gantt_diario].[Lote].[All]" allUniqueName="[gantt_diario].[Lote].[All]" dimensionUniqueName="[gantt_diario]" displayFolder="" count="0" memberValueDatatype="130" unbalanced="0"/>
    <cacheHierarchy uniqueName="[gantt_diario].[VARIEDAD]" caption="VARIEDAD" attribute="1" defaultMemberUniqueName="[gantt_diario].[VARIEDAD].[All]" allUniqueName="[gantt_diario].[VARIEDAD].[All]" dimensionUniqueName="[gantt_diario]" displayFolder="" count="0" memberValueDatatype="130" unbalanced="0"/>
    <cacheHierarchy uniqueName="[gantt_diario].[Fecha]" caption="Fecha" attribute="1" time="1" defaultMemberUniqueName="[gantt_diario].[Fecha].[All]" allUniqueName="[gantt_diario].[Fecha].[All]" dimensionUniqueName="[gantt_diario]" displayFolder="" count="0" memberValueDatatype="7" unbalanced="0"/>
    <cacheHierarchy uniqueName="[gantt_diario].[Cajas]" caption="Cajas" attribute="1" defaultMemberUniqueName="[gantt_diario].[Cajas].[All]" allUniqueName="[gantt_diario].[Cajas].[All]" dimensionUniqueName="[gantt_diario]" displayFolder="" count="0" memberValueDatatype="5" unbalanced="0"/>
    <cacheHierarchy uniqueName="[MAESTRO_LOTES].[PEP]" caption="PEP" attribute="1" defaultMemberUniqueName="[MAESTRO_LOTES].[PEP].[All]" allUniqueName="[MAESTRO_LOTES].[PEP].[All]" dimensionUniqueName="[MAESTRO_LOTES]" displayFolder="" count="0" memberValueDatatype="130" unbalanced="0"/>
    <cacheHierarchy uniqueName="[MAESTRO_LOTES].[VARIEDAD]" caption="VARIEDAD" attribute="1" defaultMemberUniqueName="[MAESTRO_LOTES].[VARIEDAD].[All]" allUniqueName="[MAESTRO_LOTES].[VARIEDAD].[All]" dimensionUniqueName="[MAESTRO_LOTES]" displayFolder="" count="2" memberValueDatatype="130" unbalanced="0">
      <fieldsUsage count="2">
        <fieldUsage x="-1"/>
        <fieldUsage x="1"/>
      </fieldsUsage>
    </cacheHierarchy>
    <cacheHierarchy uniqueName="[MAESTRO_LOTES].[LOTE]" caption="LOTE" attribute="1" defaultMemberUniqueName="[MAESTRO_LOTES].[LOTE].[All]" allUniqueName="[MAESTRO_LOTES].[LOTE].[All]" dimensionUniqueName="[MAESTRO_LOTES]" displayFolder="" count="2" memberValueDatatype="130" unbalanced="0">
      <fieldsUsage count="2">
        <fieldUsage x="-1"/>
        <fieldUsage x="2"/>
      </fieldsUsage>
    </cacheHierarchy>
    <cacheHierarchy uniqueName="[MAESTRO_LOTES].[VAR]" caption="VAR" attribute="1" defaultMemberUniqueName="[MAESTRO_LOTES].[VAR].[All]" allUniqueName="[MAESTRO_LOTES].[VAR].[All]" dimensionUniqueName="[MAESTRO_LOTES]" displayFolder="" count="0" memberValueDatatype="130" unbalanced="0"/>
    <cacheHierarchy uniqueName="[MAESTRO_LOTES].[FUNDO]" caption="FUNDO" attribute="1" defaultMemberUniqueName="[MAESTRO_LOTES].[FUNDO].[All]" allUniqueName="[MAESTRO_LOTES].[FUNDO].[All]" dimensionUniqueName="[MAESTRO_LOTES]" displayFolder="" count="0" memberValueDatatype="130" unbalanced="0"/>
    <cacheHierarchy uniqueName="[MAESTRO_LOTES].[Jefe Campo]" caption="Jefe Campo" attribute="1" defaultMemberUniqueName="[MAESTRO_LOTES].[Jefe Campo].[All]" allUniqueName="[MAESTRO_LOTES].[Jefe Campo].[All]" dimensionUniqueName="[MAESTRO_LOTES]" displayFolder="" count="0" memberValueDatatype="130" unbalanced="0"/>
    <cacheHierarchy uniqueName="[MAESTRO_LOTES].[VAR-LOTE]" caption="VAR-LOTE" attribute="1" defaultMemberUniqueName="[MAESTRO_LOTES].[VAR-LOTE].[All]" allUniqueName="[MAESTRO_LOTES].[VAR-LOTE].[All]" dimensionUniqueName="[MAESTRO_LOTES]" displayFolder="" count="0" memberValueDatatype="130" unbalanced="0"/>
    <cacheHierarchy uniqueName="[MAESTRO_LOTES].[PATRON]" caption="PATRON" attribute="1" defaultMemberUniqueName="[MAESTRO_LOTES].[PATRON].[All]" allUniqueName="[MAESTRO_LOTES].[PATRON].[All]" dimensionUniqueName="[MAESTRO_LOTES]" displayFolder="" count="0" memberValueDatatype="130" unbalanced="0"/>
    <cacheHierarchy uniqueName="[MAESTRO_LOTES].[Casa comercial]" caption="Casa comercial" attribute="1" defaultMemberUniqueName="[MAESTRO_LOTES].[Casa comercial].[All]" allUniqueName="[MAESTRO_LOTES].[Casa comercial].[All]" dimensionUniqueName="[MAESTRO_LOTES]" displayFolder="" count="0" memberValueDatatype="130" unbalanced="0"/>
    <cacheHierarchy uniqueName="[MAESTRO_LOTES].[AÑO]" caption="AÑO" attribute="1" defaultMemberUniqueName="[MAESTRO_LOTES].[AÑO].[All]" allUniqueName="[MAESTRO_LOTES].[AÑO].[All]" dimensionUniqueName="[MAESTRO_LOTES]" displayFolder="" count="0" memberValueDatatype="20" unbalanced="0"/>
    <cacheHierarchy uniqueName="[MAESTRO_LOTES].[Densidades]" caption="Densidades" attribute="1" defaultMemberUniqueName="[MAESTRO_LOTES].[Densidades].[All]" allUniqueName="[MAESTRO_LOTES].[Densidades].[All]" dimensionUniqueName="[MAESTRO_LOTES]" displayFolder="" count="0" memberValueDatatype="5" unbalanced="0"/>
    <cacheHierarchy uniqueName="[MAESTRO_LOTES].[Total Has]" caption="Total Has" attribute="1" defaultMemberUniqueName="[MAESTRO_LOTES].[Total Has].[All]" allUniqueName="[MAESTRO_LOTES].[Total Has].[All]" dimensionUniqueName="[MAESTRO_LOTES]" displayFolder="" count="0" memberValueDatatype="5" unbalanced="0"/>
    <cacheHierarchy uniqueName="[MAESTRO_LOTES].[Has Productivas]" caption="Has Productivas" attribute="1" defaultMemberUniqueName="[MAESTRO_LOTES].[Has Productivas].[All]" allUniqueName="[MAESTRO_LOTES].[Has Productivas].[All]" dimensionUniqueName="[MAESTRO_LOTES]" displayFolder="" count="0" memberValueDatatype="5" unbalanced="0"/>
    <cacheHierarchy uniqueName="[MAESTRO_LOTES].[Has Formación]" caption="Has Formación" attribute="1" defaultMemberUniqueName="[MAESTRO_LOTES].[Has Formación].[All]" allUniqueName="[MAESTRO_LOTES].[Has Formación].[All]" dimensionUniqueName="[MAESTRO_LOTES]" displayFolder="" count="0" memberValueDatatype="5" unbalanced="0"/>
    <cacheHierarchy uniqueName="[MAESTRO_LOTES].[Has Faltantes]" caption="Has Faltantes" attribute="1" defaultMemberUniqueName="[MAESTRO_LOTES].[Has Faltantes].[All]" allUniqueName="[MAESTRO_LOTES].[Has Faltantes].[All]" dimensionUniqueName="[MAESTRO_LOTES]" displayFolder="" count="0" memberValueDatatype="5" unbalanced="0"/>
    <cacheHierarchy uniqueName="[MAESTRO_LOTES].[Total Espacios]" caption="Total Espacios" attribute="1" defaultMemberUniqueName="[MAESTRO_LOTES].[Total Espacios].[All]" allUniqueName="[MAESTRO_LOTES].[Total Espacios].[All]" dimensionUniqueName="[MAESTRO_LOTES]" displayFolder="" count="0" memberValueDatatype="5" unbalanced="0"/>
    <cacheHierarchy uniqueName="[MAESTRO_LOTES].[Pltas. Prod.]" caption="Pltas. Prod." attribute="1" defaultMemberUniqueName="[MAESTRO_LOTES].[Pltas. Prod.].[All]" allUniqueName="[MAESTRO_LOTES].[Pltas. Prod.].[All]" dimensionUniqueName="[MAESTRO_LOTES]" displayFolder="" count="0" memberValueDatatype="5" unbalanced="0"/>
    <cacheHierarchy uniqueName="[MAESTRO_LOTES].[Pltas Formación]" caption="Pltas Formación" attribute="1" defaultMemberUniqueName="[MAESTRO_LOTES].[Pltas Formación].[All]" allUniqueName="[MAESTRO_LOTES].[Pltas Formación].[All]" dimensionUniqueName="[MAESTRO_LOTES]" displayFolder="" count="0" memberValueDatatype="5" unbalanced="0"/>
    <cacheHierarchy uniqueName="[MAESTRO_LOTES].[Espacios vacíos]" caption="Espacios vacíos" attribute="1" defaultMemberUniqueName="[MAESTRO_LOTES].[Espacios vacíos].[All]" allUniqueName="[MAESTRO_LOTES].[Espacios vacíos].[All]" dimensionUniqueName="[MAESTRO_LOTES]" displayFolder="" count="0" memberValueDatatype="5" unbalanced="0"/>
    <cacheHierarchy uniqueName="[MAESTRO_LOTES].[distancia_planta]" caption="distancia_planta" attribute="1" defaultMemberUniqueName="[MAESTRO_LOTES].[distancia_planta].[All]" allUniqueName="[MAESTRO_LOTES].[distancia_planta].[All]" dimensionUniqueName="[MAESTRO_LOTES]" displayFolder="" count="0" memberValueDatatype="5" unbalanced="0"/>
    <cacheHierarchy uniqueName="[MAESTRO_LOTES].[distancia_calle]" caption="distancia_calle" attribute="1" defaultMemberUniqueName="[MAESTRO_LOTES].[distancia_calle].[All]" allUniqueName="[MAESTRO_LOTES].[distancia_calle].[All]" dimensionUniqueName="[MAESTRO_LOTES]" displayFolder="" count="0" memberValueDatatype="5" unbalanced="0"/>
    <cacheHierarchy uniqueName="[MAESTRO_LOTES].[Estado]" caption="Estado" attribute="1" defaultMemberUniqueName="[MAESTRO_LOTES].[Estado].[All]" allUniqueName="[MAESTRO_LOTES].[Estado].[All]" dimensionUniqueName="[MAESTRO_LOTES]" displayFolder="" count="2" memberValueDatatype="130" unbalanced="0">
      <fieldsUsage count="2">
        <fieldUsage x="-1"/>
        <fieldUsage x="0"/>
      </fieldsUsage>
    </cacheHierarchy>
    <cacheHierarchy uniqueName="[MAESTRO_LOTES].[Fecha plantación]" caption="Fecha plantación" attribute="1" time="1" defaultMemberUniqueName="[MAESTRO_LOTES].[Fecha plantación].[All]" allUniqueName="[MAESTRO_LOTES].[Fecha plantación].[All]" dimensionUniqueName="[MAESTRO_LOTES]" displayFolder="" count="0" memberValueDatatype="7" unbalanced="0"/>
    <cacheHierarchy uniqueName="[MAESTRO_LOTES].[Edad]" caption="Edad" attribute="1" defaultMemberUniqueName="[MAESTRO_LOTES].[Edad].[All]" allUniqueName="[MAESTRO_LOTES].[Edad].[All]" dimensionUniqueName="[MAESTRO_LOTES]" displayFolder="" count="0" memberValueDatatype="5" unbalanced="0"/>
    <cacheHierarchy uniqueName="[MAESTRO_LOTES].[Tipo Parron]" caption="Tipo Parron" attribute="1" defaultMemberUniqueName="[MAESTRO_LOTES].[Tipo Parron].[All]" allUniqueName="[MAESTRO_LOTES].[Tipo Parron].[All]" dimensionUniqueName="[MAESTRO_LOTES]" displayFolder="" count="0" memberValueDatatype="130" unbalanced="0"/>
    <cacheHierarchy uniqueName="[MAESTRO_LOTES].[Fecha nacimiento]" caption="Fecha nacimiento" attribute="1" time="1" defaultMemberUniqueName="[MAESTRO_LOTES].[Fecha nacimiento].[All]" allUniqueName="[MAESTRO_LOTES].[Fecha nacimiento].[All]" dimensionUniqueName="[MAESTRO_LOTES]" displayFolder="" count="0" memberValueDatatype="7" unbalanced="0"/>
    <cacheHierarchy uniqueName="[MAESTRO_LOTES].[Edad-Sup]" caption="Edad-Sup" attribute="1" defaultMemberUniqueName="[MAESTRO_LOTES].[Edad-Sup].[All]" allUniqueName="[MAESTRO_LOTES].[Edad-Sup].[All]" dimensionUniqueName="[MAESTRO_LOTES]" displayFolder="" count="0" memberValueDatatype="130" unbalanced="0"/>
    <cacheHierarchy uniqueName="[MAESTRO_LOTES].[N° celular]" caption="N° celular" attribute="1" defaultMemberUniqueName="[MAESTRO_LOTES].[N° celular].[All]" allUniqueName="[MAESTRO_LOTES].[N° celular].[All]" dimensionUniqueName="[MAESTRO_LOTES]" displayFolder="" count="0" memberValueDatatype="130" unbalanced="0"/>
    <cacheHierarchy uniqueName="[MAESTRO_LOTES].[Dirección]" caption="Dirección" attribute="1" defaultMemberUniqueName="[MAESTRO_LOTES].[Dirección].[All]" allUniqueName="[MAESTRO_LOTES].[Dirección].[All]" dimensionUniqueName="[MAESTRO_LOTES]" displayFolder="" count="0" memberValueDatatype="130" unbalanced="0"/>
    <cacheHierarchy uniqueName="[MAESTRO_LOTES].[Distrito/CP]" caption="Distrito/CP" attribute="1" defaultMemberUniqueName="[MAESTRO_LOTES].[Distrito/CP].[All]" allUniqueName="[MAESTRO_LOTES].[Distrito/CP].[All]" dimensionUniqueName="[MAESTRO_LOTES]" displayFolder="" count="0" memberValueDatatype="130" unbalanced="0"/>
    <cacheHierarchy uniqueName="[MAESTRO_LOTES].[Nivel Educativo]" caption="Nivel Educativo" attribute="1" defaultMemberUniqueName="[MAESTRO_LOTES].[Nivel Educativo].[All]" allUniqueName="[MAESTRO_LOTES].[Nivel Educativo].[All]" dimensionUniqueName="[MAESTRO_LOTES]" displayFolder="" count="0" memberValueDatatype="130" unbalanced="0"/>
    <cacheHierarchy uniqueName="[MAESTRO_LOTES].[Carrera]" caption="Carrera" attribute="1" defaultMemberUniqueName="[MAESTRO_LOTES].[Carrera].[All]" allUniqueName="[MAESTRO_LOTES].[Carrera].[All]" dimensionUniqueName="[MAESTRO_LOTES]" displayFolder="" count="0" memberValueDatatype="130" unbalanced="0"/>
    <cacheHierarchy uniqueName="[MAESTRO_LOTES].[Supervisor de lote]" caption="Supervisor de lote" attribute="1" defaultMemberUniqueName="[MAESTRO_LOTES].[Supervisor de lote].[All]" allUniqueName="[MAESTRO_LOTES].[Supervisor de lote].[All]" dimensionUniqueName="[MAESTRO_LOTES]" displayFolder="" count="0" memberValueDatatype="130" unbalanced="0"/>
    <cacheHierarchy uniqueName="[MAESTRO_LOTES].[Subgerente]" caption="Subgerente" attribute="1" defaultMemberUniqueName="[MAESTRO_LOTES].[Subgerente].[All]" allUniqueName="[MAESTRO_LOTES].[Subgerente].[All]" dimensionUniqueName="[MAESTRO_LOTES]" displayFolder="" count="2" memberValueDatatype="130" unbalanced="0">
      <fieldsUsage count="2">
        <fieldUsage x="-1"/>
        <fieldUsage x="6"/>
      </fieldsUsage>
    </cacheHierarchy>
    <cacheHierarchy uniqueName="[MAESTRO_LOTES].[Supervisor de sanidad]" caption="Supervisor de sanidad" attribute="1" defaultMemberUniqueName="[MAESTRO_LOTES].[Supervisor de sanidad].[All]" allUniqueName="[MAESTRO_LOTES].[Supervisor de sanidad].[All]" dimensionUniqueName="[MAESTRO_LOTES]" displayFolder="" count="0" memberValueDatatype="130" unbalanced="0"/>
    <cacheHierarchy uniqueName="[MAESTRO_LOTES].[Supervisor de riego]" caption="Supervisor de riego" attribute="1" defaultMemberUniqueName="[MAESTRO_LOTES].[Supervisor de riego].[All]" allUniqueName="[MAESTRO_LOTES].[Supervisor de riego].[All]" dimensionUniqueName="[MAESTRO_LOTES]" displayFolder="" count="0" memberValueDatatype="130" unbalanced="0"/>
    <cacheHierarchy uniqueName="[MAESTRO_LOTES].[Supervisor de control biologico]" caption="Supervisor de control biologico" attribute="1" defaultMemberUniqueName="[MAESTRO_LOTES].[Supervisor de control biologico].[All]" allUniqueName="[MAESTRO_LOTES].[Supervisor de control biologico].[All]" dimensionUniqueName="[MAESTRO_LOTES]" displayFolder="" count="0" memberValueDatatype="130" unbalanced="0"/>
    <cacheHierarchy uniqueName="[MAESTRO_LOTES].[CAMPO]" caption="CAMPO" attribute="1" defaultMemberUniqueName="[MAESTRO_LOTES].[CAMPO].[All]" allUniqueName="[MAESTRO_LOTES].[CAMPO].[All]" dimensionUniqueName="[MAESTRO_LOTES]" displayFolder="" count="0" memberValueDatatype="130" unbalanced="0"/>
    <cacheHierarchy uniqueName="[MAESTRO_LOTES].[LOTE PoC HISPATEC]" caption="LOTE PoC HISPATEC" attribute="1" defaultMemberUniqueName="[MAESTRO_LOTES].[LOTE PoC HISPATEC].[All]" allUniqueName="[MAESTRO_LOTES].[LOTE PoC HISPATEC].[All]" dimensionUniqueName="[MAESTRO_LOTES]" displayFolder="" count="0" memberValueDatatype="130" unbalanced="0"/>
    <cacheHierarchy uniqueName="[MAESTRO_LOTES].[¿Es BLOOM?]" caption="¿Es BLOOM?" attribute="1" defaultMemberUniqueName="[MAESTRO_LOTES].[¿Es BLOOM?].[All]" allUniqueName="[MAESTRO_LOTES].[¿Es BLOOM?].[All]" dimensionUniqueName="[MAESTRO_LOTES]" displayFolder="" count="0" memberValueDatatype="130" unbalanced="0"/>
    <cacheHierarchy uniqueName="[Primera_plantacion].[Campo]" caption="Campo" attribute="1" defaultMemberUniqueName="[Primera_plantacion].[Campo].[All]" allUniqueName="[Primera_plantacion].[Campo].[All]" dimensionUniqueName="[Primera_plantacion]" displayFolder="" count="0" memberValueDatatype="130" unbalanced="0"/>
    <cacheHierarchy uniqueName="[Primera_plantacion].[LOTE]" caption="LOTE" attribute="1" defaultMemberUniqueName="[Primera_plantacion].[LOTE].[All]" allUniqueName="[Primera_plantacion].[LOTE].[All]" dimensionUniqueName="[Primera_plantacion]" displayFolder="" count="0" memberValueDatatype="130" unbalanced="0"/>
    <cacheHierarchy uniqueName="[Primera_plantacion].[1ra plantacion]" caption="1ra plantacion" attribute="1" time="1" defaultMemberUniqueName="[Primera_plantacion].[1ra plantacion].[All]" allUniqueName="[Primera_plantacion].[1ra plantacion].[All]" dimensionUniqueName="[Primera_plantacion]" displayFolder="" count="0" memberValueDatatype="7" unbalanced="0"/>
    <cacheHierarchy uniqueName="[Primera_plantacion].[filtro]" caption="filtro" attribute="1" defaultMemberUniqueName="[Primera_plantacion].[filtro].[All]" allUniqueName="[Primera_plantacion].[filtro].[All]" dimensionUniqueName="[Primera_plantacion]" displayFolder="" count="0" memberValueDatatype="130" unbalanced="0"/>
    <cacheHierarchy uniqueName="[Tabla13].[VARIEDAD]" caption="VARIEDAD" attribute="1" defaultMemberUniqueName="[Tabla13].[VARIEDAD].[All]" allUniqueName="[Tabla13].[VARIEDAD].[All]" dimensionUniqueName="[Tabla13]" displayFolder="" count="0" memberValueDatatype="130" unbalanced="0"/>
    <cacheHierarchy uniqueName="[Tabla13].[LOTE]" caption="LOTE" attribute="1" defaultMemberUniqueName="[Tabla13].[LOTE].[All]" allUniqueName="[Tabla13].[LOTE].[All]" dimensionUniqueName="[Tabla13]" displayFolder="" count="0" memberValueDatatype="130" unbalanced="0"/>
    <cacheHierarchy uniqueName="[Tabla13].[VAR]" caption="VAR" attribute="1" defaultMemberUniqueName="[Tabla13].[VAR].[All]" allUniqueName="[Tabla13].[VAR].[All]" dimensionUniqueName="[Tabla13]" displayFolder="" count="0" memberValueDatatype="130" unbalanced="0"/>
    <cacheHierarchy uniqueName="[Tabla13].[Jefe Campo]" caption="Jefe Campo" attribute="1" defaultMemberUniqueName="[Tabla13].[Jefe Campo].[All]" allUniqueName="[Tabla13].[Jefe Campo].[All]" dimensionUniqueName="[Tabla13]" displayFolder="" count="0" memberValueDatatype="130" unbalanced="0"/>
    <cacheHierarchy uniqueName="[Tabla13].[VAR-LOTE]" caption="VAR-LOTE" attribute="1" defaultMemberUniqueName="[Tabla13].[VAR-LOTE].[All]" allUniqueName="[Tabla13].[VAR-LOTE].[All]" dimensionUniqueName="[Tabla13]" displayFolder="" count="0" memberValueDatatype="130" unbalanced="0"/>
    <cacheHierarchy uniqueName="[Tabla13].[PATRON]" caption="PATRON" attribute="1" defaultMemberUniqueName="[Tabla13].[PATRON].[All]" allUniqueName="[Tabla13].[PATRON].[All]" dimensionUniqueName="[Tabla13]" displayFolder="" count="0" memberValueDatatype="130" unbalanced="0"/>
    <cacheHierarchy uniqueName="[Tabla13].[Casa comercial]" caption="Casa comercial" attribute="1" defaultMemberUniqueName="[Tabla13].[Casa comercial].[All]" allUniqueName="[Tabla13].[Casa comercial].[All]" dimensionUniqueName="[Tabla13]" displayFolder="" count="0" memberValueDatatype="130" unbalanced="0"/>
    <cacheHierarchy uniqueName="[Tabla13].[AÑO]" caption="AÑO" attribute="1" defaultMemberUniqueName="[Tabla13].[AÑO].[All]" allUniqueName="[Tabla13].[AÑO].[All]" dimensionUniqueName="[Tabla13]" displayFolder="" count="0" memberValueDatatype="20" unbalanced="0"/>
    <cacheHierarchy uniqueName="[Tabla13].[Densidades]" caption="Densidades" attribute="1" defaultMemberUniqueName="[Tabla13].[Densidades].[All]" allUniqueName="[Tabla13].[Densidades].[All]" dimensionUniqueName="[Tabla13]" displayFolder="" count="0" memberValueDatatype="5" unbalanced="0"/>
    <cacheHierarchy uniqueName="[Tabla13].[Total Has]" caption="Total Has" attribute="1" defaultMemberUniqueName="[Tabla13].[Total Has].[All]" allUniqueName="[Tabla13].[Total Has].[All]" dimensionUniqueName="[Tabla13]" displayFolder="" count="0" memberValueDatatype="5" unbalanced="0"/>
    <cacheHierarchy uniqueName="[Tabla13].[Has Productivas]" caption="Has Productivas" attribute="1" defaultMemberUniqueName="[Tabla13].[Has Productivas].[All]" allUniqueName="[Tabla13].[Has Productivas].[All]" dimensionUniqueName="[Tabla13]" displayFolder="" count="0" memberValueDatatype="5" unbalanced="0"/>
    <cacheHierarchy uniqueName="[Tabla13].[Has Formación]" caption="Has Formación" attribute="1" defaultMemberUniqueName="[Tabla13].[Has Formación].[All]" allUniqueName="[Tabla13].[Has Formación].[All]" dimensionUniqueName="[Tabla13]" displayFolder="" count="0" memberValueDatatype="5" unbalanced="0"/>
    <cacheHierarchy uniqueName="[Tabla13].[Has Faltantes]" caption="Has Faltantes" attribute="1" defaultMemberUniqueName="[Tabla13].[Has Faltantes].[All]" allUniqueName="[Tabla13].[Has Faltantes].[All]" dimensionUniqueName="[Tabla13]" displayFolder="" count="0" memberValueDatatype="5" unbalanced="0"/>
    <cacheHierarchy uniqueName="[Tabla13].[Total Espacios Censo]" caption="Total Espacios Censo" attribute="1" defaultMemberUniqueName="[Tabla13].[Total Espacios Censo].[All]" allUniqueName="[Tabla13].[Total Espacios Censo].[All]" dimensionUniqueName="[Tabla13]" displayFolder="" count="0" memberValueDatatype="5" unbalanced="0"/>
    <cacheHierarchy uniqueName="[Tabla13].[Pltas. Prod. Censo]" caption="Pltas. Prod. Censo" attribute="1" defaultMemberUniqueName="[Tabla13].[Pltas. Prod. Censo].[All]" allUniqueName="[Tabla13].[Pltas. Prod. Censo].[All]" dimensionUniqueName="[Tabla13]" displayFolder="" count="0" memberValueDatatype="5" unbalanced="0"/>
    <cacheHierarchy uniqueName="[Tabla13].[Pltas Formación Censo]" caption="Pltas Formación Censo" attribute="1" defaultMemberUniqueName="[Tabla13].[Pltas Formación Censo].[All]" allUniqueName="[Tabla13].[Pltas Formación Censo].[All]" dimensionUniqueName="[Tabla13]" displayFolder="" count="0" memberValueDatatype="5" unbalanced="0"/>
    <cacheHierarchy uniqueName="[Tabla13].[Espacios vacíos Censo]" caption="Espacios vacíos Censo" attribute="1" defaultMemberUniqueName="[Tabla13].[Espacios vacíos Censo].[All]" allUniqueName="[Tabla13].[Espacios vacíos Censo].[All]" dimensionUniqueName="[Tabla13]" displayFolder="" count="0" memberValueDatatype="5" unbalanced="0"/>
    <cacheHierarchy uniqueName="[Tabla13].[distancia_planta]" caption="distancia_planta" attribute="1" defaultMemberUniqueName="[Tabla13].[distancia_planta].[All]" allUniqueName="[Tabla13].[distancia_planta].[All]" dimensionUniqueName="[Tabla13]" displayFolder="" count="0" memberValueDatatype="5" unbalanced="0"/>
    <cacheHierarchy uniqueName="[Tabla13].[distancia_calle]" caption="distancia_calle" attribute="1" defaultMemberUniqueName="[Tabla13].[distancia_calle].[All]" allUniqueName="[Tabla13].[distancia_calle].[All]" dimensionUniqueName="[Tabla13]" displayFolder="" count="0" memberValueDatatype="5" unbalanced="0"/>
    <cacheHierarchy uniqueName="[Tabla13].[Estado]" caption="Estado" attribute="1" defaultMemberUniqueName="[Tabla13].[Estado].[All]" allUniqueName="[Tabla13].[Estado].[All]" dimensionUniqueName="[Tabla13]" displayFolder="" count="0" memberValueDatatype="130" unbalanced="0"/>
    <cacheHierarchy uniqueName="[Tabla13].[Fecha plantación]" caption="Fecha plantación" attribute="1" defaultMemberUniqueName="[Tabla13].[Fecha plantación].[All]" allUniqueName="[Tabla13].[Fecha plantación].[All]" dimensionUniqueName="[Tabla13]" displayFolder="" count="0" memberValueDatatype="130" unbalanced="0"/>
    <cacheHierarchy uniqueName="[Tabla13].[Edad]" caption="Edad" attribute="1" defaultMemberUniqueName="[Tabla13].[Edad].[All]" allUniqueName="[Tabla13].[Edad].[All]" dimensionUniqueName="[Tabla13]" displayFolder="" count="0" memberValueDatatype="130" unbalanced="0"/>
    <cacheHierarchy uniqueName="[Tabla13].[Tipo Parron]" caption="Tipo Parron" attribute="1" defaultMemberUniqueName="[Tabla13].[Tipo Parron].[All]" allUniqueName="[Tabla13].[Tipo Parron].[All]" dimensionUniqueName="[Tabla13]" displayFolder="" count="0" memberValueDatatype="130" unbalanced="0"/>
    <cacheHierarchy uniqueName="[Tabla13].[Fecha nacimiento]" caption="Fecha nacimiento" attribute="1" time="1" defaultMemberUniqueName="[Tabla13].[Fecha nacimiento].[All]" allUniqueName="[Tabla13].[Fecha nacimiento].[All]" dimensionUniqueName="[Tabla13]" displayFolder="" count="0" memberValueDatatype="7" unbalanced="0"/>
    <cacheHierarchy uniqueName="[Tabla13].[Edad-Sup]" caption="Edad-Sup" attribute="1" defaultMemberUniqueName="[Tabla13].[Edad-Sup].[All]" allUniqueName="[Tabla13].[Edad-Sup].[All]" dimensionUniqueName="[Tabla13]" displayFolder="" count="0" memberValueDatatype="20" unbalanced="0"/>
    <cacheHierarchy uniqueName="[Tabla13].[N° celular]" caption="N° celular" attribute="1" defaultMemberUniqueName="[Tabla13].[N° celular].[All]" allUniqueName="[Tabla13].[N° celular].[All]" dimensionUniqueName="[Tabla13]" displayFolder="" count="0" memberValueDatatype="20" unbalanced="0"/>
    <cacheHierarchy uniqueName="[Tabla13].[Dirección]" caption="Dirección" attribute="1" defaultMemberUniqueName="[Tabla13].[Dirección].[All]" allUniqueName="[Tabla13].[Dirección].[All]" dimensionUniqueName="[Tabla13]" displayFolder="" count="0" memberValueDatatype="130" unbalanced="0"/>
    <cacheHierarchy uniqueName="[Tabla13].[Nivel Educativo]" caption="Nivel Educativo" attribute="1" defaultMemberUniqueName="[Tabla13].[Nivel Educativo].[All]" allUniqueName="[Tabla13].[Nivel Educativo].[All]" dimensionUniqueName="[Tabla13]" displayFolder="" count="0" memberValueDatatype="130" unbalanced="0"/>
    <cacheHierarchy uniqueName="[Tabla13].[Carrera]" caption="Carrera" attribute="1" defaultMemberUniqueName="[Tabla13].[Carrera].[All]" allUniqueName="[Tabla13].[Carrera].[All]" dimensionUniqueName="[Tabla13]" displayFolder="" count="0" memberValueDatatype="130" unbalanced="0"/>
    <cacheHierarchy uniqueName="[Tabla13].[Supervisor de lote]" caption="Supervisor de lote" attribute="1" defaultMemberUniqueName="[Tabla13].[Supervisor de lote].[All]" allUniqueName="[Tabla13].[Supervisor de lote].[All]" dimensionUniqueName="[Tabla13]" displayFolder="" count="0" memberValueDatatype="130" unbalanced="0"/>
    <cacheHierarchy uniqueName="[Tabla13].[Subgerente]" caption="Subgerente" attribute="1" defaultMemberUniqueName="[Tabla13].[Subgerente].[All]" allUniqueName="[Tabla13].[Subgerente].[All]" dimensionUniqueName="[Tabla13]" displayFolder="" count="0" memberValueDatatype="130" unbalanced="0"/>
    <cacheHierarchy uniqueName="[Measures].[Plantas_prod]" caption="Plantas_prod" measure="1" displayFolder="" measureGroup="Datos_valvulas" count="0"/>
    <cacheHierarchy uniqueName="[Measures].[Plantas_formacion]" caption="Plantas_formacion" measure="1" displayFolder="" measureGroup="Datos_valvulas" count="0"/>
    <cacheHierarchy uniqueName="[Measures].[E_Vacios]" caption="E_Vacios" measure="1" displayFolder="" measureGroup="Datos_valvulas" count="0"/>
    <cacheHierarchy uniqueName="[Measures].[Total_plantas]" caption="Total_plantas" measure="1" displayFolder="" measureGroup="Datos_valvulas" count="0"/>
    <cacheHierarchy uniqueName="[Measures].[Has_prod_valv]" caption="Has_prod_valv" measure="1" displayFolder="" measureGroup="Datos_valvulas" count="0"/>
    <cacheHierarchy uniqueName="[Measures].[Has_form_valv]" caption="Has_form_valv" measure="1" displayFolder="" measureGroup="Datos_valvulas" count="0"/>
    <cacheHierarchy uniqueName="[Measures].[Has_vacias_valv]" caption="Has_vacias_valv" measure="1" displayFolder="" measureGroup="Datos_valvulas" count="0"/>
    <cacheHierarchy uniqueName="[Measures].[Has_Total_valv]" caption="Has_Total_valv" measure="1" displayFolder="" measureGroup="Datos_valvulas" count="0"/>
    <cacheHierarchy uniqueName="[Measures].[Fecha_inicio]" caption="Fecha_inicio" measure="1" displayFolder="" measureGroup="gantt_diario" count="0"/>
    <cacheHierarchy uniqueName="[Measures].[Fecha_fin]" caption="Fecha_fin" measure="1" displayFolder="" measureGroup="gantt_diario" count="0"/>
    <cacheHierarchy uniqueName="[Measures].[Años_1ra_plant]" caption="Años_1ra_plant" measure="1" displayFolder="" measureGroup="Primera_plantacion" count="0"/>
    <cacheHierarchy uniqueName="[Measures].[Has_prod]" caption="Has_prod" measure="1" displayFolder="" measureGroup="MAESTRO_LOTES" count="0" oneField="1">
      <fieldsUsage count="1">
        <fieldUsage x="5"/>
      </fieldsUsage>
    </cacheHierarchy>
    <cacheHierarchy uniqueName="[Measures].[Has_totales]" caption="Has_totales" measure="1" displayFolder="" measureGroup="MAESTRO_LOTES" count="0" oneField="1">
      <fieldsUsage count="1">
        <fieldUsage x="3"/>
      </fieldsUsage>
    </cacheHierarchy>
    <cacheHierarchy uniqueName="[Measures].[Has_form]" caption="Has_form" measure="1" displayFolder="" measureGroup="MAESTRO_LOTES" count="0" oneField="1">
      <fieldsUsage count="1">
        <fieldUsage x="4"/>
      </fieldsUsage>
    </cacheHierarchy>
    <cacheHierarchy uniqueName="[Measures].[Has_faltantes]" caption="Has_faltantes" measure="1" displayFolder="" measureGroup="MAESTRO_LOTES" count="0"/>
    <cacheHierarchy uniqueName="[Measures].[__XL_Count Datos_valvulas]" caption="__XL_Count Datos_valvulas" measure="1" displayFolder="" measureGroup="Datos_valvulas" count="0" hidden="1"/>
    <cacheHierarchy uniqueName="[Measures].[__XL_Count gantt_diario]" caption="__XL_Count gantt_diario" measure="1" displayFolder="" measureGroup="gantt_diario" count="0" hidden="1"/>
    <cacheHierarchy uniqueName="[Measures].[__XL_Count Primera_plantacion]" caption="__XL_Count Primera_plantacion" measure="1" displayFolder="" measureGroup="Primera_plantacion" count="0" hidden="1"/>
    <cacheHierarchy uniqueName="[Measures].[__XL_Count CAMPOS]" caption="__XL_Count CAMPOS" measure="1" displayFolder="" measureGroup="CAMPOS" count="0" hidden="1"/>
    <cacheHierarchy uniqueName="[Measures].[__XL_Count MAESTRO_LOTES]" caption="__XL_Count MAESTRO_LOTES" measure="1" displayFolder="" measureGroup="MAESTRO_LOTES" count="0" hidden="1"/>
    <cacheHierarchy uniqueName="[Measures].[__XL_Count Tabla13]" caption="__XL_Count Tabla13" measure="1" displayFolder="" measureGroup="Tabla13" count="0" hidden="1"/>
    <cacheHierarchy uniqueName="[Measures].[__No measures defined]" caption="__No measures defined" measure="1" displayFolder="" count="0" hidden="1"/>
    <cacheHierarchy uniqueName="[Measures].[Recuento de 1ra plantacion]" caption="Recuento de 1ra plantacion" measure="1" displayFolder="" measureGroup="Primera_plantacion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a de Has Productivas]" caption="Suma de Has Productivas" measure="1" displayFolder="" measureGroup="MAESTRO_LOTES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Suma de Total Has]" caption="Suma de Total Has" measure="1" displayFolder="" measureGroup="MAESTRO_LOTES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a de Has Formación]" caption="Suma de Has Formación" measure="1" displayFolder="" measureGroup="Tabla13" count="0" hidden="1">
      <extLst>
        <ext xmlns:x15="http://schemas.microsoft.com/office/spreadsheetml/2010/11/main" uri="{B97F6D7D-B522-45F9-BDA1-12C45D357490}">
          <x15:cacheHierarchy aggregatedColumn="69"/>
        </ext>
      </extLst>
    </cacheHierarchy>
    <cacheHierarchy uniqueName="[Measures].[Suma de Has Formación 2]" caption="Suma de Has Formación 2" measure="1" displayFolder="" measureGroup="MAESTRO_LOTES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a de Densidades]" caption="Suma de Densidades" measure="1" displayFolder="" measureGroup="MAESTRO_LOTES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Promedio de Densidades]" caption="Promedio de Densidades" measure="1" displayFolder="" measureGroup="MAESTRO_LOTES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Recuento de Fecha plantación]" caption="Recuento de Fecha plantación" measure="1" displayFolder="" measureGroup="MAESTRO_LOTES" count="0" hidden="1">
      <extLst>
        <ext xmlns:x15="http://schemas.microsoft.com/office/spreadsheetml/2010/11/main" uri="{B97F6D7D-B522-45F9-BDA1-12C45D357490}">
          <x15:cacheHierarchy aggregatedColumn="36"/>
        </ext>
      </extLst>
    </cacheHierarchy>
  </cacheHierarchies>
  <kpis count="0"/>
  <dimensions count="7">
    <dimension name="CAMPOS" uniqueName="[CAMPOS]" caption="CAMPOS"/>
    <dimension name="Datos_valvulas" uniqueName="[Datos_valvulas]" caption="Datos_valvulas"/>
    <dimension name="gantt_diario" uniqueName="[gantt_diario]" caption="gantt_diario"/>
    <dimension name="MAESTRO_LOTES" uniqueName="[MAESTRO_LOTES]" caption="MAESTRO_LOTES"/>
    <dimension measure="1" name="Measures" uniqueName="[Measures]" caption="Measures"/>
    <dimension name="Primera_plantacion" uniqueName="[Primera_plantacion]" caption="Primera_plantacion"/>
    <dimension name="Tabla13" uniqueName="[Tabla13]" caption="Tabla13"/>
  </dimensions>
  <measureGroups count="6">
    <measureGroup name="CAMPOS" caption="CAMPOS"/>
    <measureGroup name="Datos_valvulas" caption="Datos_valvulas"/>
    <measureGroup name="gantt_diario" caption="gantt_diario"/>
    <measureGroup name="MAESTRO_LOTES" caption="MAESTRO_LOTES"/>
    <measureGroup name="Primera_plantacion" caption="Primera_plantacion"/>
    <measureGroup name="Tabla13" caption="Tabla13"/>
  </measureGroups>
  <maps count="7">
    <map measureGroup="0" dimension="0"/>
    <map measureGroup="1" dimension="1"/>
    <map measureGroup="2" dimension="2"/>
    <map measureGroup="3" dimension="3"/>
    <map measureGroup="4" dimension="0"/>
    <map measureGroup="4" dimension="5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7">
  <r>
    <s v="Producción"/>
    <x v="0"/>
    <x v="0"/>
  </r>
  <r>
    <s v="Producción"/>
    <x v="1"/>
    <x v="0"/>
  </r>
  <r>
    <s v="Producción"/>
    <x v="2"/>
    <x v="0"/>
  </r>
  <r>
    <s v="Producción"/>
    <x v="3"/>
    <x v="0"/>
  </r>
  <r>
    <s v="Producción"/>
    <x v="4"/>
    <x v="0"/>
  </r>
  <r>
    <s v="Producción"/>
    <x v="5"/>
    <x v="0"/>
  </r>
  <r>
    <s v="Producción"/>
    <x v="6"/>
    <x v="0"/>
  </r>
  <r>
    <s v="Producción"/>
    <x v="7"/>
    <x v="0"/>
  </r>
  <r>
    <s v="Producción"/>
    <x v="8"/>
    <x v="1"/>
  </r>
  <r>
    <s v="Producción"/>
    <x v="9"/>
    <x v="1"/>
  </r>
  <r>
    <s v="Producción"/>
    <x v="10"/>
    <x v="1"/>
  </r>
  <r>
    <s v="Producción"/>
    <x v="11"/>
    <x v="1"/>
  </r>
  <r>
    <s v="Producción"/>
    <x v="12"/>
    <x v="1"/>
  </r>
  <r>
    <s v="Producción"/>
    <x v="13"/>
    <x v="1"/>
  </r>
  <r>
    <s v="Producción"/>
    <x v="14"/>
    <x v="1"/>
  </r>
  <r>
    <s v="Producción"/>
    <x v="15"/>
    <x v="1"/>
  </r>
  <r>
    <s v="Producción"/>
    <x v="16"/>
    <x v="1"/>
  </r>
  <r>
    <s v="Producción"/>
    <x v="17"/>
    <x v="1"/>
  </r>
  <r>
    <s v="Producción"/>
    <x v="18"/>
    <x v="2"/>
  </r>
  <r>
    <s v="Producción"/>
    <x v="19"/>
    <x v="2"/>
  </r>
  <r>
    <s v="Producción"/>
    <x v="20"/>
    <x v="2"/>
  </r>
  <r>
    <s v="Producción"/>
    <x v="21"/>
    <x v="2"/>
  </r>
  <r>
    <s v="Producción"/>
    <x v="22"/>
    <x v="2"/>
  </r>
  <r>
    <s v="Producción"/>
    <x v="23"/>
    <x v="2"/>
  </r>
  <r>
    <s v="Producción"/>
    <x v="24"/>
    <x v="2"/>
  </r>
  <r>
    <s v="Producción"/>
    <x v="25"/>
    <x v="2"/>
  </r>
  <r>
    <s v="Producción"/>
    <x v="26"/>
    <x v="2"/>
  </r>
  <r>
    <s v="Producción"/>
    <x v="27"/>
    <x v="3"/>
  </r>
  <r>
    <s v="Producción"/>
    <x v="28"/>
    <x v="3"/>
  </r>
  <r>
    <s v="Producción"/>
    <x v="29"/>
    <x v="3"/>
  </r>
  <r>
    <s v="Producción"/>
    <x v="30"/>
    <x v="3"/>
  </r>
  <r>
    <s v="Producción"/>
    <x v="31"/>
    <x v="3"/>
  </r>
  <r>
    <s v="Producción"/>
    <x v="32"/>
    <x v="3"/>
  </r>
  <r>
    <s v="Producción"/>
    <x v="33"/>
    <x v="3"/>
  </r>
  <r>
    <s v="Producción"/>
    <x v="34"/>
    <x v="3"/>
  </r>
  <r>
    <s v="Producción"/>
    <x v="35"/>
    <x v="3"/>
  </r>
  <r>
    <s v="Producción"/>
    <x v="36"/>
    <x v="3"/>
  </r>
  <r>
    <s v="Producción"/>
    <x v="37"/>
    <x v="4"/>
  </r>
  <r>
    <s v="Producción"/>
    <x v="38"/>
    <x v="4"/>
  </r>
  <r>
    <s v="Producción"/>
    <x v="39"/>
    <x v="4"/>
  </r>
  <r>
    <s v="Producción"/>
    <x v="40"/>
    <x v="4"/>
  </r>
  <r>
    <s v="Producción"/>
    <x v="41"/>
    <x v="4"/>
  </r>
  <r>
    <s v="Producción"/>
    <x v="42"/>
    <x v="4"/>
  </r>
  <r>
    <s v="Producción"/>
    <x v="43"/>
    <x v="4"/>
  </r>
  <r>
    <s v="Producción"/>
    <x v="44"/>
    <x v="4"/>
  </r>
  <r>
    <s v="Producción"/>
    <x v="45"/>
    <x v="4"/>
  </r>
  <r>
    <s v="Producción"/>
    <x v="46"/>
    <x v="4"/>
  </r>
  <r>
    <s v="Producción"/>
    <x v="47"/>
    <x v="4"/>
  </r>
  <r>
    <s v="Producción"/>
    <x v="48"/>
    <x v="4"/>
  </r>
  <r>
    <s v="Producción"/>
    <x v="49"/>
    <x v="4"/>
  </r>
  <r>
    <s v="Producción"/>
    <x v="50"/>
    <x v="5"/>
  </r>
  <r>
    <s v="Producción"/>
    <x v="51"/>
    <x v="5"/>
  </r>
  <r>
    <s v="Producción"/>
    <x v="52"/>
    <x v="5"/>
  </r>
  <r>
    <s v="Producción"/>
    <x v="53"/>
    <x v="5"/>
  </r>
  <r>
    <s v="Producción"/>
    <x v="54"/>
    <x v="5"/>
  </r>
  <r>
    <s v="Producción"/>
    <x v="55"/>
    <x v="5"/>
  </r>
  <r>
    <s v="Producción"/>
    <x v="56"/>
    <x v="5"/>
  </r>
  <r>
    <s v="Producción"/>
    <x v="57"/>
    <x v="5"/>
  </r>
  <r>
    <s v="Producción"/>
    <x v="58"/>
    <x v="5"/>
  </r>
  <r>
    <s v="Producción"/>
    <x v="59"/>
    <x v="5"/>
  </r>
  <r>
    <s v="Producción"/>
    <x v="60"/>
    <x v="5"/>
  </r>
  <r>
    <s v="Producción"/>
    <x v="61"/>
    <x v="6"/>
  </r>
  <r>
    <s v="Producción"/>
    <x v="62"/>
    <x v="6"/>
  </r>
  <r>
    <s v="Producción"/>
    <x v="63"/>
    <x v="6"/>
  </r>
  <r>
    <s v="Producción"/>
    <x v="64"/>
    <x v="6"/>
  </r>
  <r>
    <s v="Producción"/>
    <x v="65"/>
    <x v="6"/>
  </r>
  <r>
    <s v="Producción"/>
    <x v="66"/>
    <x v="6"/>
  </r>
  <r>
    <s v="Producción"/>
    <x v="67"/>
    <x v="6"/>
  </r>
  <r>
    <s v="Producción"/>
    <x v="68"/>
    <x v="6"/>
  </r>
  <r>
    <s v="Producción"/>
    <x v="69"/>
    <x v="6"/>
  </r>
  <r>
    <s v="Producción"/>
    <x v="70"/>
    <x v="6"/>
  </r>
  <r>
    <s v="Producción"/>
    <x v="71"/>
    <x v="6"/>
  </r>
  <r>
    <s v="Producción"/>
    <x v="72"/>
    <x v="6"/>
  </r>
  <r>
    <s v="Producción"/>
    <x v="73"/>
    <x v="7"/>
  </r>
  <r>
    <s v="Producción"/>
    <x v="74"/>
    <x v="7"/>
  </r>
  <r>
    <s v="Producción"/>
    <x v="75"/>
    <x v="7"/>
  </r>
  <r>
    <s v="Producción"/>
    <x v="76"/>
    <x v="7"/>
  </r>
  <r>
    <s v="Habilitación 2024"/>
    <x v="77"/>
    <x v="2"/>
  </r>
  <r>
    <s v="Habilitación 2024"/>
    <x v="78"/>
    <x v="2"/>
  </r>
  <r>
    <s v="Futura habilitación"/>
    <x v="79"/>
    <x v="1"/>
  </r>
  <r>
    <s v="Futura habilitación"/>
    <x v="80"/>
    <x v="3"/>
  </r>
  <r>
    <s v="Futura habilitación"/>
    <x v="81"/>
    <x v="7"/>
  </r>
  <r>
    <s v="Futura habilitación"/>
    <x v="82"/>
    <x v="7"/>
  </r>
  <r>
    <s v="Futura habilitación"/>
    <x v="83"/>
    <x v="8"/>
  </r>
  <r>
    <s v="Futura habilitación"/>
    <x v="84"/>
    <x v="8"/>
  </r>
  <r>
    <s v="Futura habilitación"/>
    <x v="85"/>
    <x v="8"/>
  </r>
  <r>
    <s v="Futura habilitación"/>
    <x v="86"/>
    <x v="8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89">
  <r>
    <s v="JACK´S SALUTE"/>
    <x v="0"/>
    <x v="0"/>
    <s v="T8"/>
    <x v="0"/>
    <s v="JSF01"/>
    <s v="Freedom"/>
    <s v="IFG"/>
    <x v="0"/>
    <n v="1684"/>
    <n v="10.24"/>
    <n v="10.16"/>
    <n v="0.06"/>
    <n v="2.0000000000000073E-2"/>
    <n v="17244"/>
    <n v="17112"/>
    <n v="94"/>
    <n v="38"/>
    <n v="1.8"/>
    <n v="3.3"/>
    <x v="0"/>
    <d v="2018-07-21T00:00:00"/>
    <n v="6"/>
    <s v="Oppen Gable"/>
    <d v="1984-10-29T00:00:00"/>
    <n v="40"/>
    <n v="965699885"/>
    <s v="Progreso Bajo"/>
    <s v="Tambogrande"/>
    <s v="Educación secundaria"/>
    <m/>
    <x v="0"/>
    <s v="Roger Calapuja"/>
    <s v="KEVIN"/>
    <s v="Junior S"/>
    <s v="CAMPO2"/>
  </r>
  <r>
    <s v="JACK´S SALUTE"/>
    <x v="1"/>
    <x v="0"/>
    <s v="T8"/>
    <x v="0"/>
    <s v="JSF02"/>
    <s v="Freedom"/>
    <s v="IFG"/>
    <x v="0"/>
    <n v="1684"/>
    <n v="13.54"/>
    <n v="13.42"/>
    <n v="0.08"/>
    <n v="3.9999999999999217E-2"/>
    <n v="22805"/>
    <n v="22596"/>
    <n v="128"/>
    <n v="81"/>
    <n v="1.8"/>
    <n v="3.3"/>
    <x v="0"/>
    <d v="2018-07-25T00:00:00"/>
    <n v="6"/>
    <s v="Oppen Gable"/>
    <d v="1984-10-29T00:00:00"/>
    <n v="40"/>
    <n v="965699885"/>
    <s v="Progreso Bajo"/>
    <s v="Tambogrande"/>
    <s v="Educación secundaria"/>
    <m/>
    <x v="0"/>
    <s v="Roger Calapuja"/>
    <s v="KEVIN"/>
    <s v="Junior S"/>
    <s v="CAMPO2"/>
  </r>
  <r>
    <s v="JACK´S SALUTE"/>
    <x v="2"/>
    <x v="0"/>
    <s v="T8"/>
    <x v="0"/>
    <s v="JSF03"/>
    <s v="Freedom"/>
    <s v="IFG"/>
    <x v="0"/>
    <n v="1684"/>
    <n v="14.81"/>
    <n v="14.42"/>
    <n v="0.32"/>
    <n v="7.0000000000000562E-2"/>
    <n v="24934"/>
    <n v="24279"/>
    <n v="547"/>
    <n v="108"/>
    <n v="1.8"/>
    <n v="3.3"/>
    <x v="0"/>
    <d v="2018-07-27T00:00:00"/>
    <n v="6"/>
    <s v="Oppen Gable"/>
    <d v="1997-08-21T00:00:00"/>
    <n v="27"/>
    <n v="951800391"/>
    <s v="URB Micaela Bastidas Etapa 4 Mz O3 Lote 3"/>
    <s v="Piura"/>
    <s v="Educación superior universitaria"/>
    <s v="Agronomía "/>
    <x v="1"/>
    <s v="Roger Calapuja"/>
    <s v="KEVIN"/>
    <s v="Junior S"/>
    <s v="CAMPO2"/>
  </r>
  <r>
    <s v="JACK´S SALUTE"/>
    <x v="3"/>
    <x v="0"/>
    <s v="T8"/>
    <x v="0"/>
    <s v="JSF04"/>
    <s v="Freedom"/>
    <s v="IFG"/>
    <x v="0"/>
    <n v="1262"/>
    <n v="12.26"/>
    <n v="11.99"/>
    <n v="0.16"/>
    <n v="0.10999999999999957"/>
    <n v="15472"/>
    <n v="15129"/>
    <n v="204"/>
    <n v="139"/>
    <n v="2.4"/>
    <n v="3.3"/>
    <x v="0"/>
    <d v="2018-09-03T00:00:00"/>
    <n v="6"/>
    <s v="Oppen Gable"/>
    <d v="1997-08-21T00:00:00"/>
    <n v="27"/>
    <n v="934012411"/>
    <s v="Caserio el papayo medio piura"/>
    <n v="0"/>
    <s v="Educación secundaria"/>
    <s v="Agronomía "/>
    <x v="2"/>
    <s v="Roger Calapuja"/>
    <s v="KEVIN"/>
    <s v="Junior S"/>
    <s v="CAMPO2"/>
  </r>
  <r>
    <s v="JACK´S SALUTE"/>
    <x v="4"/>
    <x v="0"/>
    <s v="T8"/>
    <x v="0"/>
    <s v="JSE01"/>
    <s v="Salt Creek"/>
    <s v="IFG"/>
    <x v="0"/>
    <n v="1894"/>
    <n v="14.96"/>
    <n v="14.78"/>
    <n v="0.08"/>
    <n v="0.10000000000000149"/>
    <n v="28343"/>
    <n v="28000"/>
    <n v="159"/>
    <n v="184"/>
    <n v="1.6"/>
    <n v="3.3"/>
    <x v="0"/>
    <d v="2021-07-15T00:00:00"/>
    <n v="3"/>
    <s v="Oppen Gable"/>
    <d v="1994-10-24T00:00:00"/>
    <n v="30"/>
    <n v="988291254"/>
    <s v="Expolvorinea mz .g lote 11"/>
    <s v="Piura"/>
    <s v="Educación superior técnica"/>
    <s v="Producion agropecuaria"/>
    <x v="3"/>
    <s v="Roger Calapuja"/>
    <s v="KEVIN"/>
    <s v="Junior S"/>
    <s v="CAMPO2"/>
  </r>
  <r>
    <s v="JACK´S SALUTE"/>
    <x v="5"/>
    <x v="0"/>
    <s v="T8"/>
    <x v="0"/>
    <s v="JSE02"/>
    <s v="Salt Creek"/>
    <s v="IFG"/>
    <x v="0"/>
    <n v="1894"/>
    <n v="4.3600000000000003"/>
    <n v="4.09"/>
    <n v="0.17"/>
    <n v="0.10000000000000045"/>
    <n v="8256"/>
    <n v="7755"/>
    <n v="327"/>
    <n v="174"/>
    <n v="1.6"/>
    <n v="3.3"/>
    <x v="0"/>
    <d v="2021-07-21T00:00:00"/>
    <n v="3"/>
    <s v="Oppen Gable"/>
    <d v="1994-10-24T00:00:00"/>
    <n v="30"/>
    <n v="988291254"/>
    <s v="Expolvorinea mz .g lote 11"/>
    <s v="Piura"/>
    <s v="Educación superior técnica"/>
    <s v="Producion agropecuaria"/>
    <x v="3"/>
    <s v="Roger Calapuja"/>
    <s v="KEVIN"/>
    <s v="Junior S"/>
    <s v="CAMPO2"/>
  </r>
  <r>
    <s v="JACK´S SALUTE"/>
    <x v="6"/>
    <x v="0"/>
    <s v="T8"/>
    <x v="0"/>
    <s v="JSE03"/>
    <s v="Salt Creek"/>
    <s v="IFG"/>
    <x v="0"/>
    <n v="1894"/>
    <n v="7.85"/>
    <n v="6.67"/>
    <n v="1.1100000000000001"/>
    <n v="6.9999999999999618E-2"/>
    <n v="14870"/>
    <n v="12633"/>
    <n v="2103"/>
    <n v="134"/>
    <n v="1.6"/>
    <n v="3.3"/>
    <x v="0"/>
    <d v="2021-07-23T00:00:00"/>
    <n v="3"/>
    <s v="Oppen Gable"/>
    <d v="1985-04-16T00:00:00"/>
    <n v="39"/>
    <n v="976412072"/>
    <s v="Caserío Terela Medio Piura"/>
    <s v="Terela"/>
    <s v="Educacion superior técnica incompleta"/>
    <s v=" Computación e Informática"/>
    <x v="4"/>
    <s v="Roger Calapuja"/>
    <s v="KEVIN"/>
    <s v="Junior S"/>
    <s v="CAMPO2"/>
  </r>
  <r>
    <s v="JACK´S SALUTE"/>
    <x v="7"/>
    <x v="0"/>
    <s v="T8"/>
    <x v="0"/>
    <s v="JSE04"/>
    <s v="Salt Creek"/>
    <s v="IFG"/>
    <x v="0"/>
    <n v="1905"/>
    <n v="13.08"/>
    <n v="10.98"/>
    <n v="1.53"/>
    <n v="0.56999999999999962"/>
    <n v="24926"/>
    <n v="20912"/>
    <n v="2920"/>
    <n v="1094"/>
    <n v="1.5"/>
    <n v="3.5"/>
    <x v="0"/>
    <d v="2021-07-26T00:00:00"/>
    <n v="3"/>
    <s v="Oppen Gable"/>
    <d v="1985-04-16T00:00:00"/>
    <n v="39"/>
    <n v="976412072"/>
    <s v="Caserío Terela Medio Piura"/>
    <s v="Terela"/>
    <s v="Educacion superior técnica incompleta"/>
    <s v=" Computación e Informática"/>
    <x v="4"/>
    <s v="Roger Calapuja"/>
    <s v="KEVIN"/>
    <s v="Junior S"/>
    <s v="CAMPO2"/>
  </r>
  <r>
    <s v="TIMPSON"/>
    <x v="8"/>
    <x v="1"/>
    <s v="T4"/>
    <x v="1"/>
    <s v="TMD04"/>
    <s v="Salt Creek"/>
    <s v="SNFL"/>
    <x v="0"/>
    <n v="2070"/>
    <n v="13.75"/>
    <n v="13.57"/>
    <n v="7.0000000000000007E-2"/>
    <n v="0.10999999999999971"/>
    <n v="28460"/>
    <n v="28096"/>
    <n v="154"/>
    <n v="210"/>
    <n v="1.6"/>
    <n v="3.5"/>
    <x v="0"/>
    <d v="2016-10-25T00:00:00"/>
    <n v="8"/>
    <s v="Oppen Gable"/>
    <d v="1987-03-06T00:00:00"/>
    <n v="38"/>
    <n v="962638155"/>
    <s v="Castilla chiclayito calle los pinos"/>
    <s v="Castilla"/>
    <s v="Educación secundaria"/>
    <m/>
    <x v="5"/>
    <s v="Roger Calapuja"/>
    <s v="MOROCHO"/>
    <s v="Junior S"/>
    <s v="CAMPO1"/>
  </r>
  <r>
    <s v="TIMPSON"/>
    <x v="9"/>
    <x v="1"/>
    <s v="T4"/>
    <x v="1"/>
    <s v="TMD05"/>
    <s v="Salt Creek"/>
    <s v="SNFL"/>
    <x v="0"/>
    <n v="2070"/>
    <n v="12.89"/>
    <n v="12.72"/>
    <n v="7.0000000000000007E-2"/>
    <n v="9.9999999999999922E-2"/>
    <n v="26685"/>
    <n v="26327"/>
    <n v="150"/>
    <n v="208"/>
    <n v="1.6"/>
    <n v="3.5"/>
    <x v="0"/>
    <d v="2016-11-04T00:00:00"/>
    <n v="8"/>
    <s v="Oppen Gable"/>
    <d v="1984-09-05T00:00:00"/>
    <n v="40"/>
    <n v="947657425"/>
    <s v="Caserío El Papayo Medio Piura"/>
    <s v="El Papayo"/>
    <s v="Educación secundaria"/>
    <m/>
    <x v="6"/>
    <s v="Roger Calapuja"/>
    <s v="MOROCHO"/>
    <s v="Junior S"/>
    <s v="CAMPO1"/>
  </r>
  <r>
    <s v="TIMPSON"/>
    <x v="10"/>
    <x v="1"/>
    <s v="T4"/>
    <x v="1"/>
    <s v="TMD06"/>
    <s v="Salt Creek"/>
    <s v="SNFL"/>
    <x v="0"/>
    <n v="2070"/>
    <n v="14.22"/>
    <n v="12.87"/>
    <n v="0.15"/>
    <n v="1.2000000000000015"/>
    <n v="29441"/>
    <n v="26635"/>
    <n v="305"/>
    <n v="2501"/>
    <n v="1.6"/>
    <n v="3.5"/>
    <x v="0"/>
    <d v="2016-12-27T00:00:00"/>
    <n v="8"/>
    <s v="Oppen Gable"/>
    <d v="1984-09-05T00:00:00"/>
    <n v="40"/>
    <n v="947657425"/>
    <s v="Caserío El Papayo Medio Piura"/>
    <s v="El Papayo"/>
    <s v="Educación secundaria"/>
    <m/>
    <x v="6"/>
    <s v="Roger Calapuja"/>
    <s v="MOROCHO"/>
    <s v="Junior S"/>
    <s v="CAMPO1"/>
  </r>
  <r>
    <s v="TIMPSON"/>
    <x v="11"/>
    <x v="1"/>
    <s v="T4"/>
    <x v="1"/>
    <s v="TMF05"/>
    <s v="Salt Creek"/>
    <s v="SNFL"/>
    <x v="0"/>
    <n v="1953"/>
    <n v="14.42"/>
    <n v="14.2"/>
    <n v="0.15"/>
    <n v="7.0000000000000645E-2"/>
    <n v="28153"/>
    <n v="27724"/>
    <n v="297"/>
    <n v="132"/>
    <n v="1.6"/>
    <n v="3.3"/>
    <x v="0"/>
    <d v="2019-07-13T00:00:00"/>
    <n v="5"/>
    <s v="Oppen Gable"/>
    <d v="1989-06-06T00:00:00"/>
    <n v="35"/>
    <n v="957943066"/>
    <s v="San Rafael  medio piura"/>
    <s v="Medio Piura"/>
    <s v="Educación secundaria"/>
    <m/>
    <x v="7"/>
    <s v="Roger Calapuja"/>
    <s v="MOROCHO"/>
    <s v="Junior S"/>
    <s v="CAMPO2"/>
  </r>
  <r>
    <s v="TIMPSON"/>
    <x v="12"/>
    <x v="1"/>
    <s v="T4"/>
    <x v="1"/>
    <s v="TMF06"/>
    <s v="Salt Creek"/>
    <s v="SNFL"/>
    <x v="0"/>
    <n v="1953"/>
    <n v="14.27"/>
    <n v="14.26"/>
    <n v="0"/>
    <n v="9.9999999999997868E-3"/>
    <n v="27869"/>
    <n v="27841"/>
    <n v="4"/>
    <n v="24"/>
    <n v="1.6"/>
    <n v="3.3"/>
    <x v="0"/>
    <d v="2019-07-11T00:00:00"/>
    <n v="5"/>
    <s v="Oppen Gable"/>
    <d v="1985-02-04T00:00:00"/>
    <n v="40"/>
    <n v="951464092"/>
    <s v="La obrilla"/>
    <n v="0"/>
    <s v="Educación secundaria"/>
    <m/>
    <x v="8"/>
    <s v="Roger Calapuja"/>
    <s v="MOROCHO"/>
    <s v="Junior S"/>
    <s v="CAMPO2"/>
  </r>
  <r>
    <s v="TIMPSON"/>
    <x v="13"/>
    <x v="1"/>
    <s v="T4"/>
    <x v="1"/>
    <s v="TMF07"/>
    <s v="Salt Creek"/>
    <s v="SNFL"/>
    <x v="0"/>
    <n v="1953"/>
    <n v="14.65"/>
    <n v="14.64"/>
    <n v="0"/>
    <n v="9.9999999999997868E-3"/>
    <n v="28615"/>
    <n v="28584"/>
    <n v="5"/>
    <n v="26"/>
    <n v="1.6"/>
    <n v="3.3"/>
    <x v="0"/>
    <d v="2019-07-08T00:00:00"/>
    <n v="5"/>
    <s v="Oppen Gable"/>
    <d v="1985-02-04T00:00:00"/>
    <n v="40"/>
    <n v="951464092"/>
    <s v="La obrilla"/>
    <n v="0"/>
    <s v="Educación secundaria"/>
    <m/>
    <x v="8"/>
    <s v="Roger Calapuja"/>
    <s v="MOROCHO"/>
    <s v="Junior S"/>
    <s v="CAMPO2"/>
  </r>
  <r>
    <s v="TIMPSON"/>
    <x v="14"/>
    <x v="1"/>
    <s v="T4"/>
    <x v="1"/>
    <s v="TME05"/>
    <s v="Salt Creek"/>
    <s v="SNFL"/>
    <x v="0"/>
    <n v="1780"/>
    <n v="14.09"/>
    <n v="13.35"/>
    <n v="0.06"/>
    <n v="0.68000000000000016"/>
    <n v="25088"/>
    <n v="23756"/>
    <n v="106"/>
    <n v="1226"/>
    <n v="1.6"/>
    <n v="3.5"/>
    <x v="0"/>
    <d v="2020-06-20T00:00:00"/>
    <n v="4"/>
    <s v="Oppen Gable"/>
    <d v="1989-06-06T00:00:00"/>
    <n v="35"/>
    <n v="0"/>
    <n v="0"/>
    <n v="0"/>
    <n v="0"/>
    <m/>
    <x v="9"/>
    <s v="Roger Calapuja"/>
    <s v="MOROCHO"/>
    <s v="Junior S"/>
    <s v="CAMPO2"/>
  </r>
  <r>
    <s v="TIMPSON"/>
    <x v="15"/>
    <x v="1"/>
    <s v="T4"/>
    <x v="1"/>
    <s v="TME06"/>
    <s v="Salt Creek"/>
    <s v="SNFL"/>
    <x v="0"/>
    <n v="1780"/>
    <n v="14.74"/>
    <n v="14.68"/>
    <n v="0"/>
    <n v="6.0000000000000497E-2"/>
    <n v="26240"/>
    <n v="26136"/>
    <n v="8"/>
    <n v="96"/>
    <n v="1.6"/>
    <n v="3.5"/>
    <x v="0"/>
    <d v="2020-06-30T00:00:00"/>
    <n v="4"/>
    <s v="Oppen Gable"/>
    <d v="1997-05-30T00:00:00"/>
    <n v="27"/>
    <n v="954262739"/>
    <s v="Terela medio piura"/>
    <s v="Terela"/>
    <s v="Educación secundaria"/>
    <s v="AGRONOMIA"/>
    <x v="10"/>
    <s v="Roger Calapuja"/>
    <s v="MOROCHO"/>
    <s v="Junior S"/>
    <s v="CAMPO2"/>
  </r>
  <r>
    <s v="TIMPSON"/>
    <x v="16"/>
    <x v="1"/>
    <s v="T4"/>
    <x v="1"/>
    <s v="TME07"/>
    <s v="Salt Creek"/>
    <s v="SNFL"/>
    <x v="0"/>
    <n v="1780"/>
    <n v="14.96"/>
    <n v="14.86"/>
    <n v="0"/>
    <n v="0.10000000000000142"/>
    <n v="26631"/>
    <n v="26446"/>
    <n v="6"/>
    <n v="179"/>
    <n v="1.6"/>
    <n v="3.5"/>
    <x v="0"/>
    <d v="2020-07-03T00:00:00"/>
    <n v="4"/>
    <s v="Oppen Gable"/>
    <d v="1997-05-30T00:00:00"/>
    <n v="27"/>
    <s v="solicitar"/>
    <s v="solicitar"/>
    <n v="0"/>
    <s v="solicitar"/>
    <s v="AGRONOMIA"/>
    <x v="11"/>
    <s v="Roger Calapuja"/>
    <s v="MOROCHO"/>
    <s v="Junior S"/>
    <s v="CAMPO2"/>
  </r>
  <r>
    <s v="ALLISON"/>
    <x v="17"/>
    <x v="2"/>
    <s v="T5"/>
    <x v="2"/>
    <s v="ALB03"/>
    <s v="Salt Creek"/>
    <s v="SNFL"/>
    <x v="0"/>
    <n v="1780"/>
    <n v="7.05"/>
    <n v="6.21"/>
    <n v="0.27"/>
    <n v="0.56999999999999984"/>
    <n v="12544"/>
    <n v="11056"/>
    <n v="486"/>
    <n v="1002"/>
    <n v="1.6"/>
    <n v="3.5"/>
    <x v="0"/>
    <d v="2018-08-20T00:00:00"/>
    <n v="6"/>
    <s v="Oppen Gable"/>
    <d v="1986-09-01T00:00:00"/>
    <n v="38"/>
    <n v="957800460"/>
    <s v="San Vicente "/>
    <n v="0"/>
    <s v="Educación secundaria"/>
    <m/>
    <x v="12"/>
    <s v="Roger Calapuja"/>
    <s v="KEVIN"/>
    <s v="Celso M"/>
    <s v="CAMPO1"/>
  </r>
  <r>
    <s v="JACK´S SALUTE"/>
    <x v="18"/>
    <x v="0"/>
    <s v="T8"/>
    <x v="2"/>
    <s v="JSA01"/>
    <s v="Salt Creek"/>
    <s v="IFG"/>
    <x v="0"/>
    <n v="1780.2"/>
    <n v="15"/>
    <n v="10.68"/>
    <n v="3.47"/>
    <n v="0.85000000000000009"/>
    <n v="26703"/>
    <n v="19018"/>
    <n v="6183"/>
    <n v="1502"/>
    <n v="1.6"/>
    <n v="3.5"/>
    <x v="0"/>
    <d v="2020-07-24T00:00:00"/>
    <n v="4"/>
    <s v="Oppen Gable"/>
    <d v="1997-02-24T00:00:00"/>
    <n v="28"/>
    <s v="solicitar"/>
    <s v="solicitar"/>
    <n v="0"/>
    <s v="solicitar"/>
    <m/>
    <x v="13"/>
    <s v="Roger Calapuja"/>
    <s v="KEVIN"/>
    <s v="Celso M"/>
    <s v="CAMPO1"/>
  </r>
  <r>
    <s v="JACK´S SALUTE"/>
    <x v="19"/>
    <x v="0"/>
    <s v="T8"/>
    <x v="2"/>
    <s v="JSA02"/>
    <s v="Salt Creek"/>
    <s v="IFG"/>
    <x v="0"/>
    <n v="1780.2"/>
    <n v="14.99"/>
    <n v="12.47"/>
    <n v="1.95"/>
    <n v="0.56999999999999962"/>
    <n v="26688"/>
    <n v="22204"/>
    <n v="3474"/>
    <n v="1010"/>
    <n v="1.6"/>
    <n v="3.5"/>
    <x v="0"/>
    <d v="2020-07-27T00:00:00"/>
    <n v="4"/>
    <s v="Oppen Gable"/>
    <d v="1997-02-24T00:00:00"/>
    <n v="28"/>
    <n v="927501356"/>
    <s v="Caserio San Pablo catacaos"/>
    <s v="Catacaos"/>
    <s v="Educación secundaria"/>
    <m/>
    <x v="14"/>
    <s v="Roger Calapuja"/>
    <s v="KEVIN"/>
    <s v="Celso M"/>
    <s v="CAMPO1"/>
  </r>
  <r>
    <s v="JACK´S SALUTE"/>
    <x v="20"/>
    <x v="0"/>
    <s v="T8"/>
    <x v="2"/>
    <s v="JSA03"/>
    <s v="Salt Creek"/>
    <s v="IFG"/>
    <x v="0"/>
    <n v="1779.3333333333333"/>
    <n v="15"/>
    <n v="14.01"/>
    <n v="0.45"/>
    <n v="0.54000000000000026"/>
    <n v="26690"/>
    <n v="24935"/>
    <n v="795"/>
    <n v="960"/>
    <n v="1.6"/>
    <n v="3.5"/>
    <x v="0"/>
    <d v="2020-10-01T00:00:00"/>
    <n v="4"/>
    <s v="Oppen Gable"/>
    <d v="1977-06-12T00:00:00"/>
    <n v="47"/>
    <s v="solicitar"/>
    <s v="solicitar"/>
    <n v="0"/>
    <s v="solicitar"/>
    <m/>
    <x v="15"/>
    <s v="Roger Calapuja"/>
    <s v="KEVIN"/>
    <s v="Celso M"/>
    <s v="CAMPO1"/>
  </r>
  <r>
    <s v="SWEET CELEBRATION"/>
    <x v="21"/>
    <x v="3"/>
    <s v="TS"/>
    <x v="2"/>
    <s v="SCB01"/>
    <s v="Salt Creek"/>
    <s v="IFG"/>
    <x v="0"/>
    <n v="1780"/>
    <n v="14.77"/>
    <n v="14.65"/>
    <n v="0.08"/>
    <n v="3.9999999999999217E-2"/>
    <n v="26289"/>
    <n v="26076"/>
    <n v="149"/>
    <n v="64"/>
    <n v="1.6"/>
    <n v="3.5"/>
    <x v="0"/>
    <d v="2020-07-29T00:00:00"/>
    <n v="4"/>
    <s v="Oppen Gable"/>
    <d v="1976-08-11T00:00:00"/>
    <n v="48"/>
    <n v="960488740"/>
    <s v="La Obrilla "/>
    <s v="Castilla"/>
    <s v="Educación secundaria"/>
    <m/>
    <x v="16"/>
    <s v="Roger Calapuja"/>
    <s v="KEVIN"/>
    <s v="Celso M"/>
    <s v="CAMPO1"/>
  </r>
  <r>
    <s v="SWEET CELEBRATION"/>
    <x v="22"/>
    <x v="3"/>
    <s v="TS"/>
    <x v="2"/>
    <s v="SCB02"/>
    <s v="Salt Creek"/>
    <s v="IFG"/>
    <x v="0"/>
    <n v="1780"/>
    <n v="14.75"/>
    <n v="12.6"/>
    <n v="0.18"/>
    <n v="1.9700000000000004"/>
    <n v="26253"/>
    <n v="22431"/>
    <n v="316"/>
    <n v="3506"/>
    <n v="1.6"/>
    <n v="3.5"/>
    <x v="0"/>
    <d v="2020-08-01T00:00:00"/>
    <n v="4"/>
    <s v="Oppen Gable"/>
    <d v="1976-08-11T00:00:00"/>
    <n v="48"/>
    <s v="solicitar"/>
    <s v="solicitar"/>
    <n v="0"/>
    <s v="solicitar"/>
    <m/>
    <x v="17"/>
    <s v="Roger Calapuja"/>
    <s v="KEVIN"/>
    <s v="Celso M"/>
    <s v="CAMPO1"/>
  </r>
  <r>
    <s v="SWEET CELEBRATION"/>
    <x v="17"/>
    <x v="3"/>
    <s v="TS"/>
    <x v="2"/>
    <s v="SCB03"/>
    <s v="Salt Creek"/>
    <s v="IFG"/>
    <x v="0"/>
    <n v="1780"/>
    <n v="6.91"/>
    <n v="6.21"/>
    <n v="0.18"/>
    <n v="0.52000000000000024"/>
    <n v="12306"/>
    <n v="11058"/>
    <n v="318"/>
    <n v="930"/>
    <n v="1.6"/>
    <n v="3.5"/>
    <x v="0"/>
    <d v="2021-08-02T00:00:00"/>
    <n v="3"/>
    <s v="Oppen Gable"/>
    <d v="1986-09-01T00:00:00"/>
    <n v="38"/>
    <n v="957800460"/>
    <s v="San Vicente "/>
    <n v="0"/>
    <s v="Educación secundaria"/>
    <m/>
    <x v="12"/>
    <s v="Roger Calapuja"/>
    <s v="KEVIN"/>
    <s v="Celso M"/>
    <s v="CAMPO1"/>
  </r>
  <r>
    <s v="ALLISON"/>
    <x v="23"/>
    <x v="2"/>
    <s v="T5"/>
    <x v="3"/>
    <s v="ALG01"/>
    <s v="Salt Creek"/>
    <s v="SNFL"/>
    <x v="0"/>
    <n v="1905"/>
    <n v="2.29"/>
    <n v="2.2400000000000002"/>
    <n v="0.05"/>
    <n v="-1.8041124150158794E-16"/>
    <n v="4367"/>
    <n v="4274"/>
    <n v="90"/>
    <n v="3"/>
    <n v="0.75"/>
    <n v="3"/>
    <x v="0"/>
    <d v="2018-08-20T00:00:00"/>
    <n v="6"/>
    <s v="Español"/>
    <d v="1983-10-03T00:00:00"/>
    <n v="41"/>
    <n v="961627685"/>
    <s v="AAHH Nueva Esperanza Mz A 5 lote 17 calle mancora"/>
    <s v="26 de octubre"/>
    <s v="Educación superior universitaria"/>
    <s v="INGENIERO AGRONOMO"/>
    <x v="18"/>
    <s v="Danitza Celi"/>
    <s v="WALTER"/>
    <s v="Omar G"/>
    <s v="CAMPO2"/>
  </r>
  <r>
    <s v="ALLISON"/>
    <x v="24"/>
    <x v="2"/>
    <s v="T5"/>
    <x v="3"/>
    <s v="ALG02"/>
    <s v="Salt Creek"/>
    <s v="SNFL"/>
    <x v="0"/>
    <n v="1905"/>
    <n v="13.61"/>
    <n v="13.27"/>
    <n v="0.33"/>
    <n v="9.9999999999998423E-3"/>
    <n v="25923"/>
    <n v="25286"/>
    <n v="633"/>
    <n v="4"/>
    <n v="0.75"/>
    <n v="3"/>
    <x v="0"/>
    <d v="2017-07-21T00:00:00"/>
    <n v="7"/>
    <s v="Español"/>
    <d v="1983-10-03T00:00:00"/>
    <n v="41"/>
    <n v="961627685"/>
    <s v="AAHH Nueva Esperanza Mz A 5 lote 17 calle mancora"/>
    <s v="26 de octubre"/>
    <s v="Educación superior universitaria"/>
    <s v="INGENIERO AGRONOMO"/>
    <x v="18"/>
    <s v="Danitza Celi"/>
    <s v="WALTER"/>
    <s v="Omar G"/>
    <s v="CAMPO2"/>
  </r>
  <r>
    <s v="ALLISON"/>
    <x v="25"/>
    <x v="2"/>
    <s v="T5"/>
    <x v="3"/>
    <s v="ALG03"/>
    <s v="Salt Creek"/>
    <s v="SNFL"/>
    <x v="0"/>
    <n v="1905"/>
    <n v="9.73"/>
    <n v="8.2200000000000006"/>
    <n v="0.51"/>
    <n v="0.99999999999999978"/>
    <n v="18533"/>
    <n v="15662"/>
    <n v="976"/>
    <n v="1895"/>
    <n v="0.75"/>
    <n v="3"/>
    <x v="0"/>
    <d v="2017-07-17T00:00:00"/>
    <n v="7"/>
    <s v="Español"/>
    <d v="1995-08-23T00:00:00"/>
    <n v="29"/>
    <n v="939826510"/>
    <s v="Residencial monteverde Mz AD Lote 21"/>
    <s v="Castilla"/>
    <s v="Educación superior universitaria"/>
    <s v="Ing. Agronoma"/>
    <x v="19"/>
    <s v="Danitza Celi"/>
    <s v="WALTER"/>
    <s v="Omar G"/>
    <s v="CAMPO2"/>
  </r>
  <r>
    <s v="ALLISON"/>
    <x v="26"/>
    <x v="2"/>
    <s v="T5"/>
    <x v="3"/>
    <s v="ALG04"/>
    <s v="Salt Creek"/>
    <s v="SNFL"/>
    <x v="0"/>
    <n v="1905"/>
    <n v="13.81"/>
    <n v="12.94"/>
    <n v="0.31"/>
    <n v="0.56000000000000094"/>
    <n v="26303"/>
    <n v="24657"/>
    <n v="589"/>
    <n v="1057"/>
    <n v="0.75"/>
    <n v="3"/>
    <x v="0"/>
    <d v="2016-10-28T00:00:00"/>
    <n v="8"/>
    <s v="Español"/>
    <d v="1995-08-23T00:00:00"/>
    <n v="29"/>
    <n v="939826510"/>
    <s v="Residencial monteverde Mz AD Lote 21"/>
    <s v="Castilla"/>
    <s v="Educación superior universitaria"/>
    <s v="Ing. Agronoma"/>
    <x v="19"/>
    <s v="Danitza Celi"/>
    <s v="WALTER"/>
    <s v="Omar G"/>
    <s v="CAMPO2"/>
  </r>
  <r>
    <s v="ALLISON"/>
    <x v="27"/>
    <x v="2"/>
    <s v="T5"/>
    <x v="3"/>
    <s v="ALG05"/>
    <s v="Salt Creek"/>
    <s v="SNFL"/>
    <x v="0"/>
    <n v="1905"/>
    <n v="14.15"/>
    <n v="14.01"/>
    <n v="0.03"/>
    <n v="0.11000000000000057"/>
    <n v="26965"/>
    <n v="26685"/>
    <n v="54"/>
    <n v="226"/>
    <n v="0.75"/>
    <n v="3"/>
    <x v="0"/>
    <d v="2016-10-25T00:00:00"/>
    <n v="8"/>
    <s v="Español"/>
    <d v="1987-08-22T00:00:00"/>
    <n v="37"/>
    <n v="970624242"/>
    <s v="Caserío Río Seco medio Piura "/>
    <s v="Rios Seco"/>
    <s v="Educación secundaria"/>
    <m/>
    <x v="20"/>
    <s v="Danitza Celi"/>
    <s v="WALTER"/>
    <s v="Omar G"/>
    <s v="CAMPO2"/>
  </r>
  <r>
    <s v="ALLISON"/>
    <x v="28"/>
    <x v="2"/>
    <s v="T5"/>
    <x v="3"/>
    <s v="ALG06"/>
    <s v="Salt Creek"/>
    <s v="SNFL"/>
    <x v="0"/>
    <n v="1905"/>
    <n v="6.85"/>
    <n v="5.84"/>
    <n v="0.01"/>
    <n v="0.99999999999999978"/>
    <n v="13055"/>
    <n v="11116"/>
    <n v="19"/>
    <n v="1920"/>
    <n v="0.75"/>
    <n v="3"/>
    <x v="0"/>
    <d v="2016-10-22T00:00:00"/>
    <n v="8"/>
    <s v="Español"/>
    <d v="1987-08-22T00:00:00"/>
    <n v="37"/>
    <n v="970624242"/>
    <s v="Caserío Río Seco medio Piura "/>
    <s v="Rios Seco"/>
    <s v="Educación secundaria"/>
    <m/>
    <x v="20"/>
    <s v="Danitza Celi"/>
    <s v="WALTER"/>
    <s v="Omar G"/>
    <s v="CAMPO2"/>
  </r>
  <r>
    <s v="COTTON CANDY"/>
    <x v="29"/>
    <x v="4"/>
    <s v="T9"/>
    <x v="3"/>
    <s v="CCH09"/>
    <s v="Freedom"/>
    <s v="IFG"/>
    <x v="0"/>
    <n v="1780"/>
    <n v="10.65"/>
    <n v="10.55"/>
    <n v="0"/>
    <n v="9.9999999999999645E-2"/>
    <n v="18959"/>
    <n v="18778"/>
    <n v="2"/>
    <n v="179"/>
    <n v="1.6"/>
    <n v="3.5"/>
    <x v="0"/>
    <d v="2020-07-01T00:00:00"/>
    <n v="4"/>
    <s v="Oppen Gable"/>
    <d v="1999-01-23T00:00:00"/>
    <n v="26"/>
    <n v="937078700"/>
    <s v="Urb. El Bosque Mza R Lote 1"/>
    <n v="0"/>
    <s v="Educación superior universitaria"/>
    <s v="Agronomía "/>
    <x v="21"/>
    <s v="Danitza Celi"/>
    <s v="WALTER"/>
    <s v="Omar G"/>
    <s v="CAMPO2"/>
  </r>
  <r>
    <s v="COTTON CANDY"/>
    <x v="30"/>
    <x v="4"/>
    <s v="T9"/>
    <x v="3"/>
    <s v="CCH10"/>
    <s v="Freedom"/>
    <s v="IFG"/>
    <x v="0"/>
    <n v="1780"/>
    <n v="14.45"/>
    <n v="14.28"/>
    <n v="0.01"/>
    <n v="0.15999999999999992"/>
    <n v="25720"/>
    <n v="25421"/>
    <n v="15"/>
    <n v="284"/>
    <n v="1.6"/>
    <n v="3.5"/>
    <x v="0"/>
    <d v="2020-07-01T00:00:00"/>
    <n v="4"/>
    <s v="Oppen Gable"/>
    <d v="1999-01-23T00:00:00"/>
    <n v="26"/>
    <n v="937078700"/>
    <s v="Urb. El Bosque Mza R Lote 1"/>
    <n v="0"/>
    <s v="Educación superior universitaria"/>
    <s v="Agronomía "/>
    <x v="21"/>
    <s v="Danitza Celi"/>
    <s v="WALTER"/>
    <s v="Omar G"/>
    <s v="CAMPO2"/>
  </r>
  <r>
    <s v="COTTON CANDY"/>
    <x v="31"/>
    <x v="4"/>
    <s v="T9"/>
    <x v="3"/>
    <s v="CCH11"/>
    <s v="Freedom"/>
    <s v="IFG"/>
    <x v="0"/>
    <n v="1780"/>
    <n v="13.64"/>
    <n v="13.61"/>
    <n v="0.02"/>
    <n v="1.0000000000001136E-2"/>
    <n v="24277"/>
    <n v="24222"/>
    <n v="31"/>
    <n v="24"/>
    <n v="1.6"/>
    <n v="3.5"/>
    <x v="0"/>
    <d v="2020-06-01T00:00:00"/>
    <n v="4"/>
    <s v="Oppen Gable"/>
    <d v="1996-02-24T00:00:00"/>
    <n v="29"/>
    <n v="971732870"/>
    <s v="AAHH Alas peruanas,Castilla-Piura"/>
    <s v="Castilla"/>
    <s v="Educación superior universitaria"/>
    <s v="Agronomía "/>
    <x v="22"/>
    <s v="Danitza Celi"/>
    <s v="WALTER"/>
    <s v="Omar G"/>
    <s v="CAMPO2"/>
  </r>
  <r>
    <s v="Test Block"/>
    <x v="32"/>
    <x v="5"/>
    <s v="T6"/>
    <x v="4"/>
    <s v="Test BlockG11 + F11"/>
    <s v="Freedom"/>
    <s v="SNFL"/>
    <x v="0"/>
    <n v="1780"/>
    <n v="10.08"/>
    <n v="3.65"/>
    <n v="0"/>
    <n v="6.43"/>
    <n v="17942.400000000001"/>
    <n v="6497"/>
    <n v="0"/>
    <n v="11445.400000000001"/>
    <n v="1.6"/>
    <n v="3.5"/>
    <x v="1"/>
    <d v="2021-09-14T00:00:00"/>
    <n v="3"/>
    <s v="Español"/>
    <d v="1996-02-24T00:00:00"/>
    <n v="29"/>
    <s v="solicitar"/>
    <s v="solicitar"/>
    <n v="0"/>
    <s v="solicitar"/>
    <s v="Agronomía "/>
    <x v="23"/>
    <s v="Danitza Celi"/>
    <s v=""/>
    <m/>
    <s v="CAMPO2"/>
  </r>
  <r>
    <s v="AUTUMN CRISP"/>
    <x v="33"/>
    <x v="6"/>
    <s v="TT"/>
    <x v="3"/>
    <s v="ACG09"/>
    <s v="Salt Creek"/>
    <s v="SUN WORLD"/>
    <x v="0"/>
    <n v="1905"/>
    <n v="11.75"/>
    <n v="11.66"/>
    <n v="0.01"/>
    <n v="7.9999999999999863E-2"/>
    <n v="22389"/>
    <n v="22217"/>
    <n v="17"/>
    <n v="155"/>
    <n v="1.5"/>
    <n v="3.5"/>
    <x v="0"/>
    <d v="2022-07-21T00:00:00"/>
    <n v="2"/>
    <s v="Español"/>
    <d v="2023-03-21T00:00:00"/>
    <n v="1"/>
    <n v="923562901"/>
    <s v="Las Dalias Segunda Etapa Mz P1 Lote 5"/>
    <s v="Castilla"/>
    <s v="Octavo ciclo"/>
    <s v="Derecho corporativo "/>
    <x v="24"/>
    <s v="Danitza Celi"/>
    <s v="WALTER"/>
    <s v="Omar G"/>
    <s v="CAMPO2"/>
  </r>
  <r>
    <s v="AUTUMN CRISP"/>
    <x v="34"/>
    <x v="6"/>
    <s v="TT"/>
    <x v="3"/>
    <s v="ACG10"/>
    <s v="Salt Creek"/>
    <s v="SUN WORLD"/>
    <x v="0"/>
    <n v="1905"/>
    <n v="14.89"/>
    <n v="14.75"/>
    <n v="0.02"/>
    <n v="0.12000000000000056"/>
    <n v="28356"/>
    <n v="28092"/>
    <n v="32"/>
    <n v="232"/>
    <n v="1.5"/>
    <n v="3.5"/>
    <x v="0"/>
    <d v="2022-07-20T00:00:00"/>
    <n v="2"/>
    <s v="Español"/>
    <d v="2023-03-21T00:00:00"/>
    <n v="1"/>
    <n v="923562901"/>
    <s v="Las Dalias Segunda Etapa Mz P1 Lote 5"/>
    <s v="Castilla"/>
    <s v="Octavo ciclo"/>
    <s v="Derecho corporativo "/>
    <x v="24"/>
    <s v="Danitza Celi"/>
    <s v="WALTER"/>
    <s v="Omar G"/>
    <s v="CAMPO2"/>
  </r>
  <r>
    <s v="AUTUMN CRISP"/>
    <x v="35"/>
    <x v="6"/>
    <s v="TT"/>
    <x v="3"/>
    <s v="ACG11"/>
    <s v="Salt Creek"/>
    <s v="SUN WORLD"/>
    <x v="0"/>
    <n v="1780"/>
    <n v="10.7"/>
    <n v="9.83"/>
    <n v="0.03"/>
    <n v="0.83999999999999919"/>
    <n v="19038"/>
    <n v="17495"/>
    <n v="61"/>
    <n v="1482"/>
    <n v="1.6"/>
    <n v="3.5"/>
    <x v="0"/>
    <d v="2022-07-17T00:00:00"/>
    <n v="2"/>
    <s v="Español"/>
    <d v="1996-02-24T00:00:00"/>
    <n v="29"/>
    <n v="971732870"/>
    <s v="AAHH Alas peruanas,Castilla-Piura"/>
    <s v="Castilla"/>
    <s v="Educación superior universitaria"/>
    <s v="Agronomía "/>
    <x v="22"/>
    <s v="Danitza Celi"/>
    <s v="WALTER"/>
    <s v="Omar G"/>
    <s v="CAMPO2"/>
  </r>
  <r>
    <s v="AUTUMN CRISP"/>
    <x v="36"/>
    <x v="6"/>
    <s v="TT"/>
    <x v="5"/>
    <s v="ACD12"/>
    <s v="Salt Creek"/>
    <s v="SUN WORLD"/>
    <x v="0"/>
    <n v="1905"/>
    <n v="18.32"/>
    <n v="15.69"/>
    <n v="1.97"/>
    <n v="0.66000000000000081"/>
    <n v="34907"/>
    <n v="29898"/>
    <n v="3747"/>
    <n v="1262"/>
    <n v="1.6"/>
    <n v="3.5"/>
    <x v="0"/>
    <d v="2023-07-15T00:00:00"/>
    <n v="1"/>
    <s v="Oppen Gable"/>
    <d v="1984-02-17T00:00:00"/>
    <n v="41"/>
    <n v="934101481"/>
    <s v="Zarumilla 299 pachitea piura "/>
    <s v="Piura"/>
    <s v="Educación secundaria"/>
    <m/>
    <x v="25"/>
    <s v="Danitza Celi"/>
    <s v=""/>
    <s v="Helen B"/>
    <s v="CAMPO3"/>
  </r>
  <r>
    <s v="AUTUMN CRISP"/>
    <x v="37"/>
    <x v="6"/>
    <s v="TT"/>
    <x v="5"/>
    <s v="ACD13"/>
    <s v="Salt Creek"/>
    <s v="SUN WORLD"/>
    <x v="0"/>
    <n v="1905"/>
    <n v="16.53"/>
    <n v="15.65"/>
    <n v="0.52"/>
    <n v="0.36000000000000076"/>
    <n v="31495"/>
    <n v="29814"/>
    <n v="992"/>
    <n v="689"/>
    <n v="1.6"/>
    <n v="3.5"/>
    <x v="0"/>
    <d v="2023-07-20T00:00:00"/>
    <n v="1"/>
    <s v="Oppen Gable"/>
    <d v="1984-02-17T00:00:00"/>
    <n v="41"/>
    <n v="934101481"/>
    <s v="Zarumilla 299 pachitea piura "/>
    <s v="Piura"/>
    <s v="Educación secundaria"/>
    <m/>
    <x v="25"/>
    <s v="Danitza Celi"/>
    <s v=""/>
    <s v="Helen B"/>
    <s v="CAMPO3"/>
  </r>
  <r>
    <s v="AUTUMN CRISP"/>
    <x v="38"/>
    <x v="6"/>
    <s v="TT"/>
    <x v="5"/>
    <s v="ACD14"/>
    <s v="Salt Creek"/>
    <s v="SUN WORLD"/>
    <x v="0"/>
    <n v="1905"/>
    <n v="12.07"/>
    <n v="11.29"/>
    <n v="0.57999999999999996"/>
    <n v="0.20000000000000118"/>
    <n v="22984"/>
    <n v="21512"/>
    <n v="1101"/>
    <n v="371"/>
    <n v="1.5"/>
    <n v="3.5"/>
    <x v="0"/>
    <d v="2022-09-02T00:00:00"/>
    <n v="2"/>
    <s v="Oppen Gable"/>
    <d v="1997-10-07T00:00:00"/>
    <n v="27"/>
    <n v="918035466"/>
    <s v="Jr.cusco 166"/>
    <s v="Piura"/>
    <s v="Educación superior universitaria"/>
    <s v="Universitaria"/>
    <x v="26"/>
    <s v="Danitza Celi"/>
    <s v="PEDRO"/>
    <s v="Helen B"/>
    <s v="CAMPO3"/>
  </r>
  <r>
    <s v="AUTUMN CRISP"/>
    <x v="39"/>
    <x v="6"/>
    <s v="TT"/>
    <x v="5"/>
    <s v="ACD15"/>
    <s v="Salt Creek"/>
    <s v="SUN WORLD"/>
    <x v="0"/>
    <n v="1905"/>
    <n v="16.93"/>
    <n v="16.43"/>
    <n v="0.36"/>
    <n v="0.14000000000000001"/>
    <n v="32261"/>
    <n v="31302"/>
    <n v="684"/>
    <n v="275"/>
    <n v="1.5"/>
    <n v="3.5"/>
    <x v="0"/>
    <d v="2022-08-27T00:00:00"/>
    <n v="2"/>
    <s v="Oppen Gable"/>
    <d v="1999-10-30T00:00:00"/>
    <n v="25"/>
    <n v="935187967"/>
    <s v="La greda Nueva"/>
    <s v="Tambogrande"/>
    <s v="Educación secundaria"/>
    <m/>
    <x v="27"/>
    <s v="Danitza Celi"/>
    <s v="PEDRO"/>
    <s v="Helen B"/>
    <s v="CAMPO3"/>
  </r>
  <r>
    <s v="AUTUMN CRISP"/>
    <x v="40"/>
    <x v="6"/>
    <s v="TT"/>
    <x v="5"/>
    <s v="ACE15"/>
    <s v="Salt Creek"/>
    <s v="SUN WORLD"/>
    <x v="0"/>
    <n v="1905"/>
    <n v="7.51"/>
    <n v="7.38"/>
    <n v="0.1"/>
    <n v="2.9999999999999888E-2"/>
    <n v="14314"/>
    <n v="14051"/>
    <n v="187"/>
    <n v="76"/>
    <n v="1.5"/>
    <n v="3.5"/>
    <x v="0"/>
    <d v="2022-08-25T00:00:00"/>
    <n v="2"/>
    <s v="Oppen Gable"/>
    <d v="1999-10-30T00:00:00"/>
    <n v="25"/>
    <n v="935187967"/>
    <s v="La greda Nueva"/>
    <s v="Tambogrande"/>
    <s v="Educación secundaria"/>
    <m/>
    <x v="27"/>
    <s v="Danitza Celi"/>
    <s v="PEDRO"/>
    <s v="Helen B"/>
    <s v="CAMPO3"/>
  </r>
  <r>
    <s v="TIMPSON"/>
    <x v="41"/>
    <x v="1"/>
    <s v="T4"/>
    <x v="6"/>
    <s v="TMA04"/>
    <s v="Freedom"/>
    <s v="SNFL"/>
    <x v="0"/>
    <n v="1780"/>
    <n v="15.06"/>
    <n v="9.82"/>
    <n v="0.36"/>
    <n v="4.88"/>
    <n v="26809"/>
    <n v="17479.600000000002"/>
    <n v="644"/>
    <n v="8685.3999999999978"/>
    <n v="1.6"/>
    <n v="3.5"/>
    <x v="0"/>
    <d v="2018-10-16T00:00:00"/>
    <n v="6"/>
    <s v="Español"/>
    <d v="1977-06-12T00:00:00"/>
    <n v="47"/>
    <n v="947296806"/>
    <s v="Santa Sara Medio Piura"/>
    <s v="Medio Piura"/>
    <s v="Educación secundaria"/>
    <m/>
    <x v="28"/>
    <s v="Roger Calapuja"/>
    <s v="MOROCHO"/>
    <s v="Celso M"/>
    <s v="CAMPO1"/>
  </r>
  <r>
    <s v="TIMPSON"/>
    <x v="42"/>
    <x v="1"/>
    <s v="T4"/>
    <x v="6"/>
    <s v="TMA05"/>
    <s v="Freedom"/>
    <s v="SNFL"/>
    <x v="0"/>
    <n v="2133.3778371161548"/>
    <n v="10"/>
    <n v="7.23"/>
    <n v="0.34"/>
    <n v="2.4299999999999997"/>
    <n v="21328"/>
    <n v="15424.3217623498"/>
    <n v="719"/>
    <n v="5184.6782376501997"/>
    <n v="1.33"/>
    <n v="3.5"/>
    <x v="0"/>
    <d v="2016-08-11T00:00:00"/>
    <n v="8"/>
    <s v="Oppen Gable"/>
    <m/>
    <m/>
    <s v="solicitar"/>
    <s v="solicitar"/>
    <s v="-"/>
    <s v="solicitar"/>
    <m/>
    <x v="29"/>
    <s v="Roger Calapuja"/>
    <s v="MOROCHO"/>
    <s v="Celso M"/>
    <s v="CAMPO1"/>
  </r>
  <r>
    <s v="TIMPSON"/>
    <x v="43"/>
    <x v="1"/>
    <s v="T4"/>
    <x v="6"/>
    <s v="TMA06"/>
    <s v="Freedom"/>
    <s v="SNFL"/>
    <x v="0"/>
    <n v="2132.2829131652661"/>
    <n v="14.28"/>
    <n v="6.08"/>
    <n v="1.42"/>
    <n v="6.7799999999999994"/>
    <n v="30449"/>
    <n v="12964.280112044818"/>
    <n v="3033"/>
    <n v="14451.71988795518"/>
    <n v="1.33"/>
    <n v="3.5"/>
    <x v="0"/>
    <d v="2016-08-08T00:00:00"/>
    <n v="8"/>
    <s v="Oppen Gable"/>
    <m/>
    <m/>
    <s v="solicitar"/>
    <s v="solicitar"/>
    <s v="-"/>
    <s v="solicitar"/>
    <m/>
    <x v="29"/>
    <s v="Roger Calapuja"/>
    <s v="MOROCHO"/>
    <s v="Celso M"/>
    <s v="CAMPO1"/>
  </r>
  <r>
    <s v="TIMPSON"/>
    <x v="44"/>
    <x v="1"/>
    <s v="T4"/>
    <x v="6"/>
    <s v="TMB05"/>
    <s v="Freedom"/>
    <s v="SNFL"/>
    <x v="0"/>
    <n v="2132"/>
    <n v="14.76"/>
    <n v="14.4"/>
    <n v="0.28000000000000003"/>
    <n v="7.9999999999999405E-2"/>
    <n v="31475"/>
    <n v="30700"/>
    <n v="589"/>
    <n v="186"/>
    <n v="1.33"/>
    <n v="3.5"/>
    <x v="0"/>
    <d v="2016-08-15T00:00:00"/>
    <n v="8"/>
    <s v="Oppen Gable"/>
    <m/>
    <m/>
    <s v="solicitar"/>
    <s v="Caserío El Papayo Medio Piura"/>
    <s v="El Papayo"/>
    <s v="solicitar"/>
    <m/>
    <x v="30"/>
    <s v="Roger Calapuja"/>
    <s v="MOROCHO"/>
    <s v="Celso M"/>
    <s v="CAMPO1"/>
  </r>
  <r>
    <s v="TIMPSON"/>
    <x v="45"/>
    <x v="1"/>
    <s v="T4"/>
    <x v="6"/>
    <s v="TMB06"/>
    <s v="Freedom"/>
    <s v="SNFL"/>
    <x v="0"/>
    <n v="2131.9191919191921"/>
    <n v="14.85"/>
    <n v="11.51"/>
    <n v="2.2200000000000002"/>
    <n v="1.1199999999999997"/>
    <n v="31659"/>
    <n v="24546"/>
    <n v="4723"/>
    <n v="2390"/>
    <n v="1.33"/>
    <n v="3.5"/>
    <x v="0"/>
    <d v="2017-04-08T00:00:00"/>
    <n v="7"/>
    <s v="Oppen Gable"/>
    <m/>
    <m/>
    <s v="solicitar"/>
    <s v="Caserío El Papayo Medio Piura"/>
    <s v="El Papayo"/>
    <s v="solicitar"/>
    <m/>
    <x v="30"/>
    <s v="Roger Calapuja"/>
    <s v="MOROCHO"/>
    <s v="Celso M"/>
    <s v="CAMPO1"/>
  </r>
  <r>
    <s v="TIMPSON"/>
    <x v="46"/>
    <x v="1"/>
    <s v="T4"/>
    <x v="6"/>
    <s v="TMC04"/>
    <s v="Salt Creek"/>
    <s v="SNFL"/>
    <x v="0"/>
    <n v="2070"/>
    <n v="14.21"/>
    <n v="14.11"/>
    <n v="0.01"/>
    <n v="9.0000000000001426E-2"/>
    <n v="29423"/>
    <n v="29217"/>
    <n v="31"/>
    <n v="175"/>
    <n v="1.6"/>
    <n v="3.5"/>
    <x v="0"/>
    <d v="2017-12-18T00:00:00"/>
    <n v="7"/>
    <s v="Oppen Gable"/>
    <m/>
    <m/>
    <n v="923879182"/>
    <s v="Caserio terela medio piura"/>
    <s v="Terela"/>
    <s v="Educación secundaria"/>
    <m/>
    <x v="31"/>
    <s v="Roger Calapuja"/>
    <s v="MOROCHO"/>
    <s v="Celso M"/>
    <s v="CAMPO1"/>
  </r>
  <r>
    <s v="TIMPSON"/>
    <x v="47"/>
    <x v="1"/>
    <s v="T4"/>
    <x v="6"/>
    <s v="TMC05"/>
    <s v="Salt Creek"/>
    <s v="SNFL"/>
    <x v="0"/>
    <n v="2070"/>
    <n v="14.99"/>
    <n v="14.96"/>
    <n v="0.03"/>
    <n v="-6.3837823915946501E-16"/>
    <n v="31038"/>
    <n v="30973"/>
    <n v="52"/>
    <n v="13"/>
    <n v="1.6"/>
    <n v="3.5"/>
    <x v="0"/>
    <d v="2017-12-19T00:00:00"/>
    <n v="7"/>
    <s v="Oppen Gable"/>
    <m/>
    <m/>
    <n v="986189597"/>
    <s v="Cossio del pomar mz b3 lote 6"/>
    <s v="Castilla"/>
    <s v="Educación superior universitaria"/>
    <m/>
    <x v="32"/>
    <s v="Roger Calapuja"/>
    <s v="MOROCHO"/>
    <s v="Celso M"/>
    <s v="CAMPO1"/>
  </r>
  <r>
    <s v="TIMPSON"/>
    <x v="48"/>
    <x v="1"/>
    <s v="T4"/>
    <x v="6"/>
    <s v="TMC06"/>
    <s v="Salt Creek"/>
    <s v="SNFL"/>
    <x v="0"/>
    <n v="2070"/>
    <n v="12.8"/>
    <n v="12.77"/>
    <n v="0.01"/>
    <n v="2.0000000000001135E-2"/>
    <n v="26486"/>
    <n v="26424"/>
    <n v="12"/>
    <n v="50"/>
    <n v="1.6"/>
    <n v="3.5"/>
    <x v="0"/>
    <d v="2017-08-08T00:00:00"/>
    <n v="7"/>
    <s v="Oppen Gable"/>
    <m/>
    <m/>
    <s v="solicitar"/>
    <s v="La Primavera- Castilla"/>
    <s v="Castilla"/>
    <s v="solicitar"/>
    <m/>
    <x v="33"/>
    <s v="Roger Calapuja"/>
    <s v="MOROCHO"/>
    <s v="Celso M"/>
    <s v="CAMPO1"/>
  </r>
  <r>
    <s v="TIMPSON"/>
    <x v="49"/>
    <x v="1"/>
    <s v="T4"/>
    <x v="6"/>
    <s v="TMB04"/>
    <s v="Salt Creek"/>
    <s v="SNFL"/>
    <x v="0"/>
    <n v="1780"/>
    <n v="14.69"/>
    <n v="14.21"/>
    <n v="0.06"/>
    <n v="0.41999999999999865"/>
    <n v="26147"/>
    <n v="25288"/>
    <n v="104"/>
    <n v="755"/>
    <n v="1.6"/>
    <n v="3.5"/>
    <x v="0"/>
    <d v="2022-08-05T00:00:00"/>
    <n v="2"/>
    <s v="Oppen Gable"/>
    <d v="1986-09-01T00:00:00"/>
    <n v="38"/>
    <n v="930668076"/>
    <s v="Calle Callao 625 Castilla "/>
    <s v="Castilla"/>
    <s v="Educación superior universitaria"/>
    <m/>
    <x v="34"/>
    <s v="Roger Calapuja"/>
    <s v="MOROCHO"/>
    <s v="Celso M"/>
    <s v="CAMPO1"/>
  </r>
  <r>
    <s v="COTTON CANDY"/>
    <x v="50"/>
    <x v="4"/>
    <s v="T9"/>
    <x v="6"/>
    <s v="CCB07"/>
    <s v="Freedom"/>
    <s v="IFG"/>
    <x v="0"/>
    <n v="1905"/>
    <n v="7.21"/>
    <n v="6.89"/>
    <n v="0.02"/>
    <n v="0.30000000000000027"/>
    <n v="13740"/>
    <n v="13119"/>
    <n v="40"/>
    <n v="581"/>
    <n v="1.6"/>
    <n v="3.5"/>
    <x v="0"/>
    <d v="2018-12-08T00:00:00"/>
    <n v="6"/>
    <s v="Español"/>
    <d v="1990-10-11T00:00:00"/>
    <n v="34"/>
    <n v="949903628"/>
    <s v="Caserío El Papayo Medio Piura"/>
    <s v="El Papayo"/>
    <s v="Educación secundaria"/>
    <m/>
    <x v="35"/>
    <s v="Roger Calapuja"/>
    <s v="MOROCHO"/>
    <s v="Celso M"/>
    <s v="CAMPO1"/>
  </r>
  <r>
    <s v="COTTON CANDY"/>
    <x v="51"/>
    <x v="4"/>
    <s v="T9"/>
    <x v="6"/>
    <s v="CCC07"/>
    <s v="Freedom"/>
    <s v="IFG"/>
    <x v="0"/>
    <n v="1905"/>
    <n v="3.77"/>
    <n v="3.62"/>
    <n v="0.01"/>
    <n v="0.1399999999999999"/>
    <n v="7176"/>
    <n v="6901"/>
    <n v="15"/>
    <n v="260"/>
    <n v="1.6"/>
    <n v="3.5"/>
    <x v="0"/>
    <d v="2018-12-10T00:00:00"/>
    <n v="6"/>
    <s v="Español"/>
    <d v="1990-10-11T00:00:00"/>
    <n v="34"/>
    <n v="949903628"/>
    <s v="Caserío El Papayo Medio Piura"/>
    <s v="El Papayo"/>
    <s v="Educación secundaria"/>
    <m/>
    <x v="35"/>
    <s v="Roger Calapuja"/>
    <s v="MOROCHO"/>
    <s v="Celso M"/>
    <s v="CAMPO1"/>
  </r>
  <r>
    <s v="CANDY HEARTS"/>
    <x v="52"/>
    <x v="7"/>
    <s v="TH"/>
    <x v="7"/>
    <s v="CHB13"/>
    <s v="Salt Creek"/>
    <s v="IFG"/>
    <x v="0"/>
    <n v="1905"/>
    <n v="8.36"/>
    <n v="7.91"/>
    <n v="0.36"/>
    <n v="8.9999999999999303E-2"/>
    <n v="15921"/>
    <n v="15077"/>
    <n v="683"/>
    <n v="161"/>
    <n v="1.6"/>
    <n v="3.5"/>
    <x v="0"/>
    <d v="2023-07-26T00:00:00"/>
    <n v="1"/>
    <s v="Oppen Gable"/>
    <d v="1995-06-16T00:00:00"/>
    <n v="29"/>
    <n v="0"/>
    <n v="0"/>
    <n v="0"/>
    <n v="0"/>
    <s v="Ing. Industrial"/>
    <x v="36"/>
    <s v="Danitza Celi"/>
    <s v=""/>
    <s v="Helen B"/>
    <s v="CAMPO5"/>
  </r>
  <r>
    <s v="CANDY HEARTS"/>
    <x v="53"/>
    <x v="7"/>
    <s v="TH"/>
    <x v="7"/>
    <s v="CHB14"/>
    <s v="Salt Creek"/>
    <s v="IFG"/>
    <x v="0"/>
    <n v="1905"/>
    <n v="8.99"/>
    <n v="6.91"/>
    <n v="1.48"/>
    <n v="0.60000000000000009"/>
    <n v="17128"/>
    <n v="13166"/>
    <n v="2819"/>
    <n v="1143"/>
    <n v="1.6"/>
    <n v="3.5"/>
    <x v="0"/>
    <d v="2023-08-03T00:00:00"/>
    <n v="1"/>
    <s v="Oppen Gable"/>
    <d v="1995-06-16T00:00:00"/>
    <n v="29"/>
    <n v="0"/>
    <n v="0"/>
    <n v="0"/>
    <n v="0"/>
    <s v="Ing. Industrial"/>
    <x v="36"/>
    <s v="Danitza Celi"/>
    <s v=""/>
    <s v="Helen B"/>
    <s v="CAMPO5"/>
  </r>
  <r>
    <s v="ARRA FIRE CRUNCH"/>
    <x v="54"/>
    <x v="8"/>
    <s v="TF"/>
    <x v="7"/>
    <s v="FCC12"/>
    <s v="MGT-freedom"/>
    <s v="IFG"/>
    <x v="0"/>
    <n v="1905"/>
    <n v="13.27"/>
    <n v="0"/>
    <n v="13.27"/>
    <n v="0"/>
    <n v="25279"/>
    <n v="0"/>
    <n v="25279"/>
    <n v="0"/>
    <n v="1.75"/>
    <n v="3.5"/>
    <x v="2"/>
    <m/>
    <s v=""/>
    <s v="Español"/>
    <d v="1994-09-10T00:00:00"/>
    <n v="30"/>
    <n v="0"/>
    <n v="0"/>
    <n v="0"/>
    <n v="0"/>
    <s v="Administración de negocios"/>
    <x v="37"/>
    <s v="Danitza Celi"/>
    <s v="PEDRO"/>
    <s v="Helen B"/>
    <s v="CAMPO5"/>
  </r>
  <r>
    <s v="ARRA FIRE CRUNCH"/>
    <x v="55"/>
    <x v="8"/>
    <s v="TF"/>
    <x v="7"/>
    <s v="FCC13"/>
    <s v="MGT-freedom"/>
    <s v="IFG"/>
    <x v="0"/>
    <n v="1905"/>
    <n v="15.47"/>
    <n v="0"/>
    <n v="15.47"/>
    <n v="0"/>
    <n v="29470"/>
    <n v="0"/>
    <n v="29470"/>
    <n v="0"/>
    <n v="1.75"/>
    <n v="3.5"/>
    <x v="2"/>
    <m/>
    <s v=""/>
    <s v="Español"/>
    <d v="1994-09-10T00:00:00"/>
    <n v="30"/>
    <n v="0"/>
    <n v="0"/>
    <n v="0"/>
    <n v="0"/>
    <s v="Administración de negocios"/>
    <x v="37"/>
    <s v="Danitza Celi"/>
    <s v="PEDRO"/>
    <s v="Helen B"/>
    <s v="CAMPO5"/>
  </r>
  <r>
    <s v="SWEET CELEBRATION"/>
    <x v="56"/>
    <x v="3"/>
    <s v="TS"/>
    <x v="7"/>
    <s v="SCC14"/>
    <s v="Freedom, MGT, Salt Creek"/>
    <s v="IFG"/>
    <x v="0"/>
    <n v="1632"/>
    <n v="15.17"/>
    <n v="11.2"/>
    <n v="3.15"/>
    <n v="0.82000000000000073"/>
    <n v="24753"/>
    <n v="18271"/>
    <n v="5148"/>
    <n v="1334"/>
    <n v="1.75"/>
    <n v="3.5"/>
    <x v="0"/>
    <d v="2016-09-28T00:00:00"/>
    <n v="8"/>
    <s v="Español"/>
    <d v="1987-10-20T00:00:00"/>
    <n v="37"/>
    <n v="990917172"/>
    <s v="AAHH los almendros MZO lote13 castilla"/>
    <s v="Castilla"/>
    <s v="Educación secundaria"/>
    <m/>
    <x v="38"/>
    <s v="Danitza Celi"/>
    <s v="PEDRO"/>
    <s v="Helen B"/>
    <s v="CAMPO5"/>
  </r>
  <r>
    <s v="SWEET CELEBRATION"/>
    <x v="57"/>
    <x v="3"/>
    <s v="TS"/>
    <x v="7"/>
    <s v="SCC15"/>
    <s v="Salt Creek-MGT"/>
    <s v="IFG"/>
    <x v="0"/>
    <n v="1632"/>
    <n v="13.75"/>
    <n v="13.23"/>
    <n v="0.22"/>
    <n v="0.2999999999999996"/>
    <n v="22441"/>
    <n v="21595"/>
    <n v="367"/>
    <n v="479"/>
    <n v="1.75"/>
    <n v="3.5"/>
    <x v="0"/>
    <d v="2016-09-29T00:00:00"/>
    <n v="8"/>
    <s v="Español"/>
    <d v="1987-10-20T00:00:00"/>
    <n v="37"/>
    <n v="990917172"/>
    <s v="AAHH los almendros MZO lote13 castilla"/>
    <s v="Castilla"/>
    <s v="Educación secundaria"/>
    <m/>
    <x v="38"/>
    <s v="Danitza Celi"/>
    <s v="PEDRO"/>
    <s v="Helen B"/>
    <s v="CAMPO5"/>
  </r>
  <r>
    <s v="SWEET CELEBRATION"/>
    <x v="58"/>
    <x v="3"/>
    <s v="TS"/>
    <x v="7"/>
    <s v="SCB12"/>
    <s v="MGT-Salt Creek-Harmony"/>
    <s v="IFG"/>
    <x v="0"/>
    <n v="1587"/>
    <n v="6.4"/>
    <n v="5.9"/>
    <n v="0.28999999999999998"/>
    <n v="0.21000000000000002"/>
    <n v="10150"/>
    <n v="9367"/>
    <n v="456"/>
    <n v="327"/>
    <n v="1.75"/>
    <n v="3.5"/>
    <x v="0"/>
    <d v="2013-05-24T00:00:00"/>
    <n v="11"/>
    <s v="Español"/>
    <d v="1995-06-16T00:00:00"/>
    <n v="29"/>
    <s v="-"/>
    <s v="-"/>
    <n v="0"/>
    <s v="-"/>
    <s v="Ing. Industrial"/>
    <x v="39"/>
    <s v="Danitza Celi"/>
    <s v="PEDRO"/>
    <s v="Helen B"/>
    <s v="CAMPO5"/>
  </r>
  <r>
    <s v="AUTUMN CRISP"/>
    <x v="59"/>
    <x v="6"/>
    <s v="TT"/>
    <x v="7"/>
    <s v="ACA12"/>
    <s v="Salt Creek"/>
    <s v="SUN WORLD"/>
    <x v="0"/>
    <n v="1754"/>
    <n v="19.46"/>
    <n v="15.83"/>
    <n v="3.43"/>
    <n v="0.20000000000000062"/>
    <n v="34130"/>
    <n v="27762"/>
    <n v="6015"/>
    <n v="353"/>
    <n v="1.5"/>
    <n v="3.8"/>
    <x v="0"/>
    <d v="2022-09-05T00:00:00"/>
    <n v="2"/>
    <s v="Español"/>
    <d v="1989-11-14T00:00:00"/>
    <n v="35"/>
    <n v="964565731"/>
    <s v="Caserio punta Arena medio piura"/>
    <s v="Medio Piura"/>
    <s v="Educación secundaria"/>
    <s v="Administracion"/>
    <x v="40"/>
    <s v="Danitza Celi"/>
    <s v="PEDRO"/>
    <s v="Helen B"/>
    <s v="CAMPO5"/>
  </r>
  <r>
    <s v="AUTUMN CRISP"/>
    <x v="60"/>
    <x v="6"/>
    <s v="TT"/>
    <x v="7"/>
    <s v="ACA13"/>
    <s v="Salt Creek"/>
    <s v="SUN WORLD"/>
    <x v="0"/>
    <n v="1754"/>
    <n v="6.72"/>
    <n v="5.94"/>
    <n v="0.72"/>
    <n v="5.9999999999999387E-2"/>
    <n v="11780"/>
    <n v="10423"/>
    <n v="1264"/>
    <n v="93"/>
    <n v="1.5"/>
    <n v="3.8"/>
    <x v="0"/>
    <d v="2022-09-08T00:00:00"/>
    <n v="2"/>
    <s v="Español"/>
    <d v="1989-11-14T00:00:00"/>
    <n v="35"/>
    <n v="964565731"/>
    <s v="Caserio punta Arena medio piura"/>
    <s v="Medio Piura"/>
    <s v="Educación secundaria"/>
    <s v="Administracion"/>
    <x v="40"/>
    <s v="Danitza Celi"/>
    <s v="PEDRO"/>
    <s v="Helen B"/>
    <s v="CAMPO5"/>
  </r>
  <r>
    <s v="JACK´S SALUTE"/>
    <x v="61"/>
    <x v="0"/>
    <s v="T8"/>
    <x v="0"/>
    <s v="JSD01"/>
    <s v="Salt Creek"/>
    <s v="IFG"/>
    <x v="0"/>
    <n v="1905"/>
    <n v="12.61"/>
    <n v="11.11"/>
    <n v="1.33"/>
    <n v="0.16999999999999993"/>
    <n v="24025"/>
    <n v="21156"/>
    <n v="2531"/>
    <n v="338"/>
    <n v="1.33"/>
    <n v="3.5"/>
    <x v="0"/>
    <d v="2023-08-06T00:00:00"/>
    <n v="1"/>
    <s v="Oppen Gable"/>
    <d v="1990-07-25T00:00:00"/>
    <n v="34"/>
    <n v="943941266"/>
    <s v="Terela Medio Piura "/>
    <s v="Terela"/>
    <s v="Educación secundaria"/>
    <m/>
    <x v="41"/>
    <s v="Roger Calapuja"/>
    <s v=""/>
    <s v="Junior S"/>
    <s v="CAMPO1"/>
  </r>
  <r>
    <s v="JACK´S SALUTE"/>
    <x v="62"/>
    <x v="0"/>
    <s v="T8"/>
    <x v="0"/>
    <s v="JSD02"/>
    <s v="Salt Creek"/>
    <s v="IFG"/>
    <x v="0"/>
    <n v="1905"/>
    <n v="10.83"/>
    <n v="10.08"/>
    <n v="0.75"/>
    <n v="0"/>
    <n v="20637"/>
    <n v="19199"/>
    <n v="1434"/>
    <n v="4"/>
    <n v="1.33"/>
    <n v="3.5"/>
    <x v="0"/>
    <d v="2023-08-02T00:00:00"/>
    <n v="1"/>
    <s v="Oppen Gable"/>
    <d v="1990-07-25T00:00:00"/>
    <n v="34"/>
    <n v="901892663"/>
    <s v="Av. Progreso 834- Castilla"/>
    <n v="0"/>
    <s v="Educación superior universitaria"/>
    <m/>
    <x v="42"/>
    <s v="Roger Calapuja"/>
    <s v=""/>
    <s v="Junior S"/>
    <s v="CAMPO1"/>
  </r>
  <r>
    <s v="TIMPSON"/>
    <x v="63"/>
    <x v="1"/>
    <s v="T4"/>
    <x v="1"/>
    <s v="TMD03"/>
    <s v="Freedom"/>
    <s v="SNFL"/>
    <x v="0"/>
    <n v="2132"/>
    <n v="14.38"/>
    <n v="13.37"/>
    <n v="0.62"/>
    <n v="0.39000000000000157"/>
    <n v="30654"/>
    <n v="28512"/>
    <n v="1321"/>
    <n v="821"/>
    <n v="1.33"/>
    <n v="3.5"/>
    <x v="0"/>
    <d v="2015-03-01T00:00:00"/>
    <n v="10"/>
    <s v="Oppen Gable"/>
    <d v="1987-03-06T00:00:00"/>
    <n v="38"/>
    <n v="937032300"/>
    <s v="Caserio la obrilla"/>
    <n v="0"/>
    <s v="Educación secundaria"/>
    <m/>
    <x v="43"/>
    <s v="Roger Calapuja"/>
    <s v="MOROCHO"/>
    <s v="Junior S"/>
    <s v="CAMPO1"/>
  </r>
  <r>
    <s v="AUTUMN CRISP"/>
    <x v="64"/>
    <x v="6"/>
    <s v="TT"/>
    <x v="2"/>
    <s v="ACC01"/>
    <s v="Salt Creek"/>
    <s v="SUN WORLD"/>
    <x v="0"/>
    <n v="1905"/>
    <n v="14.9"/>
    <n v="14.52"/>
    <n v="0.37"/>
    <n v="1.0000000000000786E-2"/>
    <n v="28376"/>
    <n v="27652"/>
    <n v="699"/>
    <n v="25"/>
    <n v="1.5"/>
    <n v="3.5"/>
    <x v="0"/>
    <d v="2022-08-03T00:00:00"/>
    <n v="2"/>
    <s v="Español"/>
    <d v="1993-10-27T00:00:00"/>
    <n v="31"/>
    <n v="922101107"/>
    <s v="Papayo medio piura"/>
    <s v="El Papayo"/>
    <s v="Educación secundaria"/>
    <m/>
    <x v="44"/>
    <s v="Roger Calapuja"/>
    <s v="KEVIN"/>
    <s v="Celso M"/>
    <s v="CAMPO1"/>
  </r>
  <r>
    <s v="AUTUMN CRISP"/>
    <x v="65"/>
    <x v="6"/>
    <s v="TT"/>
    <x v="2"/>
    <s v="ACC02"/>
    <s v="Salt Creek"/>
    <s v="SUN WORLD"/>
    <x v="0"/>
    <n v="1905"/>
    <n v="14.9"/>
    <n v="14.17"/>
    <n v="0.66"/>
    <n v="7.0000000000000395E-2"/>
    <n v="28376"/>
    <n v="26997"/>
    <n v="1265"/>
    <n v="114"/>
    <n v="1.5"/>
    <n v="3.5"/>
    <x v="0"/>
    <d v="2022-07-27T00:00:00"/>
    <n v="2"/>
    <s v="Español"/>
    <d v="1993-10-27T00:00:00"/>
    <n v="31"/>
    <s v="solicitar"/>
    <s v="solicitar"/>
    <s v="-"/>
    <s v="solicitar"/>
    <m/>
    <x v="45"/>
    <s v="Roger Calapuja"/>
    <s v="KEVIN"/>
    <s v="Celso M"/>
    <s v="CAMPO1"/>
  </r>
  <r>
    <s v="AUTUMN CRISP"/>
    <x v="66"/>
    <x v="6"/>
    <s v="TT"/>
    <x v="2"/>
    <s v="ACC03"/>
    <s v="Salt Creek"/>
    <s v="SUN WORLD"/>
    <x v="0"/>
    <n v="1905"/>
    <n v="14.9"/>
    <n v="14.35"/>
    <n v="0.51"/>
    <n v="4.0000000000000702E-2"/>
    <n v="28380"/>
    <n v="27334"/>
    <n v="964"/>
    <n v="82"/>
    <n v="1.5"/>
    <n v="3.5"/>
    <x v="0"/>
    <d v="2022-06-26T00:00:00"/>
    <n v="2"/>
    <s v="Español"/>
    <m/>
    <m/>
    <n v="971282709"/>
    <s v="Amazonas 125 Castilla "/>
    <s v="Castilla"/>
    <s v="Educación superior universitaria"/>
    <m/>
    <x v="46"/>
    <s v="Roger Calapuja"/>
    <s v="KEVIN"/>
    <s v="Celso M"/>
    <s v="CAMPO1"/>
  </r>
  <r>
    <s v="TIMPSON"/>
    <x v="67"/>
    <x v="1"/>
    <s v="T4"/>
    <x v="5"/>
    <s v="TME12"/>
    <s v="Freedom"/>
    <s v="SNFL"/>
    <x v="0"/>
    <n v="1905"/>
    <n v="5.92"/>
    <n v="0"/>
    <n v="0"/>
    <n v="5.92"/>
    <n v="11286"/>
    <n v="0"/>
    <n v="0"/>
    <n v="11286"/>
    <n v="1.75"/>
    <n v="3"/>
    <x v="3"/>
    <d v="2015-05-01T00:00:00"/>
    <n v="9"/>
    <s v="Español"/>
    <d v="1991-05-27T00:00:00"/>
    <n v="33"/>
    <n v="957630946"/>
    <s v="La obrilla"/>
    <s v="Castilla"/>
    <s v="Educación secundaria"/>
    <s v="Administración de empresas"/>
    <x v="47"/>
    <s v="Danitza Celi"/>
    <s v="PEDRO"/>
    <s v="Helen B"/>
    <s v="CAMPO4"/>
  </r>
  <r>
    <s v="TIMPSON"/>
    <x v="68"/>
    <x v="1"/>
    <s v="T4"/>
    <x v="5"/>
    <s v="TME13"/>
    <s v="Freedom"/>
    <s v="SNFL"/>
    <x v="0"/>
    <n v="1905"/>
    <n v="8.7899999999999991"/>
    <n v="0"/>
    <n v="0"/>
    <n v="8.7899999999999991"/>
    <n v="16740"/>
    <n v="0"/>
    <n v="0"/>
    <n v="16740"/>
    <n v="1.75"/>
    <n v="3"/>
    <x v="3"/>
    <d v="2015-05-01T00:00:00"/>
    <n v="9"/>
    <s v="Español"/>
    <d v="1991-05-27T00:00:00"/>
    <n v="33"/>
    <n v="957630946"/>
    <s v="La obrilla"/>
    <s v="Castilla"/>
    <s v="Educación secundaria"/>
    <s v="Administración de empresas"/>
    <x v="47"/>
    <s v="Danitza Celi"/>
    <s v="PEDRO"/>
    <s v="Helen B"/>
    <s v="CAMPO4"/>
  </r>
  <r>
    <s v="TIMPSON"/>
    <x v="69"/>
    <x v="1"/>
    <s v="T4"/>
    <x v="5"/>
    <s v="TME14"/>
    <s v="Freedom"/>
    <s v="SNFL"/>
    <x v="0"/>
    <n v="1953"/>
    <n v="16.190000000000001"/>
    <n v="15.92"/>
    <n v="7.0000000000000007E-2"/>
    <n v="0.20000000000000134"/>
    <n v="31620"/>
    <n v="31090"/>
    <n v="135"/>
    <n v="395"/>
    <n v="1.7"/>
    <n v="3.2"/>
    <x v="0"/>
    <d v="2018-07-21T00:00:00"/>
    <n v="6"/>
    <s v="Español"/>
    <d v="1990-06-10T00:00:00"/>
    <n v="34"/>
    <n v="0"/>
    <n v="0"/>
    <n v="0"/>
    <n v="0"/>
    <m/>
    <x v="48"/>
    <s v="Danitza Celi"/>
    <s v="PEDRO"/>
    <s v="Helen B"/>
    <s v="CAMPO4"/>
  </r>
  <r>
    <s v="TIMPSON"/>
    <x v="70"/>
    <x v="1"/>
    <s v="T4"/>
    <x v="8"/>
    <s v="TMF12"/>
    <s v="Salt Creek"/>
    <s v="SNFL"/>
    <x v="0"/>
    <n v="1905.1398337112623"/>
    <n v="9.81"/>
    <n v="9.58"/>
    <n v="0"/>
    <n v="0.23000000000000043"/>
    <n v="18687"/>
    <n v="18250"/>
    <n v="0"/>
    <n v="437"/>
    <n v="1.75"/>
    <n v="3"/>
    <x v="0"/>
    <d v="2016-11-21T00:00:00"/>
    <n v="8"/>
    <s v="Español"/>
    <d v="1990-06-10T00:00:00"/>
    <n v="34"/>
    <n v="944451931"/>
    <s v="Ciudad del niño mz c4 lote 08 cuarta etapa Castilla "/>
    <s v="Castilla"/>
    <s v="Educación superior técnica"/>
    <m/>
    <x v="49"/>
    <s v="Danitza Celi"/>
    <s v="PEDRO"/>
    <s v="Helen B"/>
    <s v="CAMPO4"/>
  </r>
  <r>
    <s v="TIMPSON"/>
    <x v="71"/>
    <x v="1"/>
    <s v="T4"/>
    <x v="8"/>
    <s v="TMF13"/>
    <s v="Salt Creek"/>
    <s v="SNFL"/>
    <x v="0"/>
    <n v="1953"/>
    <n v="13.45"/>
    <n v="13.43"/>
    <n v="0"/>
    <n v="1.9999999999999574E-2"/>
    <n v="26271"/>
    <n v="26221"/>
    <n v="2"/>
    <n v="48"/>
    <n v="1.7"/>
    <n v="3.2"/>
    <x v="0"/>
    <d v="2014-07-01T00:00:00"/>
    <n v="10"/>
    <s v="Español"/>
    <d v="1990-06-10T00:00:00"/>
    <n v="34"/>
    <n v="944451931"/>
    <s v="Ciudad del niño mz c4 lote 08 cuarta etapa Castilla "/>
    <s v="Castilla"/>
    <s v="Educación superior técnica"/>
    <m/>
    <x v="49"/>
    <s v="Danitza Celi"/>
    <s v="PEDRO"/>
    <s v="Helen B"/>
    <s v="CAMPO4"/>
  </r>
  <r>
    <s v="POR DESIGNAR"/>
    <x v="72"/>
    <x v="9"/>
    <s v="PD"/>
    <x v="9"/>
    <s v="PDI13"/>
    <s v="Salt Creek"/>
    <s v="SUN WORLD"/>
    <x v="0"/>
    <n v="1905"/>
    <n v="9.81"/>
    <n v="0"/>
    <n v="0"/>
    <n v="9.81"/>
    <n v="18688"/>
    <n v="0"/>
    <n v="0"/>
    <n v="18688"/>
    <n v="1.6"/>
    <n v="3.5"/>
    <x v="3"/>
    <n v="2024"/>
    <s v=""/>
    <s v="Oppen Gable"/>
    <d v="1991-11-20T00:00:00"/>
    <n v="33"/>
    <s v="-"/>
    <s v="-"/>
    <s v=""/>
    <s v="-"/>
    <s v="Agronomía "/>
    <x v="50"/>
    <s v="Danitza Celi"/>
    <s v=""/>
    <m/>
    <s v=""/>
  </r>
  <r>
    <s v="POR DESIGNAR"/>
    <x v="73"/>
    <x v="9"/>
    <s v="PD"/>
    <x v="9"/>
    <s v="PDI14"/>
    <s v="Salt Creek"/>
    <s v="SUN WORLD"/>
    <x v="0"/>
    <n v="1905"/>
    <n v="7.36"/>
    <n v="0"/>
    <n v="0"/>
    <n v="7.36"/>
    <n v="14021"/>
    <n v="0"/>
    <n v="0"/>
    <n v="14021"/>
    <n v="1.6"/>
    <n v="3.5"/>
    <x v="3"/>
    <n v="2024"/>
    <s v=""/>
    <s v="Oppen Gable"/>
    <d v="1991-11-20T00:00:00"/>
    <n v="33"/>
    <s v="-"/>
    <s v="-"/>
    <s v=""/>
    <s v="-"/>
    <s v="Agronomía "/>
    <x v="50"/>
    <s v="Danitza Celi"/>
    <s v=""/>
    <m/>
    <s v=""/>
  </r>
  <r>
    <s v="POR DESIGNAR"/>
    <x v="74"/>
    <x v="9"/>
    <s v="PD"/>
    <x v="9"/>
    <s v="PDH14"/>
    <s v="Salt Creek"/>
    <s v="SUN WORLD"/>
    <x v="0"/>
    <n v="1905"/>
    <n v="12.9"/>
    <n v="0"/>
    <n v="0"/>
    <n v="12.9"/>
    <n v="24575"/>
    <n v="0"/>
    <n v="0"/>
    <n v="24575"/>
    <n v="1.6"/>
    <n v="3.5"/>
    <x v="3"/>
    <n v="2024"/>
    <s v=""/>
    <s v="Oppen Gable"/>
    <d v="1991-11-20T00:00:00"/>
    <n v="33"/>
    <s v="-"/>
    <s v="-"/>
    <s v=""/>
    <s v="-"/>
    <s v="Agronomía "/>
    <x v="50"/>
    <s v="Danitza Celi"/>
    <s v=""/>
    <m/>
    <s v=""/>
  </r>
  <r>
    <s v="TIMPSON"/>
    <x v="75"/>
    <x v="1"/>
    <s v="T4"/>
    <x v="8"/>
    <s v="TME08"/>
    <s v="Salt Creek"/>
    <s v="SNFL"/>
    <x v="0"/>
    <n v="1780"/>
    <n v="13.49"/>
    <n v="13.26"/>
    <n v="0.05"/>
    <n v="0.18000000000000044"/>
    <n v="24008"/>
    <n v="23611"/>
    <n v="87"/>
    <n v="310"/>
    <n v="1.6"/>
    <n v="3.5"/>
    <x v="0"/>
    <d v="2020-07-07T00:00:00"/>
    <n v="4"/>
    <s v="Oppen Gable"/>
    <d v="1988-03-26T00:00:00"/>
    <n v="36"/>
    <n v="966986285"/>
    <s v="Caserillo La Obrilla Medio Piura"/>
    <s v="La Obrilla"/>
    <s v="Educación secundaria"/>
    <m/>
    <x v="51"/>
    <s v="Danitza Celi"/>
    <s v="WALTER"/>
    <s v="Omar G"/>
    <s v="CAMPO2"/>
  </r>
  <r>
    <s v="TIMPSON"/>
    <x v="76"/>
    <x v="1"/>
    <s v="T4"/>
    <x v="8"/>
    <s v="TME09"/>
    <s v="Salt Creek"/>
    <s v="SNFL"/>
    <x v="0"/>
    <n v="1780"/>
    <n v="11.18"/>
    <n v="10.9"/>
    <n v="0.05"/>
    <n v="0.22999999999999937"/>
    <n v="19894"/>
    <n v="19403"/>
    <n v="86"/>
    <n v="405"/>
    <n v="1.6"/>
    <n v="3.5"/>
    <x v="0"/>
    <d v="2020-07-09T00:00:00"/>
    <n v="4"/>
    <s v="Oppen Gable"/>
    <d v="1988-03-26T00:00:00"/>
    <n v="36"/>
    <n v="966986285"/>
    <s v="Caserillo La Obrilla Medio Piura"/>
    <s v="La Obrilla"/>
    <s v="Educación secundaria"/>
    <m/>
    <x v="51"/>
    <s v="Danitza Celi"/>
    <s v="WALTER"/>
    <s v="Omar G"/>
    <s v="CAMPO2"/>
  </r>
  <r>
    <s v="TIMPSON"/>
    <x v="77"/>
    <x v="1"/>
    <s v="T4"/>
    <x v="8"/>
    <s v="TMF08"/>
    <s v="Salt Creek"/>
    <s v="SNFL"/>
    <x v="0"/>
    <n v="1780"/>
    <n v="15"/>
    <n v="14.73"/>
    <n v="0.01"/>
    <n v="0.25999999999999956"/>
    <n v="26703"/>
    <n v="26226"/>
    <n v="23"/>
    <n v="454"/>
    <n v="1.6"/>
    <n v="3.5"/>
    <x v="0"/>
    <d v="2020-07-14T00:00:00"/>
    <n v="4"/>
    <s v="Oppen Gable"/>
    <d v="1995-05-27T00:00:00"/>
    <n v="29"/>
    <n v="969198968"/>
    <s v="Urb Miraflores- Piura "/>
    <s v="Piura"/>
    <s v="Educación superior universitaria"/>
    <s v="Ing. Agrícola"/>
    <x v="52"/>
    <s v="Danitza Celi"/>
    <s v="WALTER"/>
    <s v="Omar G"/>
    <s v="CAMPO2"/>
  </r>
  <r>
    <s v="TIMPSON"/>
    <x v="78"/>
    <x v="1"/>
    <s v="T4"/>
    <x v="8"/>
    <s v="TMF09"/>
    <s v="Salt Creek"/>
    <s v="SNFL"/>
    <x v="0"/>
    <n v="1780"/>
    <n v="15"/>
    <n v="14.51"/>
    <n v="0"/>
    <n v="0.49000000000000021"/>
    <n v="26703"/>
    <n v="25834"/>
    <n v="2"/>
    <n v="867"/>
    <n v="1.6"/>
    <n v="3.5"/>
    <x v="0"/>
    <d v="2020-07-11T00:00:00"/>
    <n v="4"/>
    <s v="Oppen Gable"/>
    <d v="1995-05-27T00:00:00"/>
    <n v="29"/>
    <n v="969198968"/>
    <s v="Urb Miraflores- Piura "/>
    <s v="Piura"/>
    <s v="Educación superior universitaria"/>
    <s v="Ing. Agrícola"/>
    <x v="52"/>
    <s v="Danitza Celi"/>
    <s v="WALTER"/>
    <s v="Omar G"/>
    <s v="CAMPO2"/>
  </r>
  <r>
    <s v="COTTON CANDY"/>
    <x v="79"/>
    <x v="4"/>
    <s v="T9"/>
    <x v="8"/>
    <s v="CCG13"/>
    <s v="Freedom"/>
    <s v="IFG"/>
    <x v="0"/>
    <n v="1838"/>
    <n v="12.27"/>
    <n v="10.79"/>
    <n v="1.2"/>
    <n v="0.28000000000000047"/>
    <n v="22559"/>
    <n v="19827"/>
    <n v="2199"/>
    <n v="533"/>
    <n v="1.6"/>
    <n v="3.5"/>
    <x v="0"/>
    <d v="2021-08-20T00:00:00"/>
    <n v="3"/>
    <s v="Oppen Gable"/>
    <d v="1982-10-05T00:00:00"/>
    <n v="42"/>
    <n v="962939551"/>
    <s v="Terela Castilla"/>
    <s v="Terela"/>
    <s v="Educación secundaria"/>
    <m/>
    <x v="53"/>
    <s v="Danitza Celi"/>
    <s v="PEDRO"/>
    <s v="Omar G"/>
    <s v="CAMPO4"/>
  </r>
  <r>
    <s v="COTTON CANDY"/>
    <x v="80"/>
    <x v="4"/>
    <s v="T9"/>
    <x v="8"/>
    <s v="CCH13"/>
    <s v="Freedom"/>
    <s v="IFG"/>
    <x v="0"/>
    <n v="1838"/>
    <n v="12.72"/>
    <n v="11.92"/>
    <n v="0.66"/>
    <n v="0.14000000000000068"/>
    <n v="23371"/>
    <n v="21915"/>
    <n v="1216"/>
    <n v="240"/>
    <n v="1.6"/>
    <n v="3.5"/>
    <x v="0"/>
    <d v="2021-07-17T00:00:00"/>
    <n v="3"/>
    <s v="Oppen Gable"/>
    <d v="1982-10-05T00:00:00"/>
    <n v="42"/>
    <n v="962939551"/>
    <s v="Terela Castilla"/>
    <s v="Terela"/>
    <s v="Educación secundaria"/>
    <m/>
    <x v="53"/>
    <s v="Danitza Celi"/>
    <s v="PEDRO"/>
    <s v="Omar G"/>
    <s v="CAMPO4"/>
  </r>
  <r>
    <s v="AUTUMN CRISP"/>
    <x v="81"/>
    <x v="6"/>
    <s v="TT"/>
    <x v="8"/>
    <s v="ACG14"/>
    <s v="Salt Creek"/>
    <s v="SUN WORLD"/>
    <x v="0"/>
    <n v="1838"/>
    <n v="15.43"/>
    <n v="14.63"/>
    <n v="0.78"/>
    <n v="1.9999999999998908E-2"/>
    <n v="28361"/>
    <n v="26887"/>
    <n v="1437"/>
    <n v="37"/>
    <n v="1.6"/>
    <n v="3.5"/>
    <x v="0"/>
    <d v="2021-09-21T00:00:00"/>
    <n v="3"/>
    <s v="Oppen Gable"/>
    <d v="1999-02-08T00:00:00"/>
    <n v="26"/>
    <n v="915218460"/>
    <s v="Calle La Union S/N"/>
    <s v="Piura"/>
    <s v="Educación superior universitaria"/>
    <s v="Agronomía "/>
    <x v="54"/>
    <s v="Danitza Celi"/>
    <s v="PEDRO"/>
    <s v="Omar G"/>
    <s v="CAMPO4"/>
  </r>
  <r>
    <s v="AUTUMN CRISP"/>
    <x v="82"/>
    <x v="6"/>
    <s v="TT"/>
    <x v="8"/>
    <s v="ACG15"/>
    <s v="Salt Creek"/>
    <s v="SUN WORLD"/>
    <x v="0"/>
    <n v="1838"/>
    <n v="11.39"/>
    <n v="10.73"/>
    <n v="0.63"/>
    <n v="3.0000000000000138E-2"/>
    <n v="20939"/>
    <n v="19714"/>
    <n v="1155"/>
    <n v="70"/>
    <n v="1.6"/>
    <n v="3.5"/>
    <x v="0"/>
    <d v="2021-09-28T00:00:00"/>
    <n v="3"/>
    <s v="Oppen Gable"/>
    <d v="1999-02-08T00:00:00"/>
    <n v="26"/>
    <n v="915218460"/>
    <s v="Calle La Union S/N"/>
    <s v="Piura"/>
    <s v="Educación superior universitaria"/>
    <s v="Agronomía "/>
    <x v="54"/>
    <s v="Danitza Celi"/>
    <s v="PEDRO"/>
    <s v="Omar G"/>
    <s v="CAMPO4"/>
  </r>
  <r>
    <s v="POR DESIGNAR"/>
    <x v="83"/>
    <x v="9"/>
    <s v="PD"/>
    <x v="9"/>
    <s v="PDB08"/>
    <s v="Salt Creek"/>
    <s v="SUN WORLD"/>
    <x v="0"/>
    <n v="1905"/>
    <n v="3.8"/>
    <n v="0"/>
    <n v="0"/>
    <n v="3.8"/>
    <n v="7239"/>
    <n v="0"/>
    <n v="0"/>
    <n v="7239"/>
    <n v="1.5"/>
    <n v="3.5"/>
    <x v="3"/>
    <n v="2024"/>
    <s v=""/>
    <s v="Roger Calapuja"/>
    <m/>
    <m/>
    <s v="-"/>
    <s v="-"/>
    <s v=""/>
    <s v="-"/>
    <m/>
    <x v="50"/>
    <s v="Roger Calapuja"/>
    <s v=""/>
    <m/>
    <s v=""/>
  </r>
  <r>
    <s v="POR DESIGNAR"/>
    <x v="84"/>
    <x v="9"/>
    <s v="PD"/>
    <x v="9"/>
    <s v="PDD07"/>
    <s v="Salt Creek"/>
    <s v="SUN WORLD"/>
    <x v="0"/>
    <n v="1905"/>
    <n v="13"/>
    <n v="0"/>
    <n v="0"/>
    <n v="13"/>
    <n v="24765"/>
    <n v="0"/>
    <n v="0"/>
    <n v="24765"/>
    <n v="1.5"/>
    <n v="3.5"/>
    <x v="3"/>
    <n v="2024"/>
    <s v=""/>
    <s v="Roger Calapuja"/>
    <m/>
    <m/>
    <s v="-"/>
    <s v="-"/>
    <s v=""/>
    <s v="-"/>
    <m/>
    <x v="50"/>
    <s v="Roger Calapuja"/>
    <s v=""/>
    <m/>
    <s v=""/>
  </r>
  <r>
    <s v="POR DESIGNAR"/>
    <x v="85"/>
    <x v="9"/>
    <s v="PD"/>
    <x v="9"/>
    <s v="PDI12"/>
    <s v="Salt Creek"/>
    <s v="SUN WORLD"/>
    <x v="0"/>
    <n v="1905"/>
    <n v="9.81"/>
    <n v="0"/>
    <n v="0"/>
    <n v="9.81"/>
    <n v="18688"/>
    <n v="0"/>
    <n v="0"/>
    <n v="18688"/>
    <n v="1.6"/>
    <n v="3.5"/>
    <x v="3"/>
    <n v="2024"/>
    <s v=""/>
    <s v="Oppen Gable"/>
    <d v="1991-11-20T00:00:00"/>
    <n v="33"/>
    <s v="-"/>
    <s v="-"/>
    <s v=""/>
    <s v="-"/>
    <s v="Agronomía "/>
    <x v="50"/>
    <s v="Danitza Celi"/>
    <s v=""/>
    <m/>
    <s v=""/>
  </r>
  <r>
    <s v="POR DESIGNAR"/>
    <x v="86"/>
    <x v="9"/>
    <s v="PD"/>
    <x v="9"/>
    <s v="PDI15"/>
    <s v="Salt Creek"/>
    <s v="SUN WORLD"/>
    <x v="0"/>
    <n v="1905"/>
    <n v="7.36"/>
    <n v="0"/>
    <n v="0"/>
    <n v="7.36"/>
    <n v="14021"/>
    <n v="0"/>
    <n v="0"/>
    <n v="14021"/>
    <n v="1.6"/>
    <n v="3.5"/>
    <x v="3"/>
    <n v="2024"/>
    <s v=""/>
    <s v="Oppen Gable"/>
    <d v="1991-11-20T00:00:00"/>
    <n v="33"/>
    <s v="-"/>
    <s v="-"/>
    <s v=""/>
    <s v="-"/>
    <s v="Agronomía "/>
    <x v="50"/>
    <s v="Danitza Celi"/>
    <s v=""/>
    <m/>
    <s v=""/>
  </r>
  <r>
    <s v="POR DESIGNAR"/>
    <x v="87"/>
    <x v="9"/>
    <s v="PD"/>
    <x v="9"/>
    <s v="PDH15"/>
    <s v="Salt Creek"/>
    <s v="SUN WORLD"/>
    <x v="0"/>
    <n v="1905"/>
    <n v="12.9"/>
    <n v="0"/>
    <n v="0"/>
    <n v="12.9"/>
    <n v="24575"/>
    <n v="0"/>
    <n v="0"/>
    <n v="24575"/>
    <n v="1.6"/>
    <n v="3.5"/>
    <x v="3"/>
    <n v="2024"/>
    <s v=""/>
    <s v="Oppen Gable"/>
    <d v="1991-11-20T00:00:00"/>
    <n v="33"/>
    <s v="-"/>
    <s v="-"/>
    <s v=""/>
    <s v="-"/>
    <s v="Agronomía "/>
    <x v="50"/>
    <s v="Danitza Celi"/>
    <s v=""/>
    <m/>
    <s v="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71">
  <r>
    <s v="AC"/>
    <s v="A12"/>
    <x v="0"/>
    <n v="15.83"/>
  </r>
  <r>
    <s v="AC"/>
    <s v="A13"/>
    <x v="0"/>
    <n v="5.94"/>
  </r>
  <r>
    <s v="AC"/>
    <s v="C01"/>
    <x v="1"/>
    <n v="14.8"/>
  </r>
  <r>
    <s v="AC"/>
    <s v="C02"/>
    <x v="1"/>
    <n v="14.68"/>
  </r>
  <r>
    <s v="AC"/>
    <s v="C03"/>
    <x v="0"/>
    <n v="14.35"/>
  </r>
  <r>
    <s v="AC"/>
    <s v="D12"/>
    <x v="1"/>
    <n v="17.5"/>
  </r>
  <r>
    <s v="AC"/>
    <s v="D13"/>
    <x v="0"/>
    <n v="15.65"/>
  </r>
  <r>
    <s v="AC"/>
    <s v="D14"/>
    <x v="1"/>
    <n v="11.81"/>
  </r>
  <r>
    <s v="AC"/>
    <s v="D15"/>
    <x v="1"/>
    <n v="13.08"/>
  </r>
  <r>
    <s v="AC"/>
    <s v="E15"/>
    <x v="0"/>
    <n v="7.38"/>
  </r>
  <r>
    <s v="AC"/>
    <s v="G09"/>
    <x v="1"/>
    <n v="11.65"/>
  </r>
  <r>
    <s v="AC"/>
    <s v="G10"/>
    <x v="1"/>
    <n v="14.71"/>
  </r>
  <r>
    <s v="AC"/>
    <s v="G11"/>
    <x v="1"/>
    <n v="9.8000000000000007"/>
  </r>
  <r>
    <s v="AC"/>
    <s v="G14"/>
    <x v="1"/>
    <n v="15.13"/>
  </r>
  <r>
    <s v="AC"/>
    <s v="G15"/>
    <x v="1"/>
    <n v="10.9"/>
  </r>
  <r>
    <s v="AL"/>
    <s v="G01"/>
    <x v="0"/>
    <n v="2.2400000000000002"/>
  </r>
  <r>
    <s v="AL"/>
    <s v="G02"/>
    <x v="0"/>
    <n v="13.27"/>
  </r>
  <r>
    <s v="AL"/>
    <s v="G03"/>
    <x v="0"/>
    <n v="8.2200000000000006"/>
  </r>
  <r>
    <s v="AL"/>
    <s v="G04"/>
    <x v="1"/>
    <n v="13.5"/>
  </r>
  <r>
    <s v="AL"/>
    <s v="G05"/>
    <x v="1"/>
    <n v="14.02"/>
  </r>
  <r>
    <s v="AL"/>
    <s v="G06"/>
    <x v="1"/>
    <n v="6.55"/>
  </r>
  <r>
    <s v="CC"/>
    <s v="B07"/>
    <x v="1"/>
    <n v="6.69"/>
  </r>
  <r>
    <s v="CC"/>
    <s v="C07"/>
    <x v="1"/>
    <n v="3.62"/>
  </r>
  <r>
    <s v="CC"/>
    <s v="G13"/>
    <x v="1"/>
    <n v="11.91"/>
  </r>
  <r>
    <s v="CC"/>
    <s v="H09"/>
    <x v="1"/>
    <n v="10.51"/>
  </r>
  <r>
    <s v="CC"/>
    <s v="H10"/>
    <x v="1"/>
    <n v="14.23"/>
  </r>
  <r>
    <s v="CC"/>
    <s v="H11"/>
    <x v="1"/>
    <n v="13.61"/>
  </r>
  <r>
    <s v="CC"/>
    <s v="H13"/>
    <x v="1"/>
    <n v="12.37"/>
  </r>
  <r>
    <s v="CH"/>
    <s v="B13"/>
    <x v="0"/>
    <n v="7.91"/>
  </r>
  <r>
    <s v="CH"/>
    <s v="B14"/>
    <x v="0"/>
    <n v="6.91"/>
  </r>
  <r>
    <s v="FC"/>
    <s v="C12"/>
    <x v="0"/>
    <n v="12.34"/>
  </r>
  <r>
    <s v="FC"/>
    <s v="C13"/>
    <x v="0"/>
    <n v="15.02"/>
  </r>
  <r>
    <s v="JS"/>
    <s v="A01"/>
    <x v="0"/>
    <n v="10.68"/>
  </r>
  <r>
    <s v="JS"/>
    <s v="A02"/>
    <x v="0"/>
    <n v="12.47"/>
  </r>
  <r>
    <s v="JS"/>
    <s v="A03"/>
    <x v="1"/>
    <n v="14.29"/>
  </r>
  <r>
    <s v="JS"/>
    <s v="D01"/>
    <x v="1"/>
    <n v="11.62"/>
  </r>
  <r>
    <s v="JS"/>
    <s v="D02"/>
    <x v="1"/>
    <n v="10.7"/>
  </r>
  <r>
    <s v="JS"/>
    <s v="E01"/>
    <x v="0"/>
    <n v="14.78"/>
  </r>
  <r>
    <s v="JS"/>
    <s v="E02"/>
    <x v="0"/>
    <n v="4.09"/>
  </r>
  <r>
    <s v="JS"/>
    <s v="E03"/>
    <x v="0"/>
    <n v="6.67"/>
  </r>
  <r>
    <s v="JS"/>
    <s v="E04"/>
    <x v="0"/>
    <n v="10.98"/>
  </r>
  <r>
    <s v="JS"/>
    <s v="F01"/>
    <x v="0"/>
    <n v="10.16"/>
  </r>
  <r>
    <s v="JS"/>
    <s v="F02"/>
    <x v="0"/>
    <n v="13.42"/>
  </r>
  <r>
    <s v="JS"/>
    <s v="F03"/>
    <x v="0"/>
    <n v="14.42"/>
  </r>
  <r>
    <s v="JS"/>
    <s v="F04"/>
    <x v="0"/>
    <n v="11.99"/>
  </r>
  <r>
    <s v="SC"/>
    <s v="B01"/>
    <x v="0"/>
    <n v="14.65"/>
  </r>
  <r>
    <s v="SC"/>
    <s v="B02"/>
    <x v="0"/>
    <n v="12.6"/>
  </r>
  <r>
    <s v="SC"/>
    <s v="B03"/>
    <x v="1"/>
    <n v="6.29"/>
  </r>
  <r>
    <s v="SC"/>
    <s v="C15"/>
    <x v="0"/>
    <n v="13.23"/>
  </r>
  <r>
    <s v="Test Block"/>
    <s v="F11"/>
    <x v="0"/>
    <n v="4.0999999999999996"/>
  </r>
  <r>
    <s v="Test Block"/>
    <s v="G11"/>
    <x v="0"/>
    <n v="2.1"/>
  </r>
  <r>
    <s v="TM"/>
    <s v="B04"/>
    <x v="1"/>
    <n v="14.21"/>
  </r>
  <r>
    <s v="TM"/>
    <s v="C04"/>
    <x v="1"/>
    <n v="14.09"/>
  </r>
  <r>
    <s v="TM"/>
    <s v="C05"/>
    <x v="1"/>
    <n v="14.98"/>
  </r>
  <r>
    <s v="TM"/>
    <s v="C06"/>
    <x v="1"/>
    <n v="12.77"/>
  </r>
  <r>
    <s v="TM"/>
    <s v="D04"/>
    <x v="1"/>
    <n v="13.62"/>
  </r>
  <r>
    <s v="TM"/>
    <s v="D05"/>
    <x v="0"/>
    <n v="12.72"/>
  </r>
  <r>
    <s v="TM"/>
    <s v="D06"/>
    <x v="1"/>
    <n v="12.98"/>
  </r>
  <r>
    <s v="TM"/>
    <s v="E05"/>
    <x v="0"/>
    <n v="13.35"/>
  </r>
  <r>
    <s v="TM"/>
    <s v="E06"/>
    <x v="1"/>
    <n v="14.68"/>
  </r>
  <r>
    <s v="TM"/>
    <s v="E07"/>
    <x v="1"/>
    <n v="14.84"/>
  </r>
  <r>
    <s v="TM"/>
    <s v="E08"/>
    <x v="0"/>
    <n v="13.26"/>
  </r>
  <r>
    <s v="TM"/>
    <s v="E09"/>
    <x v="0"/>
    <n v="10.9"/>
  </r>
  <r>
    <s v="TM"/>
    <s v="E14"/>
    <x v="0"/>
    <n v="15.92"/>
  </r>
  <r>
    <s v="TM"/>
    <s v="F05"/>
    <x v="1"/>
    <n v="14.34"/>
  </r>
  <r>
    <s v="TM"/>
    <s v="F06"/>
    <x v="0"/>
    <n v="14.26"/>
  </r>
  <r>
    <s v="TM"/>
    <s v="F07"/>
    <x v="0"/>
    <n v="14.64"/>
  </r>
  <r>
    <s v="TM"/>
    <s v="F08"/>
    <x v="0"/>
    <n v="14.73"/>
  </r>
  <r>
    <s v="TM"/>
    <s v="F09"/>
    <x v="1"/>
    <n v="14.2"/>
  </r>
  <r>
    <s v="TM"/>
    <s v="F12"/>
    <x v="1"/>
    <n v="8.4700000000000006"/>
  </r>
  <r>
    <s v="TM"/>
    <s v="F13"/>
    <x v="0"/>
    <n v="13.43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3">
  <r>
    <s v="PU/25.T8.F01"/>
    <s v="JACK'S SALUTE"/>
    <x v="0"/>
    <x v="0"/>
    <s v="T8"/>
    <x v="0"/>
    <s v="JSF01"/>
    <s v="Freedom"/>
    <s v="IFG"/>
    <n v="2025"/>
    <n v="1684"/>
    <n v="10.24"/>
    <n v="10.15"/>
    <n v="7.0000000000000007E-2"/>
    <n v="1.9999999999999851E-2"/>
    <n v="17244"/>
    <n v="17092"/>
    <n v="112"/>
    <n v="40"/>
    <n v="1.8"/>
    <n v="3.3"/>
    <x v="0"/>
    <d v="2018-07-21T00:00:00"/>
    <n v="7.515068493150685"/>
    <s v="Oppen Gable"/>
    <d v="1984-10-29T00:00:00"/>
    <n v="41"/>
    <n v="965699885"/>
    <s v="Progreso Bajo"/>
    <s v="Tambogrande"/>
    <s v="Educación secundaria"/>
    <s v="-"/>
    <x v="0"/>
    <s v="Roger Calapuja"/>
    <s v="KEVIN"/>
    <s v="Junior S"/>
    <m/>
    <s v="CAMPO2"/>
    <m/>
  </r>
  <r>
    <s v="PU/25.T8.F02"/>
    <s v="JACK'S SALUTE"/>
    <x v="1"/>
    <x v="0"/>
    <s v="T8"/>
    <x v="0"/>
    <s v="JSF02"/>
    <s v="Freedom"/>
    <s v="IFG"/>
    <n v="2025"/>
    <n v="1684"/>
    <n v="13.55"/>
    <n v="13.38"/>
    <n v="0.09"/>
    <n v="7.9999999999999932E-2"/>
    <n v="22812"/>
    <n v="22536"/>
    <n v="146"/>
    <n v="130"/>
    <n v="1.8"/>
    <n v="3.3"/>
    <x v="0"/>
    <d v="2018-07-25T00:00:00"/>
    <n v="7.5041095890410956"/>
    <s v="Oppen Gable"/>
    <d v="1984-10-29T00:00:00"/>
    <n v="41"/>
    <n v="965699885"/>
    <s v="Progreso Bajo"/>
    <s v="Tambogrande"/>
    <s v="Educación secundaria"/>
    <s v="-"/>
    <x v="0"/>
    <s v="Roger Calapuja"/>
    <s v="KEVIN"/>
    <s v="Junior S"/>
    <m/>
    <s v="CAMPO2"/>
    <m/>
  </r>
  <r>
    <s v="PU/25.T8.F03"/>
    <s v="JACK'S SALUTE"/>
    <x v="2"/>
    <x v="0"/>
    <s v="T8"/>
    <x v="0"/>
    <s v="JSF03"/>
    <s v="Freedom"/>
    <s v="IFG"/>
    <n v="2025"/>
    <n v="1684"/>
    <n v="14.81"/>
    <n v="14.65"/>
    <n v="0.09"/>
    <n v="7.0000000000000145E-2"/>
    <n v="24934"/>
    <n v="24671"/>
    <n v="159"/>
    <n v="104"/>
    <n v="1.8"/>
    <n v="3.3"/>
    <x v="0"/>
    <d v="2018-07-27T00:00:00"/>
    <n v="7.4986301369863018"/>
    <s v="Oppen Gable"/>
    <d v="1997-08-21T00:00:00"/>
    <n v="28"/>
    <s v="-"/>
    <s v="-"/>
    <s v=""/>
    <s v="-"/>
    <s v=""/>
    <x v="1"/>
    <s v="Roger Calapuja"/>
    <s v="KEVIN"/>
    <s v="Junior S"/>
    <m/>
    <s v="CAMPO2"/>
    <m/>
  </r>
  <r>
    <s v="PU/25.T8.F04"/>
    <s v="JACK'S SALUTE"/>
    <x v="3"/>
    <x v="0"/>
    <s v="T8"/>
    <x v="0"/>
    <s v="JSF04"/>
    <s v="Freedom"/>
    <s v="IFG"/>
    <n v="2025"/>
    <n v="1262"/>
    <n v="12.26"/>
    <n v="12.03"/>
    <n v="0.11"/>
    <n v="0.12000000000000043"/>
    <n v="15472"/>
    <n v="15188"/>
    <n v="141"/>
    <n v="143"/>
    <n v="2.4"/>
    <n v="3.3"/>
    <x v="0"/>
    <d v="2018-09-03T00:00:00"/>
    <n v="7.3945205479452056"/>
    <s v="Oppen Gable"/>
    <d v="1997-08-21T00:00:00"/>
    <n v="28"/>
    <s v="-"/>
    <s v="-"/>
    <s v=""/>
    <s v="-"/>
    <s v=""/>
    <x v="1"/>
    <s v="Roger Calapuja"/>
    <s v="KEVIN"/>
    <s v="Junior S"/>
    <m/>
    <s v="CAMPO2"/>
    <s v="ok"/>
  </r>
  <r>
    <s v="PU/25.T8.E01"/>
    <s v="JACK'S SALUTE"/>
    <x v="4"/>
    <x v="0"/>
    <s v="T8"/>
    <x v="0"/>
    <s v="JSE01"/>
    <s v="Salt Creek"/>
    <s v="IFG"/>
    <n v="2025"/>
    <n v="1894"/>
    <n v="14.96"/>
    <n v="14.75"/>
    <n v="0.11"/>
    <n v="0.10000000000000085"/>
    <n v="28343"/>
    <n v="27935"/>
    <n v="213"/>
    <n v="195"/>
    <n v="1.6"/>
    <n v="3.3"/>
    <x v="0"/>
    <d v="2021-07-15T00:00:00"/>
    <n v="4.5287671232876709"/>
    <s v="Oppen Gable"/>
    <d v="1994-10-24T00:00:00"/>
    <n v="31"/>
    <n v="988291254"/>
    <s v="Expolvorinea mz .g lote 11"/>
    <s v="Piura"/>
    <s v="Educación superior técnica"/>
    <s v="Producion agropecuaria"/>
    <x v="2"/>
    <s v="Roger Calapuja"/>
    <s v="KEVIN"/>
    <s v="Junior S"/>
    <m/>
    <s v="CAMPO2"/>
    <m/>
  </r>
  <r>
    <s v="PU/25.T8.E02"/>
    <s v="JACK'S SALUTE"/>
    <x v="5"/>
    <x v="0"/>
    <s v="T8"/>
    <x v="0"/>
    <s v="JSE02"/>
    <s v="Salt Creek"/>
    <s v="IFG"/>
    <n v="2025"/>
    <n v="1894"/>
    <n v="4.3600000000000003"/>
    <n v="3.96"/>
    <n v="0.23"/>
    <n v="0.17000000000000035"/>
    <n v="8256"/>
    <n v="7501"/>
    <n v="438"/>
    <n v="317"/>
    <n v="1.6"/>
    <n v="3.3"/>
    <x v="0"/>
    <d v="2021-07-21T00:00:00"/>
    <n v="4.5123287671232877"/>
    <s v="Oppen Gable"/>
    <d v="1994-10-24T00:00:00"/>
    <n v="31"/>
    <s v="-"/>
    <s v="-"/>
    <n v="0"/>
    <s v="-"/>
    <s v="-"/>
    <x v="3"/>
    <s v="Roger Calapuja"/>
    <s v="KEVIN"/>
    <s v="Junior S"/>
    <m/>
    <s v="CAMPO2"/>
    <m/>
  </r>
  <r>
    <s v="PU/25.T8.E03"/>
    <s v="JACK'S SALUTE"/>
    <x v="6"/>
    <x v="0"/>
    <s v="T8"/>
    <x v="0"/>
    <s v="JSE03"/>
    <s v="Salt Creek"/>
    <s v="IFG"/>
    <n v="2025"/>
    <n v="1894"/>
    <n v="7.85"/>
    <n v="7.3"/>
    <n v="0.48"/>
    <n v="6.999999999999984E-2"/>
    <n v="14870"/>
    <n v="13830"/>
    <n v="909"/>
    <n v="131"/>
    <n v="1.6"/>
    <n v="3.3"/>
    <x v="0"/>
    <d v="2021-07-23T00:00:00"/>
    <n v="4.506849315068493"/>
    <s v="Oppen Gable"/>
    <d v="1985-04-16T00:00:00"/>
    <n v="40"/>
    <s v="-"/>
    <s v="-"/>
    <n v="0"/>
    <s v="-"/>
    <s v="-"/>
    <x v="3"/>
    <s v="Roger Calapuja"/>
    <s v="KEVIN"/>
    <s v="Junior S"/>
    <m/>
    <s v="CAMPO2"/>
    <m/>
  </r>
  <r>
    <s v="PU/25.T8.E04"/>
    <s v="JACK'S SALUTE"/>
    <x v="7"/>
    <x v="0"/>
    <s v="T8"/>
    <x v="0"/>
    <s v="JSE04"/>
    <s v="Salt Creek"/>
    <s v="IFG"/>
    <n v="2025"/>
    <n v="1905"/>
    <n v="13.08"/>
    <n v="11.8"/>
    <n v="0.68"/>
    <n v="0.59999999999999931"/>
    <n v="24926"/>
    <n v="22481"/>
    <n v="1303"/>
    <n v="1142"/>
    <n v="1.5"/>
    <n v="3.5"/>
    <x v="0"/>
    <d v="2021-07-26T00:00:00"/>
    <n v="4.4986301369863018"/>
    <s v="Oppen Gable"/>
    <d v="1985-04-16T00:00:00"/>
    <n v="40"/>
    <n v="976412072"/>
    <s v="Caserío Terela Medio Piura"/>
    <s v="Terela"/>
    <s v="Educacion superior técnica incompleta"/>
    <s v=" Computación e Informática"/>
    <x v="4"/>
    <s v="Roger Calapuja"/>
    <s v="KEVIN"/>
    <s v="Junior S"/>
    <m/>
    <s v="CAMPO2"/>
    <s v="ok"/>
  </r>
  <r>
    <s v="PU/25.T4.D04"/>
    <s v="TIMPSON"/>
    <x v="8"/>
    <x v="1"/>
    <s v="T4"/>
    <x v="1"/>
    <s v="TMD04"/>
    <s v="Salt Creek"/>
    <s v="SNFL"/>
    <n v="2025"/>
    <n v="2070"/>
    <n v="13.75"/>
    <n v="13.62"/>
    <n v="0.02"/>
    <n v="0.11000000000000078"/>
    <n v="28460"/>
    <n v="28200"/>
    <n v="36"/>
    <n v="224"/>
    <n v="1.6"/>
    <n v="3.5"/>
    <x v="0"/>
    <d v="2016-10-25T00:00:00"/>
    <n v="9.2520547945205482"/>
    <s v="Oppen Gable"/>
    <d v="1987-03-06T00:00:00"/>
    <n v="38"/>
    <s v="-"/>
    <s v="-"/>
    <s v=""/>
    <s v="-"/>
    <s v=""/>
    <x v="5"/>
    <s v="Roger Calapuja"/>
    <s v="FRANK CESPEDES"/>
    <s v="JUNIOR SOSA"/>
    <s v="ALAN "/>
    <s v="CAMPO1"/>
    <m/>
  </r>
  <r>
    <s v="PU/25.T4.D05"/>
    <s v="TIMPSON"/>
    <x v="9"/>
    <x v="1"/>
    <s v="T4"/>
    <x v="1"/>
    <s v="TMD05"/>
    <s v="Salt Creek"/>
    <s v="SNFL"/>
    <n v="2025"/>
    <n v="2070"/>
    <n v="12.89"/>
    <n v="12.76"/>
    <n v="0.01"/>
    <n v="0.12000000000000079"/>
    <n v="26680"/>
    <n v="26418"/>
    <n v="24"/>
    <n v="238"/>
    <n v="1.6"/>
    <n v="3.5"/>
    <x v="0"/>
    <d v="2016-11-04T00:00:00"/>
    <n v="9.2246575342465746"/>
    <s v="Oppen Gable"/>
    <d v="1984-09-05T00:00:00"/>
    <n v="41"/>
    <n v="947657425"/>
    <s v="Caserío El Papayo Medio Piura"/>
    <s v="El Papayo"/>
    <s v="Educación secundaria"/>
    <s v="-"/>
    <x v="6"/>
    <s v="Roger Calapuja"/>
    <s v="FRANK CESPEDES"/>
    <s v="JUNIOR SOSA"/>
    <s v="ALAN "/>
    <s v="CAMPO1"/>
    <m/>
  </r>
  <r>
    <s v="PU/25.T4.D06"/>
    <s v="TIMPSON"/>
    <x v="10"/>
    <x v="1"/>
    <s v="T4"/>
    <x v="1"/>
    <s v="TMD06"/>
    <s v="Salt Creek"/>
    <s v="SNFL"/>
    <n v="2025"/>
    <n v="2070"/>
    <n v="13.1"/>
    <n v="12.98"/>
    <n v="0.01"/>
    <n v="0.10999999999999922"/>
    <n v="27115"/>
    <n v="26868"/>
    <n v="25"/>
    <n v="222"/>
    <n v="1.6"/>
    <n v="3.5"/>
    <x v="0"/>
    <d v="2016-12-27T00:00:00"/>
    <n v="9.0794520547945208"/>
    <s v="Oppen Gable"/>
    <d v="1984-09-05T00:00:00"/>
    <n v="41"/>
    <n v="947657425"/>
    <s v="Caserío El Papayo Medio Piura"/>
    <s v="El Papayo"/>
    <s v="Educación secundaria"/>
    <s v="-"/>
    <x v="6"/>
    <s v="Roger Calapuja"/>
    <s v="FRANK CESPEDES"/>
    <s v="JUNIOR SOSA"/>
    <s v="ALAN "/>
    <s v="CAMPO1"/>
    <m/>
  </r>
  <r>
    <s v="PU/25.T4.F05"/>
    <s v="TIMPSON"/>
    <x v="11"/>
    <x v="1"/>
    <s v="T4"/>
    <x v="1"/>
    <s v="TMF05"/>
    <s v="Salt Creek"/>
    <s v="SNFL"/>
    <n v="2025"/>
    <n v="1953"/>
    <n v="14.42"/>
    <n v="14.34"/>
    <n v="0.01"/>
    <n v="7.0000000000000076E-2"/>
    <n v="28153"/>
    <n v="28005"/>
    <n v="27"/>
    <n v="121"/>
    <n v="1.6"/>
    <n v="3.3"/>
    <x v="0"/>
    <d v="2019-07-13T00:00:00"/>
    <n v="6.536986301369863"/>
    <s v="Oppen Gable"/>
    <d v="1989-06-06T00:00:00"/>
    <n v="36"/>
    <n v="951464092"/>
    <s v="La obrilla"/>
    <n v="0"/>
    <s v="Educación secundaria"/>
    <s v="-"/>
    <x v="7"/>
    <s v="Roger Calapuja"/>
    <s v="FRANK CESPEDES"/>
    <s v="JUNIOR SOSA"/>
    <s v="ALAN "/>
    <s v="CAMPO2"/>
    <s v="ok"/>
  </r>
  <r>
    <s v="PU/25.T4.F06"/>
    <s v="TIMPSON"/>
    <x v="12"/>
    <x v="1"/>
    <s v="T4"/>
    <x v="1"/>
    <s v="TMF06"/>
    <s v="Salt Creek"/>
    <s v="SNFL"/>
    <n v="2025"/>
    <n v="1953"/>
    <n v="14.27"/>
    <n v="14.26"/>
    <n v="0"/>
    <n v="9.9999999999997868E-3"/>
    <n v="27869"/>
    <n v="27842"/>
    <n v="4"/>
    <n v="23"/>
    <n v="1.6"/>
    <n v="3.3"/>
    <x v="0"/>
    <d v="2019-07-11T00:00:00"/>
    <n v="6.5424657534246577"/>
    <s v="Oppen Gable"/>
    <d v="1985-02-04T00:00:00"/>
    <n v="40"/>
    <n v="951464092"/>
    <s v="La obrilla"/>
    <n v="0"/>
    <s v="Educación secundaria"/>
    <s v="-"/>
    <x v="7"/>
    <s v="Roger Calapuja"/>
    <s v="FRANK CESPEDES"/>
    <s v="JUNIOR SOSA"/>
    <s v="ALAN "/>
    <s v="CAMPO2"/>
    <m/>
  </r>
  <r>
    <s v="PU/25.T4.F07"/>
    <s v="TIMPSON"/>
    <x v="13"/>
    <x v="1"/>
    <s v="T4"/>
    <x v="1"/>
    <s v="TMF07"/>
    <s v="Salt Creek"/>
    <s v="SNFL"/>
    <n v="2025"/>
    <n v="1953"/>
    <n v="14.65"/>
    <n v="14.63"/>
    <n v="0"/>
    <n v="1.9999999999999574E-2"/>
    <n v="28615"/>
    <n v="28567"/>
    <n v="4"/>
    <n v="44"/>
    <n v="1.6"/>
    <n v="3.3"/>
    <x v="0"/>
    <d v="2019-07-08T00:00:00"/>
    <n v="6.5506849315068489"/>
    <s v="Oppen Gable"/>
    <d v="1985-02-04T00:00:00"/>
    <n v="40"/>
    <n v="957943066"/>
    <s v="San Rafael  medio piura"/>
    <s v="Medio Piura"/>
    <s v="Educación secundaria"/>
    <s v="-"/>
    <x v="8"/>
    <s v="Roger Calapuja"/>
    <s v="FRANK CESPEDES"/>
    <s v="JUNIOR SOSA"/>
    <s v="ALAN "/>
    <s v="CAMPO2"/>
    <m/>
  </r>
  <r>
    <s v="PU/25.T4.E05"/>
    <s v="TIMPSON"/>
    <x v="14"/>
    <x v="1"/>
    <s v="T4"/>
    <x v="1"/>
    <s v="TME05"/>
    <s v="Salt Creek"/>
    <s v="SNFL"/>
    <n v="2025"/>
    <n v="1780"/>
    <n v="14.09"/>
    <n v="13.33"/>
    <n v="0.02"/>
    <n v="0.73999999999999977"/>
    <n v="25088"/>
    <n v="23733"/>
    <n v="29"/>
    <n v="1326"/>
    <n v="1.6"/>
    <n v="3.5"/>
    <x v="0"/>
    <d v="2020-06-20T00:00:00"/>
    <n v="5.5972602739726032"/>
    <s v="Oppen Gable"/>
    <d v="1989-06-06T00:00:00"/>
    <n v="36"/>
    <s v="-"/>
    <s v="-"/>
    <s v=""/>
    <s v="-"/>
    <s v=""/>
    <x v="9"/>
    <s v="Roger Calapuja"/>
    <s v="FRANK CESPEDES"/>
    <s v="JUNIOR SOSA"/>
    <s v="ALAN "/>
    <s v="CAMPO2"/>
    <m/>
  </r>
  <r>
    <s v="PU/25.T4.E06"/>
    <s v="TIMPSON"/>
    <x v="15"/>
    <x v="1"/>
    <s v="T4"/>
    <x v="1"/>
    <s v="TME06"/>
    <s v="Salt Creek"/>
    <s v="SNFL"/>
    <n v="2025"/>
    <n v="1780"/>
    <n v="14.74"/>
    <n v="14.68"/>
    <n v="0"/>
    <n v="6.0000000000000497E-2"/>
    <n v="26240"/>
    <n v="26135"/>
    <n v="1"/>
    <n v="104"/>
    <n v="1.6"/>
    <n v="3.5"/>
    <x v="0"/>
    <d v="2020-06-30T00:00:00"/>
    <n v="5.5698630136986305"/>
    <s v="Oppen Gable"/>
    <d v="1997-05-30T00:00:00"/>
    <n v="28"/>
    <n v="954262739"/>
    <s v="Terela medio piura"/>
    <s v="Terela"/>
    <s v="Educación secundaria"/>
    <s v="-"/>
    <x v="10"/>
    <s v="Roger Calapuja"/>
    <s v="FRANK CESPEDES"/>
    <s v="JUNIOR SOSA"/>
    <s v="ALAN "/>
    <s v="CAMPO2"/>
    <m/>
  </r>
  <r>
    <s v="PU/25.T4.E07"/>
    <s v="TIMPSON"/>
    <x v="16"/>
    <x v="1"/>
    <s v="T4"/>
    <x v="1"/>
    <s v="TME07"/>
    <s v="Salt Creek"/>
    <s v="SNFL"/>
    <n v="2025"/>
    <n v="1780"/>
    <n v="14.46"/>
    <n v="14.35"/>
    <n v="0.01"/>
    <n v="0.10000000000000121"/>
    <n v="25743"/>
    <n v="25546"/>
    <n v="15"/>
    <n v="182"/>
    <n v="1.6"/>
    <n v="3.5"/>
    <x v="0"/>
    <d v="2020-07-03T00:00:00"/>
    <n v="5.5616438356164384"/>
    <s v="Oppen Gable"/>
    <d v="1997-05-30T00:00:00"/>
    <n v="28"/>
    <s v="-"/>
    <s v="-"/>
    <s v=""/>
    <s v="-"/>
    <s v=""/>
    <x v="11"/>
    <s v="Roger Calapuja"/>
    <s v="FRANK CESPEDES"/>
    <s v="JUNIOR SOSA"/>
    <s v="ALAN "/>
    <s v="CAMPO2"/>
    <s v="ok"/>
  </r>
  <r>
    <s v="PU/25.TS.B03"/>
    <s v="SWEET CELEBRATION"/>
    <x v="17"/>
    <x v="2"/>
    <s v="TS"/>
    <x v="2"/>
    <s v="SCB03"/>
    <s v="Salt Creek"/>
    <s v="IFG"/>
    <n v="2025"/>
    <n v="1780"/>
    <n v="6.91"/>
    <n v="6.29"/>
    <n v="0.08"/>
    <n v="0.54000000000000015"/>
    <n v="12306"/>
    <n v="11193"/>
    <n v="150"/>
    <n v="963"/>
    <n v="1.6"/>
    <n v="3.5"/>
    <x v="0"/>
    <d v="2021-08-02T00:00:00"/>
    <n v="4.4794520547945202"/>
    <s v="Oppen Gable"/>
    <d v="1986-09-01T00:00:00"/>
    <n v="39"/>
    <s v="-"/>
    <s v="-"/>
    <s v=""/>
    <s v="-"/>
    <s v=""/>
    <x v="12"/>
    <s v="Roger Calapuja"/>
    <s v="CINDY"/>
    <s v="DANIEL PALACIOS"/>
    <s v="ALAN "/>
    <s v="CAMPO1"/>
    <s v="ok"/>
  </r>
  <r>
    <s v="IU/25.TS.B03"/>
    <s v="SWEET CELEBRATION"/>
    <x v="17"/>
    <x v="2"/>
    <s v="TS"/>
    <x v="2"/>
    <s v="SCB03"/>
    <s v="-"/>
    <s v="-"/>
    <n v="2025"/>
    <n v="1780"/>
    <n v="7.57"/>
    <n v="0"/>
    <n v="7.05"/>
    <n v="0.52000000000000046"/>
    <n v="13468"/>
    <n v="0"/>
    <n v="12544"/>
    <n v="924"/>
    <n v="1.6"/>
    <n v="3.5"/>
    <x v="1"/>
    <d v="2025-08-01T00:00:00"/>
    <n v="0"/>
    <s v="PD"/>
    <d v="1986-09-01T00:00:00"/>
    <n v="39"/>
    <s v="-"/>
    <s v="-"/>
    <s v=""/>
    <s v="-"/>
    <s v=""/>
    <x v="12"/>
    <s v="Roger Calapuja"/>
    <s v="CINDY"/>
    <s v="DANIEL PALACIOS"/>
    <s v="ALAN "/>
    <s v="CAMPO1"/>
    <s v="ok"/>
  </r>
  <r>
    <s v="IU/25.TS.B02"/>
    <s v="SWEET CELEBRATION"/>
    <x v="18"/>
    <x v="2"/>
    <s v="TS"/>
    <x v="2"/>
    <s v="SCB02"/>
    <s v="-"/>
    <s v="-"/>
    <n v="2025"/>
    <n v="1780"/>
    <n v="1.4"/>
    <n v="0"/>
    <n v="1.01"/>
    <n v="0.3899999999999999"/>
    <n v="2488"/>
    <n v="0"/>
    <n v="1800"/>
    <n v="688"/>
    <n v="1.6"/>
    <n v="3.5"/>
    <x v="1"/>
    <d v="2025-08-01T00:00:00"/>
    <n v="0"/>
    <s v="PD"/>
    <d v="1986-09-01T00:00:00"/>
    <n v="39"/>
    <s v="-"/>
    <s v="-"/>
    <s v=""/>
    <s v="-"/>
    <s v=""/>
    <x v="13"/>
    <s v="Roger Calapuja"/>
    <s v="CINDY"/>
    <s v="DANIEL PALACIOS"/>
    <s v="ALAN "/>
    <s v="CAMPO1"/>
    <s v="ok"/>
  </r>
  <r>
    <s v="PU/25.T8.A01"/>
    <s v="JACK'S SALUTE"/>
    <x v="19"/>
    <x v="0"/>
    <s v="T8"/>
    <x v="2"/>
    <s v="JSA01"/>
    <s v="Salt Creek"/>
    <s v="IFG"/>
    <n v="2025"/>
    <n v="1780.2"/>
    <n v="15"/>
    <n v="11.08"/>
    <n v="3.12"/>
    <n v="0.79999999999999982"/>
    <n v="26703"/>
    <n v="19733"/>
    <n v="5563"/>
    <n v="1407"/>
    <n v="1.6"/>
    <n v="3.5"/>
    <x v="0"/>
    <d v="2020-07-24T00:00:00"/>
    <n v="5.5041095890410956"/>
    <s v="Oppen Gable"/>
    <d v="1997-02-24T00:00:00"/>
    <n v="28"/>
    <s v="solicitar"/>
    <s v="solicitar"/>
    <n v="0"/>
    <s v="solicitar"/>
    <s v="-"/>
    <x v="14"/>
    <s v="Roger Calapuja"/>
    <s v="CINDY"/>
    <s v="DANIEL PALACIOS"/>
    <s v="ALAN "/>
    <s v="CAMPO1"/>
    <m/>
  </r>
  <r>
    <s v="PU/25.T8.A02"/>
    <s v="JACK'S SALUTE"/>
    <x v="20"/>
    <x v="0"/>
    <s v="T8"/>
    <x v="2"/>
    <s v="JSA02"/>
    <s v="Salt Creek"/>
    <s v="IFG"/>
    <n v="2025"/>
    <n v="1780.2"/>
    <n v="14.99"/>
    <n v="12.53"/>
    <n v="1.91"/>
    <n v="0.55000000000000093"/>
    <n v="26688"/>
    <n v="22302"/>
    <n v="3392"/>
    <n v="994"/>
    <n v="1.6"/>
    <n v="3.5"/>
    <x v="0"/>
    <d v="2020-07-27T00:00:00"/>
    <n v="5.4958904109589044"/>
    <s v="Oppen Gable"/>
    <d v="1997-02-24T00:00:00"/>
    <n v="28"/>
    <n v="927501356"/>
    <s v="Caserio San Pablo catacaos"/>
    <s v="Catacaos"/>
    <s v="Educación secundaria"/>
    <s v="-"/>
    <x v="15"/>
    <s v="Roger Calapuja"/>
    <s v="CINDY"/>
    <s v="DANIEL PALACIOS"/>
    <s v="ALAN "/>
    <s v="CAMPO1"/>
    <m/>
  </r>
  <r>
    <s v="PU/25.T8.A03"/>
    <s v="JACK'S SALUTE"/>
    <x v="21"/>
    <x v="0"/>
    <s v="T8"/>
    <x v="2"/>
    <s v="JSA03"/>
    <s v="Salt Creek"/>
    <s v="IFG"/>
    <n v="2025"/>
    <n v="1779.3333333333333"/>
    <n v="15"/>
    <n v="14.29"/>
    <n v="0.05"/>
    <n v="0.66000000000000081"/>
    <n v="26690"/>
    <n v="25430"/>
    <n v="88"/>
    <n v="1172"/>
    <n v="1.6"/>
    <n v="3.5"/>
    <x v="0"/>
    <d v="2020-10-01T00:00:00"/>
    <n v="5.3150684931506849"/>
    <s v="Oppen Gable"/>
    <d v="1977-06-12T00:00:00"/>
    <n v="48"/>
    <s v="solicitar"/>
    <s v="solicitar"/>
    <n v="0"/>
    <s v="solicitar"/>
    <s v="-"/>
    <x v="16"/>
    <s v="Roger Calapuja"/>
    <s v="CINDY"/>
    <s v="DANIEL PALACIOS"/>
    <s v="ALAN "/>
    <s v="CAMPO1"/>
    <m/>
  </r>
  <r>
    <s v="PU/25.TS.B01"/>
    <s v="SWEET CELEBRATION"/>
    <x v="22"/>
    <x v="2"/>
    <s v="TS"/>
    <x v="2"/>
    <s v="SCB01"/>
    <s v="Salt Creek"/>
    <s v="IFG"/>
    <n v="2025"/>
    <n v="1780"/>
    <n v="14.77"/>
    <n v="14.7"/>
    <n v="0.04"/>
    <n v="3.0000000000000283E-2"/>
    <n v="26289"/>
    <n v="26161"/>
    <n v="77"/>
    <n v="51"/>
    <n v="1.6"/>
    <n v="3.5"/>
    <x v="0"/>
    <d v="2020-07-29T00:00:00"/>
    <n v="5.4904109589041097"/>
    <s v="Oppen Gable"/>
    <d v="1976-08-11T00:00:00"/>
    <n v="49"/>
    <s v="-"/>
    <s v="-"/>
    <s v=""/>
    <s v="-"/>
    <s v=""/>
    <x v="17"/>
    <s v="Roger Calapuja"/>
    <s v="CINDY"/>
    <s v="DANIEL PALACIOS"/>
    <s v="ALAN "/>
    <s v="CAMPO1"/>
    <m/>
  </r>
  <r>
    <s v="PU/25.TS.B02"/>
    <s v="SWEET CELEBRATION"/>
    <x v="18"/>
    <x v="2"/>
    <s v="TS"/>
    <x v="2"/>
    <s v="SCB02"/>
    <s v="Salt Creek"/>
    <s v="IFG"/>
    <n v="2025"/>
    <n v="1780"/>
    <n v="13.35"/>
    <n v="12.91"/>
    <n v="0.02"/>
    <n v="0.41999999999999948"/>
    <n v="23765"/>
    <n v="22977"/>
    <n v="28"/>
    <n v="760"/>
    <n v="1.6"/>
    <n v="3.5"/>
    <x v="0"/>
    <d v="2020-08-01T00:00:00"/>
    <n v="5.4821917808219176"/>
    <s v="Oppen Gable"/>
    <d v="1976-08-11T00:00:00"/>
    <n v="49"/>
    <s v="-"/>
    <s v="-"/>
    <s v=""/>
    <s v="-"/>
    <s v=""/>
    <x v="13"/>
    <s v="Roger Calapuja"/>
    <s v="CINDY"/>
    <s v="DANIEL PALACIOS"/>
    <s v="ALAN "/>
    <s v="CAMPO1"/>
    <m/>
  </r>
  <r>
    <s v="PU/25.T5.G01"/>
    <s v="ALLISON"/>
    <x v="23"/>
    <x v="3"/>
    <s v="T5"/>
    <x v="3"/>
    <s v="ALG01"/>
    <s v="Salt Creek"/>
    <s v="SNFL"/>
    <n v="2025"/>
    <n v="1905"/>
    <n v="2.29"/>
    <n v="2.23"/>
    <n v="0.06"/>
    <n v="5.5511151231257827E-17"/>
    <n v="4370"/>
    <n v="4242"/>
    <n v="123"/>
    <n v="5"/>
    <n v="1.75"/>
    <n v="3"/>
    <x v="0"/>
    <d v="2018-08-20T00:00:00"/>
    <n v="7.4328767123287669"/>
    <s v="Español"/>
    <d v="1983-10-03T00:00:00"/>
    <n v="42"/>
    <s v="-"/>
    <s v="-"/>
    <s v=""/>
    <s v="-"/>
    <s v=""/>
    <x v="18"/>
    <s v="Zenaida Carrasco"/>
    <s v="WALTER"/>
    <s v="Omar G"/>
    <m/>
    <s v="CAMPO2"/>
    <m/>
  </r>
  <r>
    <s v="PU/25.T5.G02"/>
    <s v="ALLISON"/>
    <x v="24"/>
    <x v="3"/>
    <s v="T5"/>
    <x v="3"/>
    <s v="ALG02"/>
    <s v="Salt Creek"/>
    <s v="SNFL"/>
    <n v="2025"/>
    <n v="1905"/>
    <n v="13.61"/>
    <n v="13.22"/>
    <n v="0.38"/>
    <n v="9.9999999999987876E-3"/>
    <n v="25923"/>
    <n v="25192"/>
    <n v="723"/>
    <n v="8"/>
    <n v="1.75"/>
    <n v="3"/>
    <x v="0"/>
    <d v="2017-07-21T00:00:00"/>
    <n v="8.5150684931506841"/>
    <s v="Español"/>
    <d v="1983-10-03T00:00:00"/>
    <n v="42"/>
    <s v="-"/>
    <s v="-"/>
    <s v=""/>
    <s v="-"/>
    <s v=""/>
    <x v="18"/>
    <s v="Zenaida Carrasco"/>
    <s v="WALTER"/>
    <s v="Omar G"/>
    <m/>
    <s v="CAMPO2"/>
    <m/>
  </r>
  <r>
    <s v="PU/25.T5.G03"/>
    <s v="ALLISON"/>
    <x v="25"/>
    <x v="3"/>
    <s v="T5"/>
    <x v="3"/>
    <s v="ALG03"/>
    <s v="Salt Creek"/>
    <s v="SNFL"/>
    <n v="2025"/>
    <n v="1905"/>
    <n v="9.73"/>
    <n v="8.4600000000000009"/>
    <n v="0.33"/>
    <n v="0.9399999999999995"/>
    <n v="18536"/>
    <n v="16112"/>
    <n v="631"/>
    <n v="1793"/>
    <n v="1.75"/>
    <n v="3"/>
    <x v="0"/>
    <d v="2017-07-17T00:00:00"/>
    <n v="8.5260273972602736"/>
    <s v="Español"/>
    <d v="1995-08-23T00:00:00"/>
    <n v="30"/>
    <s v="-"/>
    <s v="-"/>
    <s v=""/>
    <s v="-"/>
    <s v=""/>
    <x v="19"/>
    <s v="Zenaida Carrasco"/>
    <s v="WALTER"/>
    <s v="Omar G"/>
    <m/>
    <s v="CAMPO2"/>
    <m/>
  </r>
  <r>
    <s v="PU/25.T5.G04"/>
    <s v="ALLISON"/>
    <x v="26"/>
    <x v="3"/>
    <s v="T5"/>
    <x v="3"/>
    <s v="ALG04"/>
    <s v="Salt Creek"/>
    <s v="SNFL"/>
    <n v="2025"/>
    <n v="1905"/>
    <n v="13.81"/>
    <n v="12.48"/>
    <n v="0.89"/>
    <n v="0.44000000000000006"/>
    <n v="26299"/>
    <n v="23768"/>
    <n v="1700"/>
    <n v="831"/>
    <n v="1.75"/>
    <n v="3"/>
    <x v="0"/>
    <d v="2016-10-28T00:00:00"/>
    <n v="9.2438356164383571"/>
    <s v="Español"/>
    <d v="1995-08-23T00:00:00"/>
    <n v="30"/>
    <s v="-"/>
    <s v="-"/>
    <s v=""/>
    <s v="-"/>
    <s v=""/>
    <x v="19"/>
    <s v="Zenaida Carrasco"/>
    <s v="WALTER"/>
    <s v="Omar G"/>
    <m/>
    <s v="CAMPO2"/>
    <m/>
  </r>
  <r>
    <s v="PU/25.T5.G05"/>
    <s v="ALLISON"/>
    <x v="27"/>
    <x v="3"/>
    <s v="T5"/>
    <x v="3"/>
    <s v="ALG05"/>
    <s v="Salt Creek"/>
    <s v="SNFL"/>
    <n v="2025"/>
    <n v="1905"/>
    <n v="14.15"/>
    <n v="14.02"/>
    <n v="0.02"/>
    <n v="0.11000000000000078"/>
    <n v="26957"/>
    <n v="26704"/>
    <n v="47"/>
    <n v="206"/>
    <n v="1.75"/>
    <n v="3"/>
    <x v="0"/>
    <d v="2016-10-25T00:00:00"/>
    <n v="9.2520547945205482"/>
    <s v="Español"/>
    <d v="1987-08-22T00:00:00"/>
    <n v="38"/>
    <s v="-"/>
    <s v="-"/>
    <s v=""/>
    <s v="-"/>
    <s v=""/>
    <x v="20"/>
    <s v="Zenaida Carrasco"/>
    <s v="WALTER"/>
    <s v="Omar G"/>
    <m/>
    <s v="CAMPO2"/>
    <m/>
  </r>
  <r>
    <s v="PU/25.T5.G06"/>
    <s v="ALLISON"/>
    <x v="28"/>
    <x v="3"/>
    <s v="T5"/>
    <x v="3"/>
    <s v="ALG06"/>
    <s v="Salt Creek"/>
    <s v="SNFL"/>
    <n v="2025"/>
    <n v="1905"/>
    <n v="6.85"/>
    <n v="6.55"/>
    <n v="0.11"/>
    <n v="0.18999999999999984"/>
    <n v="13049"/>
    <n v="12483"/>
    <n v="203"/>
    <n v="363"/>
    <n v="1.75"/>
    <n v="3"/>
    <x v="0"/>
    <d v="2016-10-22T00:00:00"/>
    <n v="9.2602739726027394"/>
    <s v="Español"/>
    <d v="1987-08-22T00:00:00"/>
    <n v="38"/>
    <s v="-"/>
    <s v="-"/>
    <s v=""/>
    <s v="-"/>
    <s v=""/>
    <x v="20"/>
    <s v="Zenaida Carrasco"/>
    <s v="WALTER"/>
    <s v="Omar G"/>
    <m/>
    <s v="CAMPO2"/>
    <s v="ok"/>
  </r>
  <r>
    <m/>
    <s v="AUTUMN CRISP"/>
    <x v="29"/>
    <x v="4"/>
    <s v="T9"/>
    <x v="3"/>
    <s v="CCH09"/>
    <s v="Freedom"/>
    <s v="IFG"/>
    <n v="2025"/>
    <n v="1905"/>
    <n v="10.65"/>
    <n v="0"/>
    <n v="0"/>
    <n v="10.65"/>
    <n v="20288.25"/>
    <n v="0"/>
    <n v="0"/>
    <n v="20288.25"/>
    <n v="1.6"/>
    <n v="3.5"/>
    <x v="2"/>
    <d v="2020-07-01T00:00:00"/>
    <n v="5.5671232876712331"/>
    <s v="Oppen Gable"/>
    <d v="1999-01-23T00:00:00"/>
    <n v="27"/>
    <s v="-"/>
    <s v="-"/>
    <n v="0"/>
    <s v="-"/>
    <s v="-"/>
    <x v="3"/>
    <s v="Zenaida Carrasco"/>
    <s v="WALTER"/>
    <s v="Omar G"/>
    <m/>
    <s v="CAMPO2"/>
    <s v="ok"/>
  </r>
  <r>
    <m/>
    <s v="AUTUMN CRISP"/>
    <x v="30"/>
    <x v="4"/>
    <s v="T9"/>
    <x v="3"/>
    <s v="CCH10"/>
    <s v="Freedom"/>
    <s v="IFG"/>
    <n v="2025"/>
    <n v="1905"/>
    <n v="14.45"/>
    <n v="0"/>
    <n v="0"/>
    <n v="14.45"/>
    <n v="27527.25"/>
    <n v="0"/>
    <n v="0"/>
    <n v="27527.25"/>
    <n v="1.6"/>
    <n v="3.5"/>
    <x v="2"/>
    <d v="2020-07-01T00:00:00"/>
    <n v="5.5671232876712331"/>
    <s v="Oppen Gable"/>
    <d v="1999-01-23T00:00:00"/>
    <n v="27"/>
    <s v="-"/>
    <s v="-"/>
    <n v="0"/>
    <s v="-"/>
    <s v="-"/>
    <x v="3"/>
    <s v="Zenaida Carrasco"/>
    <s v="WALTER"/>
    <s v="Omar G"/>
    <m/>
    <s v="CAMPO2"/>
    <m/>
  </r>
  <r>
    <m/>
    <s v="AUTUMN CRISP"/>
    <x v="31"/>
    <x v="4"/>
    <s v="T9"/>
    <x v="3"/>
    <s v="CCH11"/>
    <s v="Freedom"/>
    <s v="IFG"/>
    <n v="2025"/>
    <n v="1905"/>
    <n v="13.64"/>
    <n v="0"/>
    <n v="0"/>
    <n v="13.64"/>
    <n v="25984.2"/>
    <n v="0"/>
    <n v="0"/>
    <n v="25984.2"/>
    <n v="1.6"/>
    <n v="3.5"/>
    <x v="2"/>
    <d v="2020-06-01T00:00:00"/>
    <n v="5.6493150684931503"/>
    <s v="Oppen Gable"/>
    <d v="1996-02-24T00:00:00"/>
    <n v="29"/>
    <s v="-"/>
    <s v="-"/>
    <n v="0"/>
    <s v="-"/>
    <s v="-"/>
    <x v="3"/>
    <s v="Zenaida Carrasco"/>
    <s v="WALTER"/>
    <s v="Omar G"/>
    <m/>
    <s v="CAMPO2"/>
    <m/>
  </r>
  <r>
    <s v="PU/25.T6.F11"/>
    <s v="Test Block"/>
    <x v="32"/>
    <x v="5"/>
    <s v="T6"/>
    <x v="4"/>
    <s v="Test BlockF11"/>
    <s v="Freedom"/>
    <s v="SNFL"/>
    <n v="2025"/>
    <n v="1670"/>
    <n v="4.57"/>
    <n v="2.46"/>
    <n v="0.34"/>
    <n v="1.7700000000000002"/>
    <n v="7631.9000000000005"/>
    <n v="4108.2"/>
    <n v="567.80000000000007"/>
    <n v="2955.9000000000005"/>
    <n v="1.6"/>
    <n v="3.5"/>
    <x v="3"/>
    <d v="2021-09-14T00:00:00"/>
    <n v="4.3616438356164382"/>
    <s v="Español"/>
    <d v="1996-02-24T00:00:00"/>
    <n v="29"/>
    <s v="-"/>
    <s v="-"/>
    <n v="0"/>
    <s v="-"/>
    <s v="-"/>
    <x v="3"/>
    <s v="Zenaida Carrasco"/>
    <s v=""/>
    <m/>
    <m/>
    <s v="CAMPO2"/>
    <m/>
  </r>
  <r>
    <s v="PU/25.TT.G09"/>
    <s v="AUTUMN CRISP"/>
    <x v="33"/>
    <x v="6"/>
    <s v="TT"/>
    <x v="3"/>
    <s v="ACG09"/>
    <s v="Salt Creek"/>
    <s v="SUN WORLD"/>
    <n v="2025"/>
    <n v="1905"/>
    <n v="11.75"/>
    <n v="11.62"/>
    <n v="0.03"/>
    <n v="0.10000000000000078"/>
    <n v="22389"/>
    <n v="22141"/>
    <n v="49"/>
    <n v="199"/>
    <n v="1.5"/>
    <n v="3.5"/>
    <x v="0"/>
    <d v="2022-07-21T00:00:00"/>
    <n v="3.5123287671232877"/>
    <s v="Español"/>
    <d v="2023-03-21T00:00:00"/>
    <n v="2"/>
    <n v="915218460"/>
    <s v="Calle La Union S/N"/>
    <s v="Piura"/>
    <s v="Educación superior universitaria"/>
    <s v="Agronomía "/>
    <x v="21"/>
    <s v="Zenaida Carrasco"/>
    <s v="WALTER"/>
    <s v="Omar G"/>
    <m/>
    <s v="CAMPO2"/>
    <m/>
  </r>
  <r>
    <s v="PU/25.TT.G10"/>
    <s v="AUTUMN CRISP"/>
    <x v="34"/>
    <x v="6"/>
    <s v="TT"/>
    <x v="3"/>
    <s v="ACG10"/>
    <s v="Salt Creek"/>
    <s v="SUN WORLD"/>
    <n v="2025"/>
    <n v="1905"/>
    <n v="14.89"/>
    <n v="14.71"/>
    <n v="0.02"/>
    <n v="0.15999999999999973"/>
    <n v="28356"/>
    <n v="28031"/>
    <n v="46"/>
    <n v="279"/>
    <n v="1.5"/>
    <n v="3.5"/>
    <x v="0"/>
    <d v="2022-07-20T00:00:00"/>
    <n v="3.515068493150685"/>
    <s v="Español"/>
    <d v="2023-03-21T00:00:00"/>
    <n v="2"/>
    <n v="915218460"/>
    <s v="Calle La Union S/N"/>
    <s v="Piura"/>
    <s v="Educación superior universitaria"/>
    <s v="Agronomía "/>
    <x v="21"/>
    <s v="Zenaida Carrasco"/>
    <s v="WALTER"/>
    <s v="Omar G"/>
    <m/>
    <s v="CAMPO2"/>
    <m/>
  </r>
  <r>
    <s v="PU/25.TT.G11"/>
    <s v="AUTUMN CRISP"/>
    <x v="35"/>
    <x v="6"/>
    <s v="TT"/>
    <x v="3"/>
    <s v="ACG11"/>
    <s v="Salt Creek"/>
    <s v="SUN WORLD"/>
    <n v="2025"/>
    <n v="1780"/>
    <n v="10.7"/>
    <n v="9.8000000000000007"/>
    <n v="0.03"/>
    <n v="0.86999999999999855"/>
    <n v="19038"/>
    <n v="17452"/>
    <n v="59"/>
    <n v="1527"/>
    <n v="1.6"/>
    <n v="3.5"/>
    <x v="0"/>
    <d v="2022-07-17T00:00:00"/>
    <n v="3.5232876712328767"/>
    <s v="Español"/>
    <d v="1996-02-24T00:00:00"/>
    <n v="29"/>
    <n v="923562901"/>
    <s v="Las Dalias Segunda Etapa Mz P1 Lote 5"/>
    <s v="Castilla"/>
    <s v="Octavo ciclo"/>
    <s v="Derecho corporativo "/>
    <x v="22"/>
    <s v="Zenaida Carrasco"/>
    <s v="WALTER"/>
    <s v="Omar G"/>
    <m/>
    <s v="CAMPO2"/>
    <m/>
  </r>
  <r>
    <s v="PU/25.TT.D12"/>
    <s v="AUTUMN CRISP"/>
    <x v="36"/>
    <x v="6"/>
    <s v="TT"/>
    <x v="5"/>
    <s v="ACD12"/>
    <s v="Salt Creek"/>
    <s v="SUN WORLD"/>
    <n v="2025"/>
    <n v="1905"/>
    <n v="18.32"/>
    <n v="17.5"/>
    <n v="0.04"/>
    <n v="0.78000000000000025"/>
    <n v="34907"/>
    <n v="33346"/>
    <n v="68"/>
    <n v="1493"/>
    <n v="1.6"/>
    <n v="3.5"/>
    <x v="0"/>
    <d v="2023-07-15T00:00:00"/>
    <n v="2.5287671232876714"/>
    <s v="Oppen Gable"/>
    <d v="1984-02-17T00:00:00"/>
    <n v="41"/>
    <s v="-"/>
    <s v="-"/>
    <s v=""/>
    <s v="-"/>
    <s v=""/>
    <x v="23"/>
    <s v="Zenaida Carrasco"/>
    <s v=""/>
    <s v="Helen B"/>
    <m/>
    <s v="CAMPO3"/>
    <m/>
  </r>
  <r>
    <s v="PU/25.TT.D13"/>
    <s v="AUTUMN CRISP"/>
    <x v="37"/>
    <x v="6"/>
    <s v="TT"/>
    <x v="5"/>
    <s v="ACD13"/>
    <s v="Salt Creek"/>
    <s v="SUN WORLD"/>
    <n v="2025"/>
    <n v="1905"/>
    <n v="16.53"/>
    <n v="16.09"/>
    <n v="0.01"/>
    <n v="0.43000000000000127"/>
    <n v="31495"/>
    <n v="30654"/>
    <n v="15"/>
    <n v="826"/>
    <n v="1.6"/>
    <n v="3.5"/>
    <x v="0"/>
    <d v="2023-07-20T00:00:00"/>
    <n v="2.515068493150685"/>
    <s v="Oppen Gable"/>
    <d v="1984-02-17T00:00:00"/>
    <n v="41"/>
    <s v="-"/>
    <s v="-"/>
    <s v=""/>
    <s v="-"/>
    <s v=""/>
    <x v="23"/>
    <s v="Zenaida Carrasco"/>
    <s v=""/>
    <s v="Helen B"/>
    <m/>
    <s v="CAMPO3"/>
    <m/>
  </r>
  <r>
    <s v="PU/25.TT.D14"/>
    <s v="AUTUMN CRISP"/>
    <x v="38"/>
    <x v="6"/>
    <s v="TT"/>
    <x v="5"/>
    <s v="ACD14"/>
    <s v="Salt Creek"/>
    <s v="SUN WORLD"/>
    <n v="2025"/>
    <n v="1905"/>
    <n v="12.1"/>
    <n v="11.81"/>
    <n v="0.08"/>
    <n v="0.20999999999999913"/>
    <n v="23055"/>
    <n v="22499"/>
    <n v="159"/>
    <n v="397"/>
    <n v="1.5"/>
    <n v="3.5"/>
    <x v="0"/>
    <d v="2022-09-02T00:00:00"/>
    <n v="3.3945205479452056"/>
    <s v="Oppen Gable"/>
    <d v="1997-10-07T00:00:00"/>
    <n v="28"/>
    <s v="-"/>
    <s v="-"/>
    <s v=""/>
    <s v="-"/>
    <s v=""/>
    <x v="24"/>
    <s v="Zenaida Carrasco"/>
    <s v="PEDRO"/>
    <s v="Helen B"/>
    <m/>
    <s v="CAMPO3"/>
    <m/>
  </r>
  <r>
    <s v="PU/25.TT.D15"/>
    <s v="AUTUMN CRISP"/>
    <x v="39"/>
    <x v="6"/>
    <s v="TT"/>
    <x v="5"/>
    <s v="ACD15"/>
    <s v="Salt Creek"/>
    <s v="SUN WORLD"/>
    <n v="2025"/>
    <n v="1905"/>
    <n v="13.29"/>
    <n v="13.08"/>
    <n v="7.0000000000000007E-2"/>
    <n v="0.13999999999999907"/>
    <n v="25323"/>
    <n v="24922"/>
    <n v="127"/>
    <n v="274"/>
    <n v="1.5"/>
    <n v="3.5"/>
    <x v="0"/>
    <d v="2022-08-27T00:00:00"/>
    <n v="3.4109589041095889"/>
    <s v="Oppen Gable"/>
    <d v="1999-10-30T00:00:00"/>
    <n v="26"/>
    <n v="935187967"/>
    <s v="La greda Nueva"/>
    <s v="Tambogrande"/>
    <s v="Educación secundaria"/>
    <s v="-"/>
    <x v="25"/>
    <s v="Zenaida Carrasco"/>
    <s v="PEDRO"/>
    <s v="Helen B"/>
    <m/>
    <s v="CAMPO3"/>
    <m/>
  </r>
  <r>
    <s v="PU/25.TT.E15"/>
    <s v="AUTUMN CRISP"/>
    <x v="40"/>
    <x v="6"/>
    <s v="TT"/>
    <x v="5"/>
    <s v="ACE15"/>
    <s v="Salt Creek"/>
    <s v="SUN WORLD"/>
    <n v="2025"/>
    <n v="1905"/>
    <n v="7.51"/>
    <n v="7.48"/>
    <n v="0.01"/>
    <n v="1.9999999999999359E-2"/>
    <n v="14314"/>
    <n v="14252"/>
    <n v="12"/>
    <n v="50"/>
    <n v="1.5"/>
    <n v="3.5"/>
    <x v="0"/>
    <d v="2022-08-25T00:00:00"/>
    <n v="3.4164383561643836"/>
    <s v="Oppen Gable"/>
    <d v="1999-10-30T00:00:00"/>
    <n v="26"/>
    <n v="935187967"/>
    <s v="La greda Nueva"/>
    <s v="Tambogrande"/>
    <s v="Educación secundaria"/>
    <s v="-"/>
    <x v="25"/>
    <s v="Zenaida Carrasco"/>
    <s v="PEDRO"/>
    <s v="Helen B"/>
    <m/>
    <s v="CAMPO3"/>
    <m/>
  </r>
  <r>
    <s v="IU/25.TF.A04"/>
    <s v="ARRA FIRE CRUNCH"/>
    <x v="41"/>
    <x v="7"/>
    <s v="TF"/>
    <x v="2"/>
    <s v="FCA04"/>
    <s v="-"/>
    <s v="-"/>
    <n v="2025"/>
    <n v="1905"/>
    <n v="14.97"/>
    <n v="0"/>
    <n v="14.87"/>
    <n v="0.10000000000000142"/>
    <n v="28516"/>
    <n v="0"/>
    <n v="28330"/>
    <n v="186"/>
    <n v="1.6"/>
    <n v="3.5"/>
    <x v="1"/>
    <d v="2025-08-01T00:00:00"/>
    <n v="0"/>
    <s v="PD"/>
    <d v="1977-06-12T00:00:00"/>
    <n v="48"/>
    <s v="-"/>
    <s v="-"/>
    <s v=""/>
    <s v="-"/>
    <s v=""/>
    <x v="26"/>
    <s v="Roger Calapuja"/>
    <s v="CINDY"/>
    <s v="DANIEL PALACIOS"/>
    <s v="ALAN "/>
    <s v="CAMPO1"/>
    <m/>
  </r>
  <r>
    <s v="IU/25.TF.A05"/>
    <s v="ARRA FIRE CRUNCH"/>
    <x v="42"/>
    <x v="7"/>
    <s v="TF"/>
    <x v="2"/>
    <s v="FCA05"/>
    <s v="-"/>
    <s v="-"/>
    <n v="2025"/>
    <n v="1905"/>
    <n v="14.88"/>
    <n v="0"/>
    <n v="14.83"/>
    <n v="5.0000000000000711E-2"/>
    <n v="28354"/>
    <n v="0"/>
    <n v="28257"/>
    <n v="97"/>
    <n v="1.33"/>
    <n v="3.5"/>
    <x v="1"/>
    <d v="2025-08-01T00:00:00"/>
    <n v="0"/>
    <s v="PD"/>
    <m/>
    <m/>
    <s v="-"/>
    <s v="-"/>
    <s v=""/>
    <s v="-"/>
    <s v=""/>
    <x v="26"/>
    <s v="Roger Calapuja"/>
    <s v="CINDY"/>
    <s v="DANIEL PALACIOS"/>
    <s v="ALAN "/>
    <s v="CAMPO1"/>
    <m/>
  </r>
  <r>
    <s v="IU/25.TF.A06"/>
    <s v="ARRA FIRE CRUNCH"/>
    <x v="43"/>
    <x v="7"/>
    <s v="TF"/>
    <x v="2"/>
    <s v="FCA06"/>
    <s v="-"/>
    <s v="-"/>
    <n v="2025"/>
    <n v="1905"/>
    <n v="13.26"/>
    <n v="0"/>
    <n v="13.21"/>
    <n v="4.9999999999998934E-2"/>
    <n v="25260"/>
    <n v="0"/>
    <n v="25156"/>
    <n v="104"/>
    <n v="1.33"/>
    <n v="3.5"/>
    <x v="1"/>
    <d v="2025-08-01T00:00:00"/>
    <n v="0"/>
    <s v="PD"/>
    <m/>
    <m/>
    <s v="-"/>
    <s v="-"/>
    <s v=""/>
    <s v="-"/>
    <s v=""/>
    <x v="27"/>
    <s v="Roger Calapuja"/>
    <s v="CINDY"/>
    <s v="DANIEL PALACIOS"/>
    <s v="ALAN "/>
    <s v="CAMPO1"/>
    <m/>
  </r>
  <r>
    <m/>
    <s v="TIMPSON"/>
    <x v="44"/>
    <x v="1"/>
    <s v="T4"/>
    <x v="2"/>
    <s v="TMB05"/>
    <s v="-"/>
    <s v="-"/>
    <n v="2025"/>
    <n v="1905"/>
    <n v="14.76"/>
    <n v="0"/>
    <n v="0"/>
    <n v="14.76"/>
    <n v="28117.8"/>
    <n v="0"/>
    <n v="0"/>
    <n v="28117.8"/>
    <n v="1.33"/>
    <n v="3.5"/>
    <x v="2"/>
    <d v="2025-08-01T00:00:00"/>
    <n v="0"/>
    <s v="PD"/>
    <m/>
    <m/>
    <s v="-"/>
    <s v="-"/>
    <s v=""/>
    <s v="-"/>
    <s v=""/>
    <x v="28"/>
    <s v="Roger Calapuja"/>
    <s v="CINDY"/>
    <s v="DANIEL PALACIOS"/>
    <s v="ALAN "/>
    <s v="CAMPO1"/>
    <m/>
  </r>
  <r>
    <s v="IU/25.TF.B06"/>
    <s v="ARRA FIRE CRUNCH"/>
    <x v="45"/>
    <x v="7"/>
    <s v="TF"/>
    <x v="2"/>
    <s v="FCB06"/>
    <s v="-"/>
    <s v="-"/>
    <n v="2025"/>
    <n v="1905"/>
    <n v="13.92"/>
    <n v="0"/>
    <n v="13.93"/>
    <n v="-9.9999999999997868E-3"/>
    <n v="26518"/>
    <n v="0"/>
    <n v="26534"/>
    <n v="-16"/>
    <n v="1.33"/>
    <n v="3.5"/>
    <x v="1"/>
    <d v="2025-08-01T00:00:00"/>
    <n v="0"/>
    <s v="PD"/>
    <m/>
    <m/>
    <s v="-"/>
    <s v="-"/>
    <s v=""/>
    <s v="-"/>
    <s v=""/>
    <x v="28"/>
    <s v="Roger Calapuja"/>
    <s v="CINDY"/>
    <s v="DANIEL PALACIOS"/>
    <s v="ALAN "/>
    <s v="CAMPO1"/>
    <m/>
  </r>
  <r>
    <s v="PU/25.T4.C04"/>
    <s v="TIMPSON"/>
    <x v="46"/>
    <x v="1"/>
    <s v="T4"/>
    <x v="1"/>
    <s v="TMC04"/>
    <s v="Salt Creek"/>
    <s v="SNFL"/>
    <n v="2025"/>
    <n v="2070"/>
    <n v="14.21"/>
    <n v="14.09"/>
    <n v="0.04"/>
    <n v="8.0000000000000987E-2"/>
    <n v="29423"/>
    <n v="29165"/>
    <n v="84"/>
    <n v="174"/>
    <n v="1.6"/>
    <n v="3.5"/>
    <x v="0"/>
    <d v="2017-12-18T00:00:00"/>
    <n v="8.1041095890410961"/>
    <s v="Oppen Gable"/>
    <m/>
    <m/>
    <s v="-"/>
    <s v="-"/>
    <s v=""/>
    <s v="-"/>
    <s v=""/>
    <x v="29"/>
    <s v="Roger Calapuja"/>
    <s v="FRANK CESPEDES"/>
    <s v="DANIEL PALACIOS"/>
    <s v="ALAN "/>
    <s v="CAMPO1"/>
    <m/>
  </r>
  <r>
    <s v="PU/25.T4.C05"/>
    <s v="TIMPSON"/>
    <x v="47"/>
    <x v="1"/>
    <s v="T4"/>
    <x v="1"/>
    <s v="TMC05"/>
    <s v="Salt Creek"/>
    <s v="SNFL"/>
    <n v="2025"/>
    <n v="2070"/>
    <n v="14.99"/>
    <n v="14.98"/>
    <n v="0"/>
    <n v="9.9999999999997868E-3"/>
    <n v="31038"/>
    <n v="31009"/>
    <n v="7"/>
    <n v="22"/>
    <n v="1.6"/>
    <n v="3.5"/>
    <x v="0"/>
    <d v="2017-12-19T00:00:00"/>
    <n v="8.1013698630136979"/>
    <s v="Oppen Gable"/>
    <m/>
    <m/>
    <s v="-"/>
    <s v="-"/>
    <s v=""/>
    <s v="-"/>
    <s v=""/>
    <x v="30"/>
    <s v="Roger Calapuja"/>
    <s v="FRANK CESPEDES"/>
    <s v="DANIEL PALACIOS"/>
    <s v="ALAN "/>
    <s v="CAMPO1"/>
    <m/>
  </r>
  <r>
    <s v="PU/25.T4.C06"/>
    <s v="TIMPSON"/>
    <x v="48"/>
    <x v="1"/>
    <s v="T4"/>
    <x v="1"/>
    <s v="TMC06"/>
    <s v="Salt Creek"/>
    <s v="SNFL"/>
    <n v="2025"/>
    <n v="2070"/>
    <n v="12.8"/>
    <n v="12.77"/>
    <n v="0"/>
    <n v="3.0000000000001137E-2"/>
    <n v="26486"/>
    <n v="26426"/>
    <n v="8"/>
    <n v="52"/>
    <n v="1.6"/>
    <n v="3.5"/>
    <x v="0"/>
    <d v="2017-08-08T00:00:00"/>
    <n v="8.4657534246575334"/>
    <s v="Oppen Gable"/>
    <m/>
    <m/>
    <s v="-"/>
    <s v="-"/>
    <s v=""/>
    <s v="-"/>
    <s v=""/>
    <x v="31"/>
    <s v="Roger Calapuja"/>
    <s v="FRANK CESPEDES"/>
    <s v="DANIEL PALACIOS"/>
    <s v="ALAN "/>
    <s v="CAMPO1"/>
    <m/>
  </r>
  <r>
    <s v="PU/25.T4.B04"/>
    <s v="TIMPSON"/>
    <x v="49"/>
    <x v="1"/>
    <s v="T4"/>
    <x v="2"/>
    <s v="TMB04"/>
    <s v="Salt Creek"/>
    <s v="SNFL"/>
    <n v="2025"/>
    <n v="1780"/>
    <n v="14.69"/>
    <n v="14.21"/>
    <n v="0.03"/>
    <n v="0.44999999999999862"/>
    <n v="26147"/>
    <n v="25290"/>
    <n v="46"/>
    <n v="811"/>
    <n v="1.6"/>
    <n v="3.5"/>
    <x v="0"/>
    <d v="2022-08-05T00:00:00"/>
    <n v="3.4712328767123286"/>
    <s v="Oppen Gable"/>
    <d v="1986-09-01T00:00:00"/>
    <n v="39"/>
    <s v="-"/>
    <s v="-"/>
    <n v="0"/>
    <s v="-"/>
    <s v="-"/>
    <x v="3"/>
    <s v="Roger Calapuja"/>
    <s v="CINDY"/>
    <s v="DANIEL PALACIOS"/>
    <s v="ALAN "/>
    <s v="CAMPO1"/>
    <m/>
  </r>
  <r>
    <s v="PU/25.T9.B07"/>
    <s v="COTTON CANDY"/>
    <x v="50"/>
    <x v="4"/>
    <s v="T9"/>
    <x v="2"/>
    <s v="CCB07"/>
    <s v="Freedom"/>
    <s v="IFG"/>
    <n v="2025"/>
    <n v="1905"/>
    <n v="7.02"/>
    <n v="6.69"/>
    <n v="0.02"/>
    <n v="0.30999999999999917"/>
    <n v="13365"/>
    <n v="12736"/>
    <n v="46"/>
    <n v="583"/>
    <n v="1.6"/>
    <n v="3.5"/>
    <x v="0"/>
    <d v="2018-12-08T00:00:00"/>
    <n v="7.1315068493150688"/>
    <s v="Español"/>
    <d v="1990-10-11T00:00:00"/>
    <n v="35"/>
    <n v="949903628"/>
    <s v="Caserío El Papayo Medio Piura"/>
    <s v="El Papayo"/>
    <s v="Educación secundaria"/>
    <s v="-"/>
    <x v="32"/>
    <s v="Roger Calapuja"/>
    <s v="CINDY"/>
    <s v="DANIEL PALACIOS"/>
    <s v="ALAN "/>
    <s v="CAMPO1"/>
    <m/>
  </r>
  <r>
    <s v="PU/25.T9.C07"/>
    <s v="COTTON CANDY"/>
    <x v="51"/>
    <x v="4"/>
    <s v="T9"/>
    <x v="1"/>
    <s v="CCC07"/>
    <s v="Freedom"/>
    <s v="IFG"/>
    <n v="2024"/>
    <n v="1905"/>
    <n v="3.77"/>
    <n v="3.62"/>
    <n v="0.01"/>
    <n v="0.1399999999999999"/>
    <n v="7176"/>
    <n v="6904"/>
    <n v="10"/>
    <n v="262"/>
    <n v="1.6"/>
    <n v="3.5"/>
    <x v="0"/>
    <d v="2018-12-10T00:00:00"/>
    <n v="7.1260273972602741"/>
    <s v="Español"/>
    <d v="1990-10-11T00:00:00"/>
    <n v="35"/>
    <n v="986189597"/>
    <s v="Cossio del pomar mz b3 lote 6"/>
    <s v="Castilla"/>
    <s v="Educación superior universitaria"/>
    <s v="ING agronoma"/>
    <x v="33"/>
    <s v="Roger Calapuja"/>
    <s v="FRANK CESPEDES"/>
    <s v="DANIEL PALACIOS"/>
    <s v="ALAN "/>
    <s v="CAMPO1"/>
    <s v="ok"/>
  </r>
  <r>
    <s v="IU/25.T9.C07"/>
    <s v="COTTON CANDY"/>
    <x v="51"/>
    <x v="4"/>
    <s v="T9"/>
    <x v="1"/>
    <s v="CCC07"/>
    <s v="-"/>
    <s v="-"/>
    <n v="2025"/>
    <n v="1905"/>
    <n v="8.16"/>
    <n v="0"/>
    <n v="8.16"/>
    <n v="0"/>
    <n v="15546"/>
    <n v="0"/>
    <n v="15546"/>
    <n v="0"/>
    <n v="1.6"/>
    <n v="3.5"/>
    <x v="1"/>
    <d v="2025-08-01T00:00:00"/>
    <n v="0"/>
    <s v="PD"/>
    <d v="1990-10-11T00:00:00"/>
    <n v="35"/>
    <n v="986189597"/>
    <s v="Cossio del pomar mz b3 lote 6"/>
    <s v="Castilla"/>
    <s v="Educación superior universitaria"/>
    <s v="ING agronoma"/>
    <x v="33"/>
    <s v="Roger Calapuja"/>
    <s v="FRANK CESPEDES"/>
    <s v="DANIEL PALACIOS"/>
    <s v="ALAN "/>
    <s v="CAMPO1"/>
    <s v="ok"/>
  </r>
  <r>
    <s v="PU/25.TH.B13"/>
    <s v="CANDY HEARTS"/>
    <x v="52"/>
    <x v="8"/>
    <s v="TH"/>
    <x v="5"/>
    <s v="CHB13"/>
    <s v="Salt Creek"/>
    <s v="IFG"/>
    <n v="2025"/>
    <n v="1905"/>
    <n v="8.36"/>
    <n v="8.2200000000000006"/>
    <n v="0.05"/>
    <n v="8.9999999999998789E-2"/>
    <n v="15921"/>
    <n v="15655"/>
    <n v="98"/>
    <n v="168"/>
    <n v="1.6"/>
    <n v="3.5"/>
    <x v="0"/>
    <d v="2023-07-26T00:00:00"/>
    <n v="2.4986301369863013"/>
    <s v="Oppen Gable"/>
    <d v="1995-06-16T00:00:00"/>
    <n v="30"/>
    <n v="0"/>
    <n v="0"/>
    <n v="0"/>
    <s v="Educación superior universitaria"/>
    <n v="0"/>
    <x v="34"/>
    <s v="Zenaida Carrasco"/>
    <s v=""/>
    <s v="Helen B"/>
    <m/>
    <s v="CAMPO5"/>
    <s v="ok"/>
  </r>
  <r>
    <s v="PU/25.TH.B14"/>
    <s v="CANDY HEARTS"/>
    <x v="53"/>
    <x v="8"/>
    <s v="TH"/>
    <x v="5"/>
    <s v="CHB14"/>
    <s v="Salt Creek"/>
    <s v="IFG"/>
    <n v="2025"/>
    <n v="1905"/>
    <n v="8.99"/>
    <n v="8.19"/>
    <n v="0.18"/>
    <n v="0.62000000000000077"/>
    <n v="17128"/>
    <n v="15600"/>
    <n v="350"/>
    <n v="1178"/>
    <n v="1.6"/>
    <n v="3.5"/>
    <x v="0"/>
    <d v="2023-08-03T00:00:00"/>
    <n v="2.4767123287671233"/>
    <s v="Oppen Gable"/>
    <d v="1995-06-16T00:00:00"/>
    <n v="30"/>
    <n v="0"/>
    <n v="0"/>
    <n v="0"/>
    <s v="Educación superior universitaria"/>
    <n v="0"/>
    <x v="34"/>
    <s v="Zenaida Carrasco"/>
    <s v=""/>
    <s v="Helen B"/>
    <m/>
    <s v="CAMPO5"/>
    <m/>
  </r>
  <r>
    <s v="PU/25.TF.C12"/>
    <s v="ARRA FIRE CRUNCH"/>
    <x v="54"/>
    <x v="7"/>
    <s v="TF"/>
    <x v="5"/>
    <s v="FCC12"/>
    <s v="MGT-freedom"/>
    <s v="IFG"/>
    <n v="2025"/>
    <n v="1905"/>
    <n v="12.35"/>
    <n v="11.62"/>
    <n v="0.52"/>
    <n v="0.21000000000000041"/>
    <n v="23526"/>
    <n v="22138"/>
    <n v="994"/>
    <n v="394"/>
    <n v="1.75"/>
    <n v="3.5"/>
    <x v="0"/>
    <d v="2024-08-26T00:00:00"/>
    <n v="1.4109589041095891"/>
    <s v="Español"/>
    <d v="1994-09-10T00:00:00"/>
    <n v="31"/>
    <n v="990917172"/>
    <s v="AAHH los almendros MZO lote13 castilla"/>
    <s v="Castilla"/>
    <s v="Educación secundaria"/>
    <s v="Sin terminar "/>
    <x v="35"/>
    <s v="Zenaida Carrasco"/>
    <s v="PEDRO"/>
    <s v="Helen B"/>
    <m/>
    <s v="CAMPO5"/>
    <m/>
  </r>
  <r>
    <s v="PU/25.TF.C13"/>
    <s v="ARRA FIRE CRUNCH"/>
    <x v="55"/>
    <x v="7"/>
    <s v="TF"/>
    <x v="5"/>
    <s v="FCC13"/>
    <s v="MGT-freedom"/>
    <s v="IFG"/>
    <n v="2025"/>
    <n v="1905"/>
    <n v="15.02"/>
    <n v="14.29"/>
    <n v="0.63"/>
    <n v="0.10000000000000042"/>
    <n v="28615"/>
    <n v="27228"/>
    <n v="1192"/>
    <n v="195"/>
    <n v="1.75"/>
    <n v="3.5"/>
    <x v="0"/>
    <d v="2024-08-29T00:00:00"/>
    <n v="1.4027397260273973"/>
    <s v="Español"/>
    <d v="1994-09-10T00:00:00"/>
    <n v="31"/>
    <n v="990917172"/>
    <s v="AAHH los almendros MZO lote13 castilla"/>
    <s v="Castilla"/>
    <s v="Educación secundaria"/>
    <s v="Sin terminar "/>
    <x v="35"/>
    <s v="Zenaida Carrasco"/>
    <s v="PEDRO"/>
    <s v="Helen B"/>
    <m/>
    <s v="CAMPO5"/>
    <s v="ok"/>
  </r>
  <r>
    <s v="IU/25.T8.C14"/>
    <s v="JACK'S SALUTE"/>
    <x v="56"/>
    <x v="0"/>
    <s v="T8"/>
    <x v="5"/>
    <s v="JSC14"/>
    <s v="-"/>
    <s v="-"/>
    <n v="2025"/>
    <n v="1905"/>
    <n v="15.41"/>
    <n v="0"/>
    <n v="11.76"/>
    <n v="3.6500000000000004"/>
    <n v="29349"/>
    <n v="0"/>
    <n v="22410"/>
    <n v="6939"/>
    <n v="1.75"/>
    <n v="3.5"/>
    <x v="1"/>
    <d v="2025-08-01T00:00:00"/>
    <n v="0"/>
    <s v="PD"/>
    <d v="1987-10-20T00:00:00"/>
    <n v="38"/>
    <s v="-"/>
    <s v="-"/>
    <n v="0"/>
    <s v="-"/>
    <s v="-"/>
    <x v="3"/>
    <s v="Zenaida Carrasco"/>
    <s v="PD"/>
    <s v="PD"/>
    <m/>
    <s v="CAMPO5"/>
    <m/>
  </r>
  <r>
    <m/>
    <s v="JACK'S SALUTE"/>
    <x v="56"/>
    <x v="0"/>
    <s v="T8"/>
    <x v="5"/>
    <s v="JSC14"/>
    <s v="-"/>
    <s v="-"/>
    <n v="2025"/>
    <n v="1905"/>
    <n v="5"/>
    <n v="0"/>
    <n v="0"/>
    <n v="5"/>
    <n v="9525"/>
    <n v="0"/>
    <n v="0"/>
    <n v="9525"/>
    <n v="1.75"/>
    <n v="3.5"/>
    <x v="2"/>
    <d v="2025-08-01T00:00:00"/>
    <n v="0"/>
    <s v="PD"/>
    <d v="1987-10-20T00:00:00"/>
    <n v="38"/>
    <s v="-"/>
    <s v="-"/>
    <n v="0"/>
    <s v="-"/>
    <s v="-"/>
    <x v="3"/>
    <s v="Zenaida Carrasco"/>
    <s v="PD"/>
    <s v="PD"/>
    <m/>
    <s v="CAMPO5"/>
    <m/>
  </r>
  <r>
    <s v="PU/25.TS.C15"/>
    <s v="SWEET CELEBRATION"/>
    <x v="57"/>
    <x v="2"/>
    <s v="TS"/>
    <x v="5"/>
    <s v="SCC15"/>
    <s v="Salt Creek-MGT"/>
    <s v="IFG"/>
    <n v="2025"/>
    <n v="1632"/>
    <n v="13.75"/>
    <n v="13.08"/>
    <n v="0.27"/>
    <n v="0.39999999999999991"/>
    <n v="22441"/>
    <n v="21350"/>
    <n v="437"/>
    <n v="654"/>
    <n v="1.75"/>
    <n v="3.5"/>
    <x v="0"/>
    <d v="2016-09-29T00:00:00"/>
    <n v="9.3232876712328761"/>
    <s v="Español"/>
    <d v="1987-10-20T00:00:00"/>
    <n v="38"/>
    <s v="-"/>
    <s v="-"/>
    <n v="0"/>
    <s v="-"/>
    <s v="-"/>
    <x v="3"/>
    <s v="Zenaida Carrasco"/>
    <s v="PEDRO"/>
    <s v="Helen B"/>
    <m/>
    <s v="CAMPO5"/>
    <m/>
  </r>
  <r>
    <s v="IU/25.TH.B12"/>
    <s v="CANDY HEARTS"/>
    <x v="58"/>
    <x v="8"/>
    <s v="TH"/>
    <x v="5"/>
    <s v="CHB12"/>
    <s v="-"/>
    <s v="-"/>
    <n v="2025"/>
    <n v="1905"/>
    <n v="4.09"/>
    <n v="0"/>
    <n v="4.09"/>
    <n v="0"/>
    <n v="7795"/>
    <n v="0"/>
    <n v="7795"/>
    <n v="0"/>
    <n v="1.75"/>
    <n v="3.5"/>
    <x v="1"/>
    <d v="2025-08-01T00:00:00"/>
    <n v="0"/>
    <s v="PD"/>
    <d v="1995-06-16T00:00:00"/>
    <n v="30"/>
    <n v="0"/>
    <n v="0"/>
    <n v="0"/>
    <s v="Educación superior universitaria"/>
    <n v="0"/>
    <x v="34"/>
    <s v="Zenaida Carrasco"/>
    <s v="PD"/>
    <s v="PD"/>
    <m/>
    <s v="CAMPO5"/>
    <m/>
  </r>
  <r>
    <s v="PU/25.TT.A12"/>
    <s v="AUTUMN CRISP"/>
    <x v="59"/>
    <x v="6"/>
    <s v="TT"/>
    <x v="5"/>
    <s v="ACA12"/>
    <s v="Salt Creek"/>
    <s v="SUN WORLD"/>
    <n v="2025"/>
    <n v="1754"/>
    <n v="19.46"/>
    <n v="18.59"/>
    <n v="0.55000000000000004"/>
    <n v="0.32000000000000095"/>
    <n v="34130"/>
    <n v="32609"/>
    <n v="957"/>
    <n v="564"/>
    <n v="1.5"/>
    <n v="3.8"/>
    <x v="0"/>
    <d v="2022-09-05T00:00:00"/>
    <n v="3.3863013698630136"/>
    <s v="Español"/>
    <d v="1989-11-14T00:00:00"/>
    <n v="36"/>
    <s v="-"/>
    <s v="-"/>
    <s v=""/>
    <s v="-"/>
    <s v=""/>
    <x v="36"/>
    <s v="Zenaida Carrasco"/>
    <s v="PEDRO"/>
    <s v="Helen B"/>
    <m/>
    <s v="CAMPO5"/>
    <m/>
  </r>
  <r>
    <s v="PU/25.TT.A13"/>
    <s v="AUTUMN CRISP"/>
    <x v="60"/>
    <x v="6"/>
    <s v="TT"/>
    <x v="5"/>
    <s v="ACA13"/>
    <s v="Salt Creek"/>
    <s v="SUN WORLD"/>
    <n v="2025"/>
    <n v="1754"/>
    <n v="6.72"/>
    <n v="6.49"/>
    <n v="0.14000000000000001"/>
    <n v="8.9999999999999525E-2"/>
    <n v="11783"/>
    <n v="11383"/>
    <n v="238"/>
    <n v="162"/>
    <n v="1.5"/>
    <n v="3.8"/>
    <x v="0"/>
    <d v="2022-09-08T00:00:00"/>
    <n v="3.3780821917808219"/>
    <s v="Español"/>
    <d v="1989-11-14T00:00:00"/>
    <n v="36"/>
    <s v="-"/>
    <s v="-"/>
    <s v=""/>
    <s v="-"/>
    <s v=""/>
    <x v="36"/>
    <s v="Zenaida Carrasco"/>
    <s v="PEDRO"/>
    <s v="Helen B"/>
    <m/>
    <s v="CAMPO5"/>
    <m/>
  </r>
  <r>
    <s v="PU/25.T8.D01"/>
    <s v="JACK'S SALUTE"/>
    <x v="61"/>
    <x v="0"/>
    <s v="T8"/>
    <x v="0"/>
    <s v="JSD01"/>
    <s v="Salt Creek"/>
    <s v="IFG"/>
    <n v="2025"/>
    <n v="1905"/>
    <n v="12.76"/>
    <n v="11.62"/>
    <n v="0.88"/>
    <n v="0.26000000000000056"/>
    <n v="24315"/>
    <n v="22140"/>
    <n v="1683"/>
    <n v="492"/>
    <n v="1.33"/>
    <n v="3.5"/>
    <x v="0"/>
    <d v="2023-08-06T00:00:00"/>
    <n v="2.4684931506849317"/>
    <s v="Oppen Gable"/>
    <d v="1990-07-25T00:00:00"/>
    <n v="35"/>
    <s v="-"/>
    <s v="-"/>
    <s v=""/>
    <s v="-"/>
    <s v=""/>
    <x v="37"/>
    <s v="Roger Calapuja"/>
    <s v=""/>
    <s v="Junior S"/>
    <m/>
    <s v="CAMPO1"/>
    <m/>
  </r>
  <r>
    <s v="PU/25.T8.D02"/>
    <s v="JACK'S SALUTE"/>
    <x v="62"/>
    <x v="0"/>
    <s v="T8"/>
    <x v="0"/>
    <s v="JSD02"/>
    <s v="Salt Creek"/>
    <s v="IFG"/>
    <n v="2025"/>
    <n v="1905"/>
    <n v="10.83"/>
    <n v="10.7"/>
    <n v="0.13"/>
    <n v="7.7715611723760958E-16"/>
    <n v="20637"/>
    <n v="20384"/>
    <n v="251"/>
    <n v="2"/>
    <n v="1.33"/>
    <n v="3.5"/>
    <x v="0"/>
    <d v="2023-08-02T00:00:00"/>
    <n v="2.4794520547945207"/>
    <s v="Oppen Gable"/>
    <d v="1990-07-25T00:00:00"/>
    <n v="35"/>
    <s v="-"/>
    <s v="-"/>
    <s v=""/>
    <s v="-"/>
    <s v=""/>
    <x v="38"/>
    <s v="Roger Calapuja"/>
    <s v=""/>
    <s v="Junior S"/>
    <m/>
    <s v="CAMPO1"/>
    <m/>
  </r>
  <r>
    <s v="IU/25.T8.D03"/>
    <s v="JACK'S SALUTE"/>
    <x v="63"/>
    <x v="0"/>
    <s v="T8"/>
    <x v="0"/>
    <s v="JSD03"/>
    <s v="-"/>
    <s v="-"/>
    <n v="2025"/>
    <n v="1905"/>
    <n v="13.33"/>
    <n v="0"/>
    <n v="13.33"/>
    <n v="0"/>
    <n v="25392"/>
    <n v="0"/>
    <n v="25392"/>
    <n v="0"/>
    <n v="1.33"/>
    <n v="3.5"/>
    <x v="1"/>
    <d v="2025-08-01T00:00:00"/>
    <n v="0"/>
    <s v="PD"/>
    <d v="1987-03-06T00:00:00"/>
    <n v="38"/>
    <n v="937032300"/>
    <s v="Caserio la obrilla"/>
    <n v="0"/>
    <s v="Educación secundaria"/>
    <s v="No"/>
    <x v="39"/>
    <s v="Roger Calapuja"/>
    <s v="PD"/>
    <s v="PD"/>
    <m/>
    <s v="CAMPO1"/>
    <m/>
  </r>
  <r>
    <s v="PU/25.TT.C01"/>
    <s v="AUTUMN CRISP"/>
    <x v="64"/>
    <x v="6"/>
    <s v="TT"/>
    <x v="0"/>
    <s v="ACC01"/>
    <s v="Salt Creek"/>
    <s v="SUN WORLD"/>
    <n v="2025"/>
    <n v="1905"/>
    <n v="14.9"/>
    <n v="14.8"/>
    <n v="0.08"/>
    <n v="1.9999999999999643E-2"/>
    <n v="28376"/>
    <n v="28195"/>
    <n v="143"/>
    <n v="38"/>
    <n v="1.5"/>
    <n v="3.5"/>
    <x v="0"/>
    <d v="2022-08-03T00:00:00"/>
    <n v="3.4767123287671233"/>
    <s v="Español"/>
    <d v="1993-10-27T00:00:00"/>
    <n v="32"/>
    <n v="922101107"/>
    <s v="Papayo medio piura"/>
    <s v="El Papayo"/>
    <s v="Educación secundaria"/>
    <s v="-"/>
    <x v="40"/>
    <s v="Roger Calapuja"/>
    <s v="KEVIN"/>
    <s v="Celso M"/>
    <m/>
    <s v="CAMPO1"/>
    <m/>
  </r>
  <r>
    <s v="PU/25.TT.C02"/>
    <s v="AUTUMN CRISP"/>
    <x v="65"/>
    <x v="6"/>
    <s v="TT"/>
    <x v="0"/>
    <s v="ACC02"/>
    <s v="Salt Creek"/>
    <s v="SUN WORLD"/>
    <n v="2025"/>
    <n v="1905"/>
    <n v="14.9"/>
    <n v="14.68"/>
    <n v="0.14000000000000001"/>
    <n v="8.0000000000000626E-2"/>
    <n v="28376"/>
    <n v="27972"/>
    <n v="260"/>
    <n v="144"/>
    <n v="1.5"/>
    <n v="3.5"/>
    <x v="0"/>
    <d v="2022-07-27T00:00:00"/>
    <n v="3.495890410958904"/>
    <s v="Español"/>
    <d v="1993-10-27T00:00:00"/>
    <n v="32"/>
    <s v="-"/>
    <s v="-"/>
    <s v=""/>
    <s v="-"/>
    <s v=""/>
    <x v="41"/>
    <s v="Roger Calapuja"/>
    <s v="KEVIN"/>
    <s v="Celso M"/>
    <m/>
    <s v="CAMPO1"/>
    <m/>
  </r>
  <r>
    <s v="PU/25.TT.C03"/>
    <s v="AUTUMN CRISP"/>
    <x v="66"/>
    <x v="6"/>
    <s v="TT"/>
    <x v="0"/>
    <s v="ACC03"/>
    <s v="Salt Creek"/>
    <s v="SUN WORLD"/>
    <n v="2025"/>
    <n v="1905"/>
    <n v="14.9"/>
    <n v="14.79"/>
    <n v="7.0000000000000007E-2"/>
    <n v="4.0000000000001201E-2"/>
    <n v="28376"/>
    <n v="28179"/>
    <n v="127"/>
    <n v="70"/>
    <n v="1.5"/>
    <n v="3.5"/>
    <x v="0"/>
    <d v="2022-06-26T00:00:00"/>
    <n v="3.580821917808219"/>
    <s v="Español"/>
    <m/>
    <m/>
    <n v="971282709"/>
    <s v="Amazonas 125 Castilla "/>
    <s v="Castilla"/>
    <s v="Educación superior universitaria"/>
    <s v="Agronomía "/>
    <x v="42"/>
    <s v="Roger Calapuja"/>
    <s v="KEVIN"/>
    <s v="Celso M"/>
    <m/>
    <s v="CAMPO1"/>
    <m/>
  </r>
  <r>
    <s v="IU/25.T9.E12"/>
    <s v="COTTON CANDY"/>
    <x v="67"/>
    <x v="4"/>
    <s v="T9"/>
    <x v="6"/>
    <s v="CCE12"/>
    <s v="-"/>
    <s v="-"/>
    <n v="2025"/>
    <n v="1905"/>
    <n v="11.75"/>
    <n v="0"/>
    <n v="11.75"/>
    <n v="0"/>
    <n v="22377"/>
    <n v="0"/>
    <n v="22377"/>
    <n v="0"/>
    <n v="1.75"/>
    <n v="3"/>
    <x v="1"/>
    <d v="2025-08-01T00:00:00"/>
    <n v="0"/>
    <s v="PD"/>
    <d v="1991-05-27T00:00:00"/>
    <n v="34"/>
    <s v="-"/>
    <s v="-"/>
    <s v=""/>
    <s v="-"/>
    <s v=""/>
    <x v="43"/>
    <s v="Zenaida Carrasco"/>
    <s v="PD"/>
    <s v="PD"/>
    <m/>
    <s v="CAMPO4"/>
    <m/>
  </r>
  <r>
    <s v="IU/25.T9.E13"/>
    <s v="COTTON CANDY"/>
    <x v="68"/>
    <x v="4"/>
    <s v="T9"/>
    <x v="6"/>
    <s v="CCE13"/>
    <s v="-"/>
    <s v="-"/>
    <n v="2025"/>
    <n v="1905"/>
    <n v="11.86"/>
    <n v="0"/>
    <n v="11.86"/>
    <n v="0"/>
    <n v="22602"/>
    <n v="0"/>
    <n v="22602"/>
    <n v="0"/>
    <n v="1.75"/>
    <n v="3"/>
    <x v="1"/>
    <d v="2025-08-01T00:00:00"/>
    <n v="0"/>
    <s v="PD"/>
    <d v="1991-05-27T00:00:00"/>
    <n v="34"/>
    <s v="-"/>
    <s v="-"/>
    <s v=""/>
    <s v="-"/>
    <s v=""/>
    <x v="43"/>
    <s v="Zenaida Carrasco"/>
    <s v="PD"/>
    <s v="PD"/>
    <m/>
    <s v="CAMPO4"/>
    <m/>
  </r>
  <r>
    <s v="PU/25.T4.E14"/>
    <s v="TIMPSON"/>
    <x v="69"/>
    <x v="1"/>
    <s v="T4"/>
    <x v="6"/>
    <s v="TME14"/>
    <s v="Freedom"/>
    <s v="SNFL"/>
    <n v="2025"/>
    <n v="1953"/>
    <n v="16.190000000000001"/>
    <n v="15.73"/>
    <n v="0"/>
    <n v="0.46000000000000085"/>
    <n v="31622"/>
    <n v="30711"/>
    <n v="1"/>
    <n v="910"/>
    <n v="1.7"/>
    <n v="3.2"/>
    <x v="0"/>
    <d v="2018-07-21T00:00:00"/>
    <n v="7.515068493150685"/>
    <s v="Español"/>
    <d v="1990-06-10T00:00:00"/>
    <n v="35"/>
    <s v="-"/>
    <s v="-"/>
    <s v=""/>
    <s v="-"/>
    <s v=""/>
    <x v="44"/>
    <s v="Zenaida Carrasco"/>
    <s v="PEDRO"/>
    <s v="Helen B"/>
    <m/>
    <s v="CAMPO4"/>
    <m/>
  </r>
  <r>
    <m/>
    <s v="COTTON CANDY"/>
    <x v="70"/>
    <x v="1"/>
    <s v="T4"/>
    <x v="6"/>
    <s v="TMF12"/>
    <s v="Salt Creek"/>
    <s v="SNFL"/>
    <n v="2024"/>
    <n v="1905.1398337112623"/>
    <n v="5"/>
    <n v="0"/>
    <n v="0"/>
    <n v="5"/>
    <n v="9525"/>
    <n v="0"/>
    <n v="0"/>
    <n v="9525"/>
    <n v="1.75"/>
    <n v="3"/>
    <x v="2"/>
    <d v="2016-11-21T00:00:00"/>
    <n v="9.1780821917808222"/>
    <s v="Español"/>
    <d v="1990-06-10T00:00:00"/>
    <n v="35"/>
    <s v="-"/>
    <s v="-"/>
    <n v="0"/>
    <s v="-"/>
    <s v="-"/>
    <x v="3"/>
    <s v="Zenaida Carrasco"/>
    <s v="PEDRO"/>
    <s v="Helen B"/>
    <m/>
    <s v="CAMPO4"/>
    <m/>
  </r>
  <r>
    <s v="PU/25.T4.F13"/>
    <s v="TIMPSON"/>
    <x v="71"/>
    <x v="1"/>
    <s v="T4"/>
    <x v="6"/>
    <s v="TMF13"/>
    <s v="Salt Creek"/>
    <s v="SNFL"/>
    <n v="2025"/>
    <n v="1953"/>
    <n v="13.33"/>
    <n v="13.3"/>
    <n v="0"/>
    <n v="2.9999999999999361E-2"/>
    <n v="26031"/>
    <n v="25979"/>
    <n v="0"/>
    <n v="52"/>
    <n v="1.7"/>
    <n v="3.2"/>
    <x v="0"/>
    <d v="2014-07-01T00:00:00"/>
    <n v="11.572602739726028"/>
    <s v="Español"/>
    <d v="1990-06-10T00:00:00"/>
    <n v="35"/>
    <s v="-"/>
    <s v="-"/>
    <s v=""/>
    <s v="-"/>
    <s v=""/>
    <x v="44"/>
    <s v="Zenaida Carrasco"/>
    <s v="PEDRO"/>
    <s v="Helen B"/>
    <m/>
    <s v="CAMPO4"/>
    <m/>
  </r>
  <r>
    <m/>
    <s v="COTTON CANDY"/>
    <x v="72"/>
    <x v="9"/>
    <s v="PD"/>
    <x v="7"/>
    <s v="PDI13"/>
    <s v="Salt Creek"/>
    <s v="SUN WORLD"/>
    <n v="2025"/>
    <n v="1905"/>
    <n v="9.81"/>
    <n v="0"/>
    <n v="0"/>
    <n v="9.81"/>
    <n v="18688.05"/>
    <n v="0"/>
    <n v="0"/>
    <n v="18688.05"/>
    <n v="1.6"/>
    <n v="3.5"/>
    <x v="2"/>
    <d v="2025-08-01T00:00:00"/>
    <n v="0"/>
    <s v="Oppen Gable"/>
    <d v="1991-11-20T00:00:00"/>
    <n v="34"/>
    <s v="-"/>
    <s v="-"/>
    <n v="0"/>
    <s v="-"/>
    <s v="Agronomía "/>
    <x v="3"/>
    <s v="Zenaida Carrasco"/>
    <s v=""/>
    <m/>
    <m/>
    <s v=""/>
    <m/>
  </r>
  <r>
    <s v="IU/25.T9.I14"/>
    <s v="COTTON CANDY"/>
    <x v="73"/>
    <x v="4"/>
    <s v="T9"/>
    <x v="6"/>
    <s v="CCI14"/>
    <s v="Salt Creek"/>
    <s v="SUN WORLD"/>
    <n v="2025"/>
    <n v="1905"/>
    <n v="7.17"/>
    <n v="0"/>
    <n v="7.17"/>
    <n v="0"/>
    <n v="13663"/>
    <n v="0"/>
    <n v="13663"/>
    <n v="0"/>
    <n v="1.6"/>
    <n v="3.5"/>
    <x v="1"/>
    <d v="2025-08-01T00:00:00"/>
    <n v="0"/>
    <s v="Oppen Gable"/>
    <d v="1991-11-20T00:00:00"/>
    <n v="34"/>
    <s v="-"/>
    <s v="-"/>
    <s v=""/>
    <s v="-"/>
    <s v="Agronomía "/>
    <x v="45"/>
    <s v="Zenaida Carrasco"/>
    <s v=""/>
    <m/>
    <m/>
    <s v="CAMPO4"/>
    <m/>
  </r>
  <r>
    <s v="IU/25.T9.H14"/>
    <s v="COTTON CANDY"/>
    <x v="74"/>
    <x v="4"/>
    <s v="T9"/>
    <x v="6"/>
    <s v="CCH14"/>
    <s v="Salt Creek"/>
    <s v="SUN WORLD"/>
    <n v="2025"/>
    <n v="1905"/>
    <n v="12.7"/>
    <n v="0"/>
    <n v="12.7"/>
    <n v="0"/>
    <n v="24200"/>
    <n v="0"/>
    <n v="24200"/>
    <n v="0"/>
    <n v="1.6"/>
    <n v="3.5"/>
    <x v="1"/>
    <d v="2025-08-01T00:00:00"/>
    <n v="0"/>
    <s v="Oppen Gable"/>
    <d v="1991-11-20T00:00:00"/>
    <n v="34"/>
    <s v="-"/>
    <s v="-"/>
    <s v=""/>
    <s v="-"/>
    <s v="Agronomía "/>
    <x v="45"/>
    <s v="Zenaida Carrasco"/>
    <s v=""/>
    <m/>
    <m/>
    <s v="CAMPO4"/>
    <m/>
  </r>
  <r>
    <s v="PU/25.T4.E08"/>
    <s v="TIMPSON"/>
    <x v="75"/>
    <x v="1"/>
    <s v="T4"/>
    <x v="3"/>
    <s v="TME08"/>
    <s v="Salt Creek"/>
    <s v="SNFL"/>
    <n v="2025"/>
    <n v="1780"/>
    <n v="13.09"/>
    <n v="12.9"/>
    <n v="0"/>
    <n v="0.1899999999999995"/>
    <n v="23300"/>
    <n v="22963"/>
    <n v="0"/>
    <n v="337"/>
    <n v="1.6"/>
    <n v="3.5"/>
    <x v="0"/>
    <d v="2020-07-07T00:00:00"/>
    <n v="5.5506849315068489"/>
    <s v="Oppen Gable"/>
    <d v="1988-03-26T00:00:00"/>
    <n v="37"/>
    <n v="966986285"/>
    <s v="Caserillo La Obrilla Medio Piura"/>
    <s v="La Obrilla"/>
    <s v="Educación secundaria"/>
    <s v="-"/>
    <x v="46"/>
    <s v="Zenaida Carrasco"/>
    <s v="WALTER"/>
    <s v="Omar G"/>
    <m/>
    <s v="CAMPO2"/>
    <m/>
  </r>
  <r>
    <s v="PU/25.T4.E09"/>
    <s v="TIMPSON"/>
    <x v="76"/>
    <x v="1"/>
    <s v="T4"/>
    <x v="3"/>
    <s v="TME09"/>
    <s v="Salt Creek"/>
    <s v="SNFL"/>
    <n v="2025"/>
    <n v="1780"/>
    <n v="10.75"/>
    <n v="10.37"/>
    <n v="0.02"/>
    <n v="0.36000000000000076"/>
    <n v="19130"/>
    <n v="18465"/>
    <n v="33"/>
    <n v="632"/>
    <n v="1.6"/>
    <n v="3.5"/>
    <x v="0"/>
    <d v="2020-07-09T00:00:00"/>
    <n v="5.5452054794520551"/>
    <s v="Oppen Gable"/>
    <d v="1988-03-26T00:00:00"/>
    <n v="37"/>
    <n v="966986285"/>
    <s v="Caserillo La Obrilla Medio Piura"/>
    <s v="La Obrilla"/>
    <s v="Educación secundaria"/>
    <s v="-"/>
    <x v="46"/>
    <s v="Zenaida Carrasco"/>
    <s v="WALTER"/>
    <s v="Omar G"/>
    <m/>
    <s v="CAMPO2"/>
    <m/>
  </r>
  <r>
    <s v="PU/25.T4.F08"/>
    <s v="TIMPSON"/>
    <x v="77"/>
    <x v="1"/>
    <s v="T4"/>
    <x v="3"/>
    <s v="TMF08"/>
    <s v="Salt Creek"/>
    <s v="SNFL"/>
    <n v="2025"/>
    <n v="1780"/>
    <n v="15"/>
    <n v="14.56"/>
    <n v="0.01"/>
    <n v="0.42999999999999949"/>
    <n v="26703"/>
    <n v="25910"/>
    <n v="11"/>
    <n v="782"/>
    <n v="1.6"/>
    <n v="3.5"/>
    <x v="0"/>
    <d v="2020-07-14T00:00:00"/>
    <n v="5.5315068493150683"/>
    <s v="Oppen Gable"/>
    <d v="1995-05-27T00:00:00"/>
    <n v="30"/>
    <s v="-"/>
    <s v="-"/>
    <s v=""/>
    <s v="-"/>
    <s v=""/>
    <x v="47"/>
    <s v="Zenaida Carrasco"/>
    <s v="WALTER"/>
    <s v="Omar G"/>
    <m/>
    <s v="CAMPO2"/>
    <m/>
  </r>
  <r>
    <s v="PU/25.T4.F09"/>
    <s v="TIMPSON"/>
    <x v="78"/>
    <x v="1"/>
    <s v="T4"/>
    <x v="3"/>
    <s v="TMF09"/>
    <s v="Salt Creek"/>
    <s v="SNFL"/>
    <n v="2025"/>
    <n v="1780"/>
    <n v="15"/>
    <n v="14.2"/>
    <n v="0.01"/>
    <n v="0.7900000000000007"/>
    <n v="26703"/>
    <n v="25276"/>
    <n v="9"/>
    <n v="1418"/>
    <n v="1.6"/>
    <n v="3.5"/>
    <x v="0"/>
    <d v="2020-07-11T00:00:00"/>
    <n v="5.5397260273972604"/>
    <s v="Oppen Gable"/>
    <d v="1995-05-27T00:00:00"/>
    <n v="30"/>
    <s v="-"/>
    <s v="-"/>
    <s v=""/>
    <s v="-"/>
    <s v=""/>
    <x v="47"/>
    <s v="Zenaida Carrasco"/>
    <s v="WALTER"/>
    <s v="Omar G"/>
    <m/>
    <s v="CAMPO2"/>
    <m/>
  </r>
  <r>
    <s v="PU/25.T9.G13"/>
    <s v="COTTON CANDY"/>
    <x v="79"/>
    <x v="4"/>
    <s v="T9"/>
    <x v="6"/>
    <s v="CCG13"/>
    <s v="Freedom"/>
    <s v="IFG"/>
    <n v="2025"/>
    <n v="1838"/>
    <n v="12.27"/>
    <n v="11.91"/>
    <n v="0.09"/>
    <n v="0.26999999999999946"/>
    <n v="22559"/>
    <n v="21899"/>
    <n v="160"/>
    <n v="500"/>
    <n v="1.6"/>
    <n v="3.5"/>
    <x v="0"/>
    <d v="2021-08-20T00:00:00"/>
    <n v="4.4301369863013695"/>
    <s v="Oppen Gable"/>
    <d v="1982-10-05T00:00:00"/>
    <n v="43"/>
    <n v="962939551"/>
    <s v="Terela Castilla"/>
    <s v="Terela"/>
    <s v="Educación secundaria"/>
    <s v="No"/>
    <x v="48"/>
    <s v="Zenaida Carrasco"/>
    <s v="PEDRO"/>
    <s v="Omar G"/>
    <m/>
    <s v="CAMPO4"/>
    <m/>
  </r>
  <r>
    <s v="PU/25.T9.H13"/>
    <s v="COTTON CANDY"/>
    <x v="80"/>
    <x v="4"/>
    <s v="T9"/>
    <x v="6"/>
    <s v="CCH13"/>
    <s v="Freedom"/>
    <s v="IFG"/>
    <n v="2025"/>
    <n v="1838"/>
    <n v="12.72"/>
    <n v="12.37"/>
    <n v="0.19"/>
    <n v="0.16000000000000142"/>
    <n v="23371"/>
    <n v="22729"/>
    <n v="355"/>
    <n v="287"/>
    <n v="1.6"/>
    <n v="3.5"/>
    <x v="0"/>
    <d v="2021-07-17T00:00:00"/>
    <n v="4.5232876712328771"/>
    <s v="Oppen Gable"/>
    <d v="1982-10-05T00:00:00"/>
    <n v="43"/>
    <n v="962939551"/>
    <s v="Terela Castilla"/>
    <s v="Terela"/>
    <s v="Educación secundaria"/>
    <s v="No"/>
    <x v="48"/>
    <s v="Zenaida Carrasco"/>
    <s v="PEDRO"/>
    <s v="Omar G"/>
    <m/>
    <s v="CAMPO4"/>
    <m/>
  </r>
  <r>
    <s v="PU/25.TT.G14"/>
    <s v="AUTUMN CRISP"/>
    <x v="81"/>
    <x v="6"/>
    <s v="TT"/>
    <x v="6"/>
    <s v="ACG14"/>
    <s v="Salt Creek"/>
    <s v="SUN WORLD"/>
    <n v="2025"/>
    <n v="1838"/>
    <n v="15.43"/>
    <n v="15.13"/>
    <n v="0.22"/>
    <n v="7.9999999999998933E-2"/>
    <n v="28368"/>
    <n v="27816"/>
    <n v="411"/>
    <n v="141"/>
    <n v="1.6"/>
    <n v="3.5"/>
    <x v="0"/>
    <d v="2021-09-21T00:00:00"/>
    <n v="4.3424657534246576"/>
    <s v="Oppen Gable"/>
    <d v="1999-02-08T00:00:00"/>
    <n v="26"/>
    <s v="-"/>
    <s v="-"/>
    <s v=""/>
    <s v="-"/>
    <s v=""/>
    <x v="49"/>
    <s v="Zenaida Carrasco"/>
    <s v="PEDRO"/>
    <s v="Omar G"/>
    <m/>
    <s v="CAMPO4"/>
    <m/>
  </r>
  <r>
    <s v="PU/25.TT.G15"/>
    <s v="AUTUMN CRISP"/>
    <x v="82"/>
    <x v="6"/>
    <s v="TT"/>
    <x v="6"/>
    <s v="ACG15"/>
    <s v="Salt Creek"/>
    <s v="SUN WORLD"/>
    <n v="2025"/>
    <n v="1838"/>
    <n v="11.39"/>
    <n v="10.9"/>
    <n v="0.38"/>
    <n v="0.11000000000000021"/>
    <n v="20936"/>
    <n v="20035"/>
    <n v="707"/>
    <n v="194"/>
    <n v="1.6"/>
    <n v="3.5"/>
    <x v="0"/>
    <d v="2021-09-28T00:00:00"/>
    <n v="4.3232876712328769"/>
    <s v="Oppen Gable"/>
    <d v="1999-02-08T00:00:00"/>
    <n v="26"/>
    <s v="-"/>
    <s v="-"/>
    <s v=""/>
    <s v="-"/>
    <s v=""/>
    <x v="49"/>
    <s v="Zenaida Carrasco"/>
    <s v="PEDRO"/>
    <s v="Omar G"/>
    <m/>
    <s v="CAMPO4"/>
    <m/>
  </r>
  <r>
    <s v="IU/25.T9.B08"/>
    <s v="COTTON CANDY"/>
    <x v="83"/>
    <x v="4"/>
    <s v="T9"/>
    <x v="2"/>
    <s v="CCB08"/>
    <s v="Salt Creek"/>
    <s v="Bloom Fresh"/>
    <n v="2025"/>
    <n v="1905"/>
    <n v="15.58"/>
    <n v="0"/>
    <n v="15.19"/>
    <n v="0.39000000000000057"/>
    <n v="29680"/>
    <n v="0"/>
    <n v="28936"/>
    <n v="744"/>
    <n v="1.5"/>
    <n v="3.5"/>
    <x v="1"/>
    <d v="2025-08-01T00:00:00"/>
    <n v="0"/>
    <s v="PD"/>
    <m/>
    <m/>
    <n v="949903628"/>
    <s v="Caserío El Papayo Medio Piura"/>
    <s v="El Papayo"/>
    <s v="Educación secundaria"/>
    <s v="-"/>
    <x v="32"/>
    <s v="Roger Calapuja"/>
    <s v="CINDY"/>
    <s v="DANIEL PALACIOS"/>
    <s v="ALAN "/>
    <s v="CAMPO1"/>
    <m/>
  </r>
  <r>
    <s v="IU/25.T9.D07"/>
    <s v="COTTON CANDY"/>
    <x v="84"/>
    <x v="4"/>
    <s v="T9"/>
    <x v="1"/>
    <s v="CCD07"/>
    <s v="-"/>
    <s v="-"/>
    <n v="2025"/>
    <n v="1905"/>
    <n v="8.6199999999999992"/>
    <n v="0"/>
    <n v="8.6199999999999992"/>
    <n v="0"/>
    <n v="16425"/>
    <n v="0"/>
    <n v="16425"/>
    <n v="0"/>
    <n v="1.5"/>
    <n v="3.5"/>
    <x v="1"/>
    <d v="2025-08-01T00:00:00"/>
    <n v="0"/>
    <s v="PD"/>
    <m/>
    <m/>
    <n v="986189597"/>
    <s v="Cossio del pomar mz b3 lote 6"/>
    <s v="Castilla"/>
    <s v="Educación superior universitaria"/>
    <s v="ING agronoma"/>
    <x v="33"/>
    <s v="Roger Calapuja"/>
    <s v="FRANK CESPEDES"/>
    <s v="DANIEL PALACIOS"/>
    <s v="ALAN "/>
    <s v="CAMPO1"/>
    <m/>
  </r>
  <r>
    <m/>
    <s v="COTTON CANDY"/>
    <x v="85"/>
    <x v="4"/>
    <s v="T9"/>
    <x v="7"/>
    <s v="CCI12"/>
    <s v="Salt Creek"/>
    <s v="SUN WORLD"/>
    <n v="2025"/>
    <n v="1905"/>
    <n v="9.81"/>
    <n v="0"/>
    <n v="0"/>
    <n v="9.81"/>
    <n v="18688.05"/>
    <n v="0"/>
    <n v="0"/>
    <n v="18688.05"/>
    <n v="1.6"/>
    <n v="3.5"/>
    <x v="2"/>
    <d v="2026-08-01T00:00:00"/>
    <n v="-1"/>
    <s v="Oppen Gable"/>
    <d v="1991-11-20T00:00:00"/>
    <n v="34"/>
    <s v="-"/>
    <s v="-"/>
    <s v=""/>
    <s v="-"/>
    <s v="Agronomía "/>
    <x v="50"/>
    <s v="Zenaida Carrasco"/>
    <s v=""/>
    <m/>
    <m/>
    <s v=""/>
    <m/>
  </r>
  <r>
    <m/>
    <s v="AUTUMN CRISP"/>
    <x v="86"/>
    <x v="9"/>
    <s v="PD"/>
    <x v="7"/>
    <s v="PDI15"/>
    <s v="Salt Creek"/>
    <s v="SUN WORLD"/>
    <n v="2025"/>
    <n v="1905"/>
    <n v="7.36"/>
    <n v="0"/>
    <n v="0"/>
    <n v="7.36"/>
    <n v="14020.800000000001"/>
    <n v="0"/>
    <n v="0"/>
    <n v="14020.800000000001"/>
    <n v="1.6"/>
    <n v="3.5"/>
    <x v="2"/>
    <d v="2026-08-01T00:00:00"/>
    <n v="-1"/>
    <s v="Oppen Gable"/>
    <d v="1991-11-20T00:00:00"/>
    <n v="34"/>
    <s v="-"/>
    <s v="-"/>
    <n v="0"/>
    <s v="-"/>
    <s v="Agronomía "/>
    <x v="3"/>
    <s v="Zenaida Carrasco"/>
    <s v=""/>
    <m/>
    <m/>
    <s v=""/>
    <m/>
  </r>
  <r>
    <m/>
    <s v="AUTUMN CRISP"/>
    <x v="87"/>
    <x v="9"/>
    <s v="PD"/>
    <x v="7"/>
    <s v="PDH15"/>
    <s v="Salt Creek"/>
    <s v="SUN WORLD"/>
    <n v="2025"/>
    <n v="1905"/>
    <n v="10.9"/>
    <n v="0"/>
    <n v="0"/>
    <n v="10.9"/>
    <n v="20764.5"/>
    <n v="0"/>
    <n v="0"/>
    <n v="20764.5"/>
    <n v="1.6"/>
    <n v="3.5"/>
    <x v="2"/>
    <d v="2026-08-01T00:00:00"/>
    <n v="-1"/>
    <s v="Oppen Gable"/>
    <d v="1991-11-20T00:00:00"/>
    <n v="34"/>
    <s v="-"/>
    <s v="-"/>
    <n v="0"/>
    <s v="-"/>
    <s v="Agronomía "/>
    <x v="3"/>
    <s v="Zenaida Carrasco"/>
    <s v=""/>
    <m/>
    <m/>
    <s v=""/>
    <m/>
  </r>
  <r>
    <m/>
    <s v="Test Block"/>
    <x v="35"/>
    <x v="5"/>
    <s v="T6"/>
    <x v="4"/>
    <s v="Test BlockG11"/>
    <s v="Freedom"/>
    <s v="SNFL"/>
    <n v="2025"/>
    <n v="1780"/>
    <n v="1.98"/>
    <n v="1.58"/>
    <n v="0.12"/>
    <n v="0.27999999999999992"/>
    <n v="3521"/>
    <n v="2810"/>
    <n v="217"/>
    <n v="494"/>
    <n v="1.6"/>
    <n v="3.5"/>
    <x v="3"/>
    <d v="2021-09-14T00:00:00"/>
    <n v="4.3616438356164382"/>
    <s v="Español"/>
    <d v="1996-02-24T00:00:00"/>
    <n v="29"/>
    <s v="-"/>
    <s v="-"/>
    <n v="0"/>
    <s v="-"/>
    <s v="-"/>
    <x v="3"/>
    <s v="Zenaida Carrasco"/>
    <s v=""/>
    <m/>
    <m/>
    <s v="CAMPO2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1000000}" name="TablaDinámica1" cacheId="11" applyNumberFormats="0" applyBorderFormats="0" applyFontFormats="0" applyPatternFormats="0" applyAlignmentFormats="0" applyWidthHeightFormats="1" dataCaption="Valores" tag="fc3cf677-760b-4bd1-adc9-49916b3d7924" updatedVersion="8" minRefreshableVersion="3" subtotalHiddenItems="1" itemPrintTitles="1" createdVersion="5" indent="0" compact="0" compactData="0" multipleFieldFilters="0" rowHeaderCaption="Detalle">
  <location ref="C3:I8" firstHeaderRow="0" firstDataRow="1" firstDataCol="4"/>
  <pivotFields count="7">
    <pivotField axis="axisRow" compact="0" allDrilled="1" outline="0" showAll="0" dataSourceSort="1">
      <items count="5">
        <item x="0" e="0"/>
        <item x="1" e="0"/>
        <item x="2" e="0"/>
        <item x="3" e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ubtotalTop="0" showAll="0" dataSourceSort="1" defaultSubtotal="0">
      <items count="9">
        <item x="0" e="0"/>
        <item x="1" e="0"/>
        <item x="2" e="0"/>
        <item x="3" e="0"/>
        <item x="4" e="0"/>
        <item x="5" e="0"/>
        <item x="6" e="0"/>
        <item x="7" e="0"/>
        <item x="8" e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ubtotalTop="0" showAll="0" dataSourceSort="1" defaultSubtotal="0" defaultAttributeDrillState="1">
      <items count="7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showAll="0" dataSourceSort="1" defaultAttributeDrillState="1">
      <items count="3">
        <item x="0"/>
        <item x="1"/>
        <item t="default"/>
      </items>
    </pivotField>
  </pivotFields>
  <rowFields count="4">
    <field x="0"/>
    <field x="6"/>
    <field x="1"/>
    <field x="2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fld="3" subtotal="count" baseField="0" baseItem="0"/>
    <dataField fld="4" subtotal="count" baseField="0" baseItem="0"/>
    <dataField fld="5" subtotal="count" baseField="0" baseItem="0"/>
  </dataFields>
  <formats count="9">
    <format dxfId="121">
      <pivotArea outline="0" fieldPosition="0">
        <references count="3">
          <reference field="4294967294" count="1" selected="0">
            <x v="1"/>
          </reference>
          <reference field="0" count="1" selected="0">
            <x v="0"/>
          </reference>
          <reference field="1" count="5" selected="0">
            <x v="0"/>
            <x v="1"/>
            <x v="2"/>
            <x v="3"/>
            <x v="4"/>
          </reference>
        </references>
      </pivotArea>
    </format>
    <format dxfId="120">
      <pivotArea outline="0" fieldPosition="0">
        <references count="3">
          <reference field="4294967294" count="1" selected="0">
            <x v="2"/>
          </reference>
          <reference field="0" count="1" selected="0">
            <x v="2"/>
          </reference>
          <reference field="1" count="8" selected="0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119">
      <pivotArea outline="0" fieldPosition="0">
        <references count="3">
          <reference field="4294967294" count="1" selected="0">
            <x v="2"/>
          </reference>
          <reference field="0" count="1" selected="0">
            <x v="3"/>
          </reference>
          <reference field="1" count="1" selected="0">
            <x v="8"/>
          </reference>
        </references>
      </pivotArea>
    </format>
    <format dxfId="118">
      <pivotArea outline="0" fieldPosition="0">
        <references count="3">
          <reference field="4294967294" count="1" selected="0">
            <x v="2"/>
          </reference>
          <reference field="0" count="1" selected="0">
            <x v="2"/>
          </reference>
          <reference field="1" count="8" selected="0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117">
      <pivotArea outline="0" fieldPosition="0">
        <references count="3">
          <reference field="4294967294" count="1" selected="0">
            <x v="2"/>
          </reference>
          <reference field="0" count="1" selected="0">
            <x v="3"/>
          </reference>
          <reference field="1" count="1" selected="0">
            <x v="8"/>
          </reference>
        </references>
      </pivotArea>
    </format>
    <format dxfId="116">
      <pivotArea outline="0" fieldPosition="0">
        <references count="3">
          <reference field="4294967294" count="1" selected="0">
            <x v="1"/>
          </reference>
          <reference field="0" count="1" selected="0">
            <x v="0"/>
          </reference>
          <reference field="1" count="5" selected="0">
            <x v="0"/>
            <x v="1"/>
            <x v="2"/>
            <x v="3"/>
            <x v="4"/>
          </reference>
        </references>
      </pivotArea>
    </format>
    <format dxfId="115">
      <pivotArea outline="0" fieldPosition="0">
        <references count="2">
          <reference field="4294967294" count="1" selected="0">
            <x v="2"/>
          </reference>
          <reference field="0" count="1" selected="0" defaultSubtotal="1">
            <x v="3"/>
          </reference>
        </references>
      </pivotArea>
    </format>
    <format dxfId="114">
      <pivotArea outline="0" fieldPosition="0">
        <references count="2">
          <reference field="4294967294" count="1" selected="0">
            <x v="2"/>
          </reference>
          <reference field="0" count="1" selected="0" defaultSubtotal="1">
            <x v="2"/>
          </reference>
        </references>
      </pivotArea>
    </format>
    <format dxfId="113">
      <pivotArea outline="0" fieldPosition="0">
        <references count="2">
          <reference field="4294967294" count="1" selected="0">
            <x v="1"/>
          </reference>
          <reference field="0" count="1" selected="0" defaultSubtotal="1">
            <x v="0"/>
          </reference>
        </references>
      </pivotArea>
    </format>
  </formats>
  <pivotHierarchies count="11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 caption="Has productivas"/>
    <pivotHierarchy dragToData="1" caption="Has totales"/>
    <pivotHierarchy dragToData="1"/>
    <pivotHierarchy dragToData="1"/>
    <pivotHierarchy dragToData="1"/>
    <pivotHierarchy dragToData="1"/>
    <pivotHierarchy dragToData="1"/>
  </pivotHierarchies>
  <pivotTableStyleInfo name="PivotStyleMedium10" showRowHeaders="1" showColHeaders="1" showRowStripes="0" showColStripes="0" showLastColumn="1"/>
  <rowHierarchiesUsage count="4">
    <rowHierarchyUsage hierarchyUsage="35"/>
    <rowHierarchyUsage hierarchyUsage="47"/>
    <rowHierarchyUsage hierarchyUsage="15"/>
    <rowHierarchyUsage hierarchyUsage="16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>
        <x15:activeTabTopLevelEntity name="[MAESTRO_LOTES]"/>
        <x15:activeTabTopLevelEntity name="[Tabla13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TablaDinámica3" cacheId="10" applyNumberFormats="0" applyBorderFormats="0" applyFontFormats="0" applyPatternFormats="0" applyAlignmentFormats="0" applyWidthHeightFormats="1" dataCaption="Valores" tag="8064d852-f482-4290-a9f4-c125c862187e" updatedVersion="8" minRefreshableVersion="3" useAutoFormatting="1" subtotalHiddenItems="1" itemPrintTitles="1" createdVersion="5" indent="0" compact="0" compactData="0" multipleFieldFilters="0" rowHeaderCaption="Detalle">
  <location ref="L30:Q40" firstHeaderRow="0" firstDataRow="1" firstDataCol="4" rowPageCount="1" colPageCount="1"/>
  <pivotFields count="7">
    <pivotField axis="axisPage" compact="0" allDrilled="1" outline="0" showAll="0" dataSourceSort="1" defaultSubtotal="0" defaultAttributeDrillState="1">
      <items count="1">
        <item s="1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howAll="0" dataSourceSort="1" defaultSubtotal="0" defaultAttributeDrillState="1">
      <items count="4">
        <item x="0"/>
        <item x="1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ubtotalTop="0" showAll="0" dataSourceSort="1" defaultSubtotal="0" defaultAttributeDrillState="1">
      <items count="7">
        <item x="0"/>
        <item x="1"/>
        <item x="2"/>
        <item x="3"/>
        <item x="4"/>
        <item x="5"/>
        <item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ubtotalTop="0" showAll="0" dataSourceSort="1" defaultSubtotal="0" defaultAttributeDrillState="1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showAll="0" dataSourceSort="1" defaultAttributeDrillState="1">
      <items count="3">
        <item s="1" x="0"/>
        <item s="1" x="1"/>
        <item t="default"/>
      </items>
    </pivotField>
  </pivotFields>
  <rowFields count="4">
    <field x="6"/>
    <field x="1"/>
    <field x="2"/>
    <field x="5"/>
  </rowFields>
  <rowItems count="10">
    <i>
      <x/>
    </i>
    <i r="1">
      <x/>
      <x/>
      <x/>
    </i>
    <i r="1">
      <x v="1"/>
      <x v="1"/>
      <x v="1"/>
    </i>
    <i r="2">
      <x v="2"/>
      <x/>
    </i>
    <i r="2">
      <x v="3"/>
      <x/>
    </i>
    <i>
      <x v="1"/>
    </i>
    <i r="1">
      <x/>
      <x v="4"/>
      <x v="1"/>
    </i>
    <i r="2">
      <x v="5"/>
      <x v="1"/>
    </i>
    <i r="2">
      <x v="6"/>
      <x v="1"/>
    </i>
    <i t="grand">
      <x/>
    </i>
  </rowItems>
  <colFields count="1">
    <field x="-2"/>
  </colFields>
  <colItems count="2">
    <i>
      <x/>
    </i>
    <i i="1">
      <x v="1"/>
    </i>
  </colItems>
  <pageFields count="1">
    <pageField fld="0" hier="35" name="[MAESTRO_LOTES].[Estado].&amp;[Habilitación 2026]" cap="Habilitación 2026"/>
  </pageFields>
  <dataFields count="2">
    <dataField fld="3" subtotal="count" baseField="0" baseItem="0"/>
    <dataField name="Suma de Has Formación" fld="4" baseField="0" baseItem="0"/>
  </dataFields>
  <formats count="3">
    <format dxfId="124">
      <pivotArea dataOnly="0" labelOnly="1" outline="0" fieldPosition="0">
        <references count="1">
          <reference field="1" count="1">
            <x v="1"/>
          </reference>
        </references>
      </pivotArea>
    </format>
    <format dxfId="123">
      <pivotArea dataOnly="0" labelOnly="1" outline="0" fieldPosition="0">
        <references count="1">
          <reference field="1" count="1">
            <x v="3"/>
          </reference>
        </references>
      </pivotArea>
    </format>
    <format dxfId="122">
      <pivotArea dataOnly="0" labelOnly="1" outline="0" fieldPosition="0">
        <references count="1">
          <reference field="1" count="1">
            <x v="2"/>
          </reference>
        </references>
      </pivotArea>
    </format>
  </formats>
  <pivotHierarchies count="11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 caption="Has productivas"/>
    <pivotHierarchy dragToData="1" caption="Has totales"/>
    <pivotHierarchy dragToData="1"/>
    <pivotHierarchy dragToData="1"/>
    <pivotHierarchy dragToData="1" caption="Densidad"/>
    <pivotHierarchy dragToData="1" caption="Densidad"/>
    <pivotHierarchy dragToData="1"/>
  </pivotHierarchies>
  <pivotTableStyleInfo name="PivotStyleMedium3" showRowHeaders="1" showColHeaders="1" showRowStripes="0" showColStripes="0" showLastColumn="1"/>
  <rowHierarchiesUsage count="4">
    <rowHierarchyUsage hierarchyUsage="19"/>
    <rowHierarchyUsage hierarchyUsage="15"/>
    <rowHierarchyUsage hierarchyUsage="16"/>
    <rowHierarchyUsage hierarchyUsage="38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>
        <x15:activeTabTopLevelEntity name="[MAESTRO_LOTES]"/>
        <x15:activeTabTopLevelEntity name="[Tabla13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2000000}" name="TablaDinámica2" cacheId="8" applyNumberFormats="0" applyBorderFormats="0" applyFontFormats="0" applyPatternFormats="0" applyAlignmentFormats="0" applyWidthHeightFormats="1" dataCaption="Valores" tag="3ce9fe2c-654b-4aae-a519-5e49a4b8fbb8" updatedVersion="8" minRefreshableVersion="3" useAutoFormatting="1" subtotalHiddenItems="1" itemPrintTitles="1" createdVersion="5" indent="0" compact="0" compactData="0" multipleFieldFilters="0" rowHeaderCaption="Detalle">
  <location ref="L3:P17" firstHeaderRow="1" firstDataRow="1" firstDataCol="4" rowPageCount="1" colPageCount="1"/>
  <pivotFields count="6">
    <pivotField axis="axisPage" compact="0" allDrilled="1" outline="0" showAll="0" dataSourceSort="1" defaultAttributeDrillState="1">
      <items count="2">
        <item s="1"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showAll="0" dataSourceSort="1" defaultAttributeDrillState="1">
      <items count="5">
        <item x="0"/>
        <item x="1"/>
        <item x="2"/>
        <item x="3"/>
        <item t="default"/>
      </items>
    </pivotField>
    <pivotField axis="axisRow" compact="0" allDrilled="1" outline="0" subtotalTop="0" showAll="0" dataSourceSort="1" defaultSubtotal="0" defaultAttributeDrillState="1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ubtotalTop="0" showAll="0" dataSourceSort="1" defaultSubtotal="0" defaultAttributeDrillState="1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ubtotalTop="0" showAll="0" dataSourceSort="1" defaultSubtotal="0" defaultAttributeDrillState="1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1"/>
    <field x="2"/>
    <field x="4"/>
    <field x="5"/>
  </rowFields>
  <rowItems count="14">
    <i>
      <x/>
    </i>
    <i r="1">
      <x/>
      <x/>
      <x/>
    </i>
    <i r="1">
      <x v="1"/>
      <x/>
      <x/>
    </i>
    <i r="1">
      <x v="2"/>
      <x/>
      <x/>
    </i>
    <i r="1">
      <x v="3"/>
      <x/>
      <x v="1"/>
    </i>
    <i>
      <x v="1"/>
    </i>
    <i r="1">
      <x v="4"/>
      <x v="1"/>
      <x/>
    </i>
    <i r="1">
      <x v="5"/>
      <x/>
      <x v="1"/>
    </i>
    <i r="1">
      <x v="6"/>
      <x/>
      <x v="1"/>
    </i>
    <i>
      <x v="2"/>
    </i>
    <i r="1">
      <x v="7"/>
      <x/>
      <x v="2"/>
    </i>
    <i>
      <x v="3"/>
    </i>
    <i r="1">
      <x v="8"/>
      <x/>
      <x v="1"/>
    </i>
    <i t="grand">
      <x/>
    </i>
  </rowItems>
  <colItems count="1">
    <i/>
  </colItems>
  <pageFields count="1">
    <pageField fld="0" hier="35" name="[MAESTRO_LOTES].[Estado].&amp;[Habilitación 2026]" cap="Habilitación 2026"/>
  </pageFields>
  <dataFields count="1">
    <dataField fld="3" subtotal="count" baseField="0" baseItem="0"/>
  </dataFields>
  <formats count="12">
    <format dxfId="136">
      <pivotArea dataOnly="0" labelOnly="1" outline="0" fieldPosition="0">
        <references count="1">
          <reference field="1" count="1">
            <x v="1"/>
          </reference>
        </references>
      </pivotArea>
    </format>
    <format dxfId="135">
      <pivotArea dataOnly="0" labelOnly="1" outline="0" fieldPosition="0">
        <references count="1">
          <reference field="1" count="1">
            <x v="2"/>
          </reference>
        </references>
      </pivotArea>
    </format>
    <format dxfId="134">
      <pivotArea dataOnly="0" labelOnly="1" outline="0" fieldPosition="0">
        <references count="1">
          <reference field="1" count="1">
            <x v="3"/>
          </reference>
        </references>
      </pivotArea>
    </format>
    <format dxfId="133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0"/>
          </reference>
          <reference field="4" count="1">
            <x v="0"/>
          </reference>
        </references>
      </pivotArea>
    </format>
    <format dxfId="132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"/>
          </reference>
          <reference field="4" count="1">
            <x v="0"/>
          </reference>
        </references>
      </pivotArea>
    </format>
    <format dxfId="131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2"/>
          </reference>
          <reference field="4" count="1">
            <x v="0"/>
          </reference>
        </references>
      </pivotArea>
    </format>
    <format dxfId="130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3"/>
          </reference>
          <reference field="4" count="1">
            <x v="0"/>
          </reference>
        </references>
      </pivotArea>
    </format>
    <format dxfId="129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4"/>
          </reference>
          <reference field="4" count="1">
            <x v="1"/>
          </reference>
        </references>
      </pivotArea>
    </format>
    <format dxfId="128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5"/>
          </reference>
          <reference field="4" count="1">
            <x v="0"/>
          </reference>
        </references>
      </pivotArea>
    </format>
    <format dxfId="127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6"/>
          </reference>
          <reference field="4" count="1">
            <x v="0"/>
          </reference>
        </references>
      </pivotArea>
    </format>
    <format dxfId="126">
      <pivotArea dataOnly="0" labelOnly="1" outline="0" fieldPosition="0">
        <references count="3">
          <reference field="1" count="1" selected="0">
            <x v="2"/>
          </reference>
          <reference field="2" count="1" selected="0">
            <x v="7"/>
          </reference>
          <reference field="4" count="1">
            <x v="0"/>
          </reference>
        </references>
      </pivotArea>
    </format>
    <format dxfId="125">
      <pivotArea dataOnly="0" labelOnly="1" outline="0" fieldPosition="0">
        <references count="3">
          <reference field="1" count="1" selected="0">
            <x v="3"/>
          </reference>
          <reference field="2" count="1" selected="0">
            <x v="8"/>
          </reference>
          <reference field="4" count="1">
            <x v="0"/>
          </reference>
        </references>
      </pivotArea>
    </format>
  </formats>
  <pivotHierarchies count="11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 caption="Has productivas"/>
    <pivotHierarchy dragToData="1" caption="Has totales"/>
    <pivotHierarchy dragToData="1"/>
    <pivotHierarchy dragToData="1"/>
    <pivotHierarchy dragToData="1" caption="Densidad"/>
    <pivotHierarchy dragToData="1" caption="Densidad"/>
    <pivotHierarchy dragToData="1"/>
  </pivotHierarchies>
  <pivotTableStyleInfo name="PivotStyleMedium9" showRowHeaders="1" showColHeaders="1" showRowStripes="0" showColStripes="0" showLastColumn="1"/>
  <rowHierarchiesUsage count="4">
    <rowHierarchyUsage hierarchyUsage="15"/>
    <rowHierarchyUsage hierarchyUsage="16"/>
    <rowHierarchyUsage hierarchyUsage="24"/>
    <rowHierarchyUsage hierarchyUsage="38"/>
  </row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>
        <x15:activeTabTopLevelEntity name="[MAESTRO_LOTES]"/>
        <x15:activeTabTopLevelEntity name="[Tabla13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3000000}" name="TablaDinámica2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C11:E23" firstHeaderRow="1" firstDataRow="1" firstDataCol="2" rowPageCount="2" colPageCount="1"/>
  <pivotFields count="37">
    <pivotField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89">
        <item x="18"/>
        <item x="19"/>
        <item x="20"/>
        <item x="41"/>
        <item x="42"/>
        <item x="43"/>
        <item x="59"/>
        <item x="60"/>
        <item x="21"/>
        <item x="22"/>
        <item x="17"/>
        <item x="49"/>
        <item x="44"/>
        <item x="45"/>
        <item x="50"/>
        <item x="83"/>
        <item x="58"/>
        <item x="52"/>
        <item x="53"/>
        <item x="64"/>
        <item x="65"/>
        <item x="66"/>
        <item x="46"/>
        <item x="47"/>
        <item x="48"/>
        <item x="51"/>
        <item x="54"/>
        <item x="55"/>
        <item x="56"/>
        <item x="57"/>
        <item x="61"/>
        <item x="62"/>
        <item x="63"/>
        <item x="8"/>
        <item x="9"/>
        <item x="10"/>
        <item x="84"/>
        <item x="36"/>
        <item x="37"/>
        <item x="38"/>
        <item x="39"/>
        <item x="4"/>
        <item x="5"/>
        <item x="6"/>
        <item x="7"/>
        <item x="14"/>
        <item x="15"/>
        <item x="16"/>
        <item x="75"/>
        <item x="76"/>
        <item x="67"/>
        <item x="68"/>
        <item x="69"/>
        <item x="40"/>
        <item x="0"/>
        <item x="1"/>
        <item x="2"/>
        <item x="3"/>
        <item x="11"/>
        <item x="12"/>
        <item x="13"/>
        <item x="77"/>
        <item x="78"/>
        <item x="70"/>
        <item x="71"/>
        <item x="23"/>
        <item x="24"/>
        <item x="25"/>
        <item x="26"/>
        <item x="27"/>
        <item x="28"/>
        <item x="33"/>
        <item x="34"/>
        <item x="35"/>
        <item x="32"/>
        <item x="79"/>
        <item x="81"/>
        <item x="82"/>
        <item x="29"/>
        <item x="30"/>
        <item x="31"/>
        <item x="80"/>
        <item x="74"/>
        <item x="87"/>
        <item x="85"/>
        <item x="72"/>
        <item x="73"/>
        <item x="86"/>
        <item t="default"/>
      </items>
    </pivotField>
    <pivotField axis="axisRow" outline="0" showAll="0" defaultSubtotal="0">
      <items count="11">
        <item x="6"/>
        <item x="2"/>
        <item m="1" x="10"/>
        <item x="4"/>
        <item x="7"/>
        <item x="0"/>
        <item x="3"/>
        <item x="5"/>
        <item x="1"/>
        <item x="9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/>
    <pivotField axis="axisPage" showAll="0">
      <items count="11">
        <item x="2"/>
        <item x="1"/>
        <item x="3"/>
        <item x="7"/>
        <item x="6"/>
        <item x="0"/>
        <item x="4"/>
        <item x="5"/>
        <item x="8"/>
        <item x="9"/>
        <item t="default"/>
      </items>
    </pivotField>
    <pivotField showAll="0"/>
    <pivotField showAll="0"/>
    <pivotField showAll="0"/>
    <pivotField showAll="0"/>
    <pivotField showAll="0"/>
    <pivotField numFmtId="43" showAll="0"/>
    <pivotField dataField="1" numFmtId="43" showAll="0"/>
    <pivotField numFmtId="43" showAll="0"/>
    <pivotField numFmtId="43" showAll="0"/>
    <pivotField numFmtId="165" showAll="0"/>
    <pivotField numFmtId="165" showAll="0"/>
    <pivotField numFmtId="165" showAll="0"/>
    <pivotField numFmtId="165" showAll="0"/>
    <pivotField showAll="0"/>
    <pivotField showAll="0"/>
    <pivotField axis="axisPage" showAll="0">
      <items count="6">
        <item m="1" x="4"/>
        <item x="2"/>
        <item x="3"/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dragToRow="0" dragToCol="0" dragToPage="0" showAll="0" defaultSubtotal="0"/>
  </pivotFields>
  <rowFields count="2">
    <field x="2"/>
    <field x="1"/>
  </rowFields>
  <rowItems count="12">
    <i>
      <x v="3"/>
      <x v="14"/>
    </i>
    <i r="1">
      <x v="25"/>
    </i>
    <i>
      <x v="8"/>
      <x v="3"/>
    </i>
    <i r="1">
      <x v="4"/>
    </i>
    <i r="1">
      <x v="5"/>
    </i>
    <i r="1">
      <x v="11"/>
    </i>
    <i r="1">
      <x v="12"/>
    </i>
    <i r="1">
      <x v="13"/>
    </i>
    <i r="1">
      <x v="22"/>
    </i>
    <i r="1">
      <x v="23"/>
    </i>
    <i r="1">
      <x v="24"/>
    </i>
    <i t="grand">
      <x/>
    </i>
  </rowItems>
  <colItems count="1">
    <i/>
  </colItems>
  <pageFields count="2">
    <pageField fld="4" item="4" hier="-1"/>
    <pageField fld="20" item="3" hier="-1"/>
  </pageFields>
  <dataFields count="1">
    <dataField name="Has Productivas " fld="1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4000000}" name="TablaDinámica8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3:C26" firstHeaderRow="1" firstDataRow="1" firstDataCol="2"/>
  <pivotFields count="37">
    <pivotField showAll="0"/>
    <pivotField showAll="0"/>
    <pivotField axis="axisRow" outline="0" showAll="0" defaultSubtotal="0">
      <items count="11">
        <item x="6"/>
        <item x="2"/>
        <item m="1" x="10"/>
        <item x="4"/>
        <item x="7"/>
        <item x="0"/>
        <item x="3"/>
        <item x="5"/>
        <item x="1"/>
        <item x="9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/>
    <pivotField axis="axisRow" showAll="0">
      <items count="11">
        <item x="2"/>
        <item x="1"/>
        <item x="3"/>
        <item x="7"/>
        <item x="6"/>
        <item x="0"/>
        <item x="4"/>
        <item x="5"/>
        <item x="8"/>
        <item x="9"/>
        <item t="default"/>
      </items>
    </pivotField>
    <pivotField showAll="0"/>
    <pivotField showAll="0"/>
    <pivotField showAll="0"/>
    <pivotField showAll="0"/>
    <pivotField showAll="0"/>
    <pivotField numFmtId="43" showAll="0"/>
    <pivotField dataField="1" numFmtId="43" showAll="0"/>
    <pivotField numFmtId="43" showAll="0"/>
    <pivotField numFmtId="43" showAll="0"/>
    <pivotField numFmtId="165" showAll="0"/>
    <pivotField numFmtId="165" showAll="0"/>
    <pivotField numFmtId="165" showAll="0"/>
    <pivotField numFmtId="165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dragToRow="0" dragToCol="0" dragToPage="0" showAll="0" defaultSubtotal="0"/>
  </pivotFields>
  <rowFields count="2">
    <field x="2"/>
    <field x="4"/>
  </rowFields>
  <rowItems count="23">
    <i>
      <x/>
      <x/>
    </i>
    <i r="1">
      <x v="2"/>
    </i>
    <i r="1">
      <x v="3"/>
    </i>
    <i r="1">
      <x v="7"/>
    </i>
    <i r="1">
      <x v="8"/>
    </i>
    <i>
      <x v="1"/>
      <x/>
    </i>
    <i r="1">
      <x v="2"/>
    </i>
    <i>
      <x v="3"/>
      <x v="2"/>
    </i>
    <i r="1">
      <x v="4"/>
    </i>
    <i r="1">
      <x v="8"/>
    </i>
    <i>
      <x v="4"/>
      <x v="3"/>
    </i>
    <i>
      <x v="5"/>
      <x/>
    </i>
    <i r="1">
      <x v="5"/>
    </i>
    <i>
      <x v="6"/>
      <x/>
    </i>
    <i r="1">
      <x v="3"/>
    </i>
    <i>
      <x v="7"/>
      <x v="6"/>
    </i>
    <i>
      <x v="8"/>
      <x v="1"/>
    </i>
    <i r="1">
      <x v="4"/>
    </i>
    <i r="1">
      <x v="7"/>
    </i>
    <i r="1">
      <x v="8"/>
    </i>
    <i>
      <x v="9"/>
      <x v="9"/>
    </i>
    <i>
      <x v="10"/>
      <x v="3"/>
    </i>
    <i t="grand">
      <x/>
    </i>
  </rowItems>
  <colItems count="1">
    <i/>
  </colItems>
  <dataFields count="1">
    <dataField name="Suma de Has Productivas" fld="1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5000000}" name="TablaDinámica3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3:B12" firstHeaderRow="1" firstDataRow="1" firstDataCol="2" rowPageCount="1" colPageCount="1"/>
  <pivotFields count="37">
    <pivotField showAll="0"/>
    <pivotField axis="axisRow" showAll="0">
      <items count="89">
        <item x="18"/>
        <item x="19"/>
        <item x="20"/>
        <item x="41"/>
        <item x="42"/>
        <item x="43"/>
        <item x="59"/>
        <item x="60"/>
        <item x="21"/>
        <item x="22"/>
        <item x="17"/>
        <item x="49"/>
        <item x="44"/>
        <item x="45"/>
        <item x="50"/>
        <item x="83"/>
        <item x="58"/>
        <item x="52"/>
        <item x="53"/>
        <item x="64"/>
        <item x="65"/>
        <item x="66"/>
        <item x="46"/>
        <item x="47"/>
        <item x="48"/>
        <item x="51"/>
        <item x="54"/>
        <item x="55"/>
        <item x="56"/>
        <item x="57"/>
        <item x="61"/>
        <item x="62"/>
        <item x="63"/>
        <item x="8"/>
        <item x="9"/>
        <item x="10"/>
        <item x="84"/>
        <item x="36"/>
        <item x="37"/>
        <item x="38"/>
        <item x="39"/>
        <item x="4"/>
        <item x="5"/>
        <item x="6"/>
        <item x="7"/>
        <item x="14"/>
        <item x="15"/>
        <item x="16"/>
        <item x="75"/>
        <item x="76"/>
        <item x="67"/>
        <item x="68"/>
        <item x="69"/>
        <item x="40"/>
        <item x="0"/>
        <item x="1"/>
        <item x="2"/>
        <item x="3"/>
        <item x="11"/>
        <item x="12"/>
        <item x="13"/>
        <item x="77"/>
        <item x="78"/>
        <item x="70"/>
        <item x="71"/>
        <item x="23"/>
        <item x="24"/>
        <item x="25"/>
        <item x="26"/>
        <item x="27"/>
        <item x="28"/>
        <item x="33"/>
        <item x="34"/>
        <item x="35"/>
        <item x="32"/>
        <item x="79"/>
        <item x="81"/>
        <item x="82"/>
        <item x="29"/>
        <item x="30"/>
        <item x="31"/>
        <item x="80"/>
        <item x="74"/>
        <item x="87"/>
        <item x="85"/>
        <item x="72"/>
        <item x="73"/>
        <item x="86"/>
        <item t="default"/>
      </items>
    </pivotField>
    <pivotField showAll="0"/>
    <pivotField showAll="0" defaultSubtotal="0"/>
    <pivotField axis="axisRow" showAll="0">
      <items count="11">
        <item h="1" x="2"/>
        <item h="1" x="1"/>
        <item h="1" x="3"/>
        <item x="7"/>
        <item h="1" x="6"/>
        <item h="1" x="0"/>
        <item h="1" x="4"/>
        <item h="1" x="5"/>
        <item h="1" x="8"/>
        <item h="1" x="9"/>
        <item t="default"/>
      </items>
    </pivotField>
    <pivotField showAll="0"/>
    <pivotField showAll="0"/>
    <pivotField showAll="0"/>
    <pivotField showAll="0"/>
    <pivotField showAll="0"/>
    <pivotField numFmtId="43" showAll="0"/>
    <pivotField numFmtId="43" showAll="0"/>
    <pivotField numFmtId="43" showAll="0"/>
    <pivotField numFmtId="43" showAll="0"/>
    <pivotField numFmtId="165" showAll="0"/>
    <pivotField numFmtId="165" showAll="0"/>
    <pivotField numFmtId="165" showAll="0"/>
    <pivotField numFmtId="165" showAll="0"/>
    <pivotField showAll="0"/>
    <pivotField showAll="0"/>
    <pivotField axis="axisPage" multipleItemSelectionAllowed="1" showAll="0">
      <items count="6">
        <item m="1" x="4"/>
        <item h="1" x="2"/>
        <item h="1" x="3"/>
        <item x="0"/>
        <item h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outline="0" showAll="0" defaultSubtotal="0">
      <items count="58">
        <item x="50"/>
        <item x="34"/>
        <item x="29"/>
        <item x="45"/>
        <item x="1"/>
        <item x="54"/>
        <item x="17"/>
        <item x="5"/>
        <item x="49"/>
        <item x="38"/>
        <item x="23"/>
        <item x="32"/>
        <item x="9"/>
        <item x="18"/>
        <item x="31"/>
        <item x="11"/>
        <item x="47"/>
        <item x="16"/>
        <item x="6"/>
        <item x="15"/>
        <item x="24"/>
        <item x="40"/>
        <item x="7"/>
        <item x="26"/>
        <item x="27"/>
        <item x="22"/>
        <item x="30"/>
        <item x="33"/>
        <item x="28"/>
        <item m="1" x="55"/>
        <item x="44"/>
        <item x="35"/>
        <item x="20"/>
        <item x="41"/>
        <item x="13"/>
        <item x="4"/>
        <item x="19"/>
        <item x="3"/>
        <item m="1" x="56"/>
        <item x="53"/>
        <item x="10"/>
        <item x="51"/>
        <item x="46"/>
        <item x="25"/>
        <item x="39"/>
        <item x="14"/>
        <item m="1" x="57"/>
        <item x="12"/>
        <item x="0"/>
        <item x="43"/>
        <item x="8"/>
        <item x="2"/>
        <item x="21"/>
        <item x="52"/>
        <item x="36"/>
        <item x="37"/>
        <item x="42"/>
        <item x="4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/>
    <pivotField showAll="0"/>
    <pivotField showAll="0" defaultSubtotal="0"/>
    <pivotField showAll="0"/>
    <pivotField dragToRow="0" dragToCol="0" dragToPage="0" showAll="0" defaultSubtotal="0"/>
  </pivotFields>
  <rowFields count="3">
    <field x="4"/>
    <field x="31"/>
    <field x="1"/>
  </rowFields>
  <rowItems count="9">
    <i>
      <x v="3"/>
    </i>
    <i r="1">
      <x v="9"/>
      <x v="28"/>
    </i>
    <i r="2">
      <x v="29"/>
    </i>
    <i r="1">
      <x v="21"/>
      <x v="6"/>
    </i>
    <i r="2">
      <x v="7"/>
    </i>
    <i r="1">
      <x v="44"/>
      <x v="16"/>
    </i>
    <i r="1">
      <x v="54"/>
      <x v="17"/>
    </i>
    <i r="2">
      <x v="18"/>
    </i>
    <i t="grand">
      <x/>
    </i>
  </rowItems>
  <colItems count="1">
    <i/>
  </colItems>
  <pageFields count="1">
    <pageField fld="20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6000000}" name="TablaDinámica1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3:A96" firstHeaderRow="1" firstDataRow="1" firstDataCol="1"/>
  <pivotFields count="37">
    <pivotField showAll="0"/>
    <pivotField axis="axisRow" showAll="0">
      <items count="89">
        <item x="18"/>
        <item x="19"/>
        <item x="20"/>
        <item x="41"/>
        <item x="42"/>
        <item x="43"/>
        <item x="59"/>
        <item x="60"/>
        <item x="21"/>
        <item x="22"/>
        <item x="17"/>
        <item x="49"/>
        <item x="44"/>
        <item x="45"/>
        <item x="50"/>
        <item x="83"/>
        <item x="58"/>
        <item x="52"/>
        <item x="53"/>
        <item x="64"/>
        <item x="65"/>
        <item x="66"/>
        <item x="46"/>
        <item x="47"/>
        <item x="48"/>
        <item x="51"/>
        <item x="54"/>
        <item x="55"/>
        <item x="56"/>
        <item x="57"/>
        <item x="61"/>
        <item x="62"/>
        <item x="63"/>
        <item x="8"/>
        <item x="9"/>
        <item x="10"/>
        <item x="84"/>
        <item x="36"/>
        <item x="37"/>
        <item x="38"/>
        <item x="39"/>
        <item x="4"/>
        <item x="5"/>
        <item x="6"/>
        <item x="7"/>
        <item x="14"/>
        <item x="15"/>
        <item x="16"/>
        <item x="75"/>
        <item x="76"/>
        <item x="67"/>
        <item x="68"/>
        <item x="69"/>
        <item x="40"/>
        <item x="0"/>
        <item x="1"/>
        <item x="2"/>
        <item x="3"/>
        <item x="11"/>
        <item x="12"/>
        <item x="13"/>
        <item x="77"/>
        <item x="78"/>
        <item x="70"/>
        <item x="71"/>
        <item x="23"/>
        <item x="24"/>
        <item x="25"/>
        <item x="26"/>
        <item x="27"/>
        <item x="28"/>
        <item x="33"/>
        <item x="34"/>
        <item x="35"/>
        <item x="32"/>
        <item x="79"/>
        <item x="81"/>
        <item x="82"/>
        <item x="29"/>
        <item x="30"/>
        <item x="31"/>
        <item x="80"/>
        <item x="74"/>
        <item x="87"/>
        <item x="85"/>
        <item x="72"/>
        <item x="73"/>
        <item x="86"/>
        <item t="default"/>
      </items>
    </pivotField>
    <pivotField showAll="0"/>
    <pivotField showAll="0" defaultSubtotal="0"/>
    <pivotField showAll="0"/>
    <pivotField showAll="0"/>
    <pivotField showAll="0"/>
    <pivotField showAll="0"/>
    <pivotField showAll="0"/>
    <pivotField showAll="0"/>
    <pivotField numFmtId="43" showAll="0"/>
    <pivotField numFmtId="43" showAll="0"/>
    <pivotField numFmtId="43" showAll="0"/>
    <pivotField numFmtId="43" showAll="0"/>
    <pivotField numFmtId="165" showAll="0"/>
    <pivotField numFmtId="165" showAll="0"/>
    <pivotField numFmtId="165" showAll="0"/>
    <pivotField numFmtId="165" showAll="0"/>
    <pivotField showAll="0"/>
    <pivotField showAll="0"/>
    <pivotField axis="axisRow" showAll="0">
      <items count="6">
        <item m="1" x="4"/>
        <item x="2"/>
        <item x="3"/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</pivotFields>
  <rowFields count="2">
    <field x="20"/>
    <field x="1"/>
  </rowFields>
  <rowItems count="93">
    <i>
      <x v="1"/>
    </i>
    <i r="1">
      <x v="26"/>
    </i>
    <i r="1">
      <x v="27"/>
    </i>
    <i>
      <x v="2"/>
    </i>
    <i r="1">
      <x v="15"/>
    </i>
    <i r="1">
      <x v="36"/>
    </i>
    <i r="1">
      <x v="50"/>
    </i>
    <i r="1">
      <x v="51"/>
    </i>
    <i r="1">
      <x v="82"/>
    </i>
    <i r="1">
      <x v="83"/>
    </i>
    <i r="1">
      <x v="84"/>
    </i>
    <i r="1">
      <x v="85"/>
    </i>
    <i r="1">
      <x v="86"/>
    </i>
    <i r="1">
      <x v="87"/>
    </i>
    <i>
      <x v="3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5"/>
    </i>
    <i r="1">
      <x v="76"/>
    </i>
    <i r="1">
      <x v="77"/>
    </i>
    <i r="1">
      <x v="78"/>
    </i>
    <i r="1">
      <x v="79"/>
    </i>
    <i r="1">
      <x v="80"/>
    </i>
    <i r="1">
      <x v="81"/>
    </i>
    <i>
      <x v="4"/>
    </i>
    <i r="1">
      <x v="74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7000000}" name="TablaDinámica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G5:G102" firstHeaderRow="1" firstDataRow="1" firstDataCol="1"/>
  <pivotFields count="3">
    <pivotField showAll="0"/>
    <pivotField axis="axisRow" showAll="0">
      <items count="8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79"/>
        <item x="15"/>
        <item x="16"/>
        <item x="17"/>
        <item x="18"/>
        <item x="19"/>
        <item x="20"/>
        <item x="21"/>
        <item x="22"/>
        <item x="23"/>
        <item x="24"/>
        <item x="77"/>
        <item x="78"/>
        <item x="25"/>
        <item x="26"/>
        <item x="27"/>
        <item x="28"/>
        <item x="29"/>
        <item x="30"/>
        <item x="31"/>
        <item x="32"/>
        <item x="80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81"/>
        <item x="82"/>
        <item x="83"/>
        <item x="84"/>
        <item x="85"/>
        <item x="86"/>
        <item t="default"/>
      </items>
    </pivotField>
    <pivotField axis="axisRow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</pivotFields>
  <rowFields count="2">
    <field x="2"/>
    <field x="1"/>
  </rowFields>
  <rowItems count="97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>
      <x v="2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>
      <x v="3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>
      <x v="4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>
      <x v="5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>
      <x v="6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7"/>
    </i>
    <i r="1">
      <x v="77"/>
    </i>
    <i r="1">
      <x v="78"/>
    </i>
    <i r="1">
      <x v="79"/>
    </i>
    <i r="1">
      <x v="80"/>
    </i>
    <i r="1">
      <x v="81"/>
    </i>
    <i r="1">
      <x v="82"/>
    </i>
    <i>
      <x v="8"/>
    </i>
    <i r="1">
      <x v="83"/>
    </i>
    <i r="1">
      <x v="84"/>
    </i>
    <i r="1">
      <x v="85"/>
    </i>
    <i r="1">
      <x v="86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8000000}" name="TablaDinámica3" cacheId="1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compact="0" compactData="0" multipleFieldFilters="0">
  <location ref="A3:F92" firstHeaderRow="0" firstDataRow="1" firstDataCol="4" rowPageCount="1" colPageCount="1"/>
  <pivotFields count="37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8">
        <item x="18"/>
        <item x="19"/>
        <item x="20"/>
        <item x="41"/>
        <item x="42"/>
        <item x="43"/>
        <item x="59"/>
        <item x="60"/>
        <item x="21"/>
        <item x="22"/>
        <item x="17"/>
        <item x="49"/>
        <item x="44"/>
        <item x="45"/>
        <item x="50"/>
        <item x="83"/>
        <item x="58"/>
        <item x="52"/>
        <item x="53"/>
        <item x="64"/>
        <item x="65"/>
        <item x="66"/>
        <item x="46"/>
        <item x="47"/>
        <item x="48"/>
        <item x="51"/>
        <item x="54"/>
        <item x="55"/>
        <item x="56"/>
        <item x="57"/>
        <item x="61"/>
        <item x="62"/>
        <item x="63"/>
        <item x="8"/>
        <item x="9"/>
        <item x="10"/>
        <item x="84"/>
        <item x="36"/>
        <item x="37"/>
        <item x="38"/>
        <item x="39"/>
        <item x="4"/>
        <item x="5"/>
        <item x="6"/>
        <item x="7"/>
        <item x="14"/>
        <item x="15"/>
        <item x="16"/>
        <item x="75"/>
        <item x="76"/>
        <item x="67"/>
        <item x="68"/>
        <item x="69"/>
        <item x="40"/>
        <item x="0"/>
        <item x="1"/>
        <item x="2"/>
        <item x="3"/>
        <item x="11"/>
        <item x="12"/>
        <item x="13"/>
        <item x="77"/>
        <item x="78"/>
        <item x="70"/>
        <item x="71"/>
        <item x="23"/>
        <item x="24"/>
        <item x="25"/>
        <item x="26"/>
        <item x="27"/>
        <item x="28"/>
        <item x="33"/>
        <item x="34"/>
        <item x="35"/>
        <item x="32"/>
        <item x="79"/>
        <item x="81"/>
        <item x="82"/>
        <item x="29"/>
        <item x="30"/>
        <item x="31"/>
        <item x="80"/>
        <item x="74"/>
        <item x="87"/>
        <item x="85"/>
        <item x="72"/>
        <item x="73"/>
        <item x="8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VARIEDAD " axis="axisRow" compact="0" outline="0" showAll="0" defaultSubtotal="0">
      <items count="11">
        <item x="6"/>
        <item x="2"/>
        <item m="1" x="10"/>
        <item x="4"/>
        <item x="7"/>
        <item x="0"/>
        <item x="3"/>
        <item x="5"/>
        <item x="1"/>
        <item x="9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0">
        <item x="2"/>
        <item x="1"/>
        <item x="3"/>
        <item x="7"/>
        <item x="6"/>
        <item x="0"/>
        <item x="4"/>
        <item x="5"/>
        <item x="8"/>
        <item x="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43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43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43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43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5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5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5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5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m="1" x="4"/>
        <item x="2"/>
        <item n="Próximas habilitaciones" x="3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0"/>
    <field x="2"/>
    <field x="1"/>
    <field x="4"/>
  </rowFields>
  <rowItems count="89">
    <i>
      <x v="1"/>
      <x v="10"/>
      <x v="26"/>
      <x v="3"/>
    </i>
    <i r="2">
      <x v="27"/>
      <x v="3"/>
    </i>
    <i>
      <x v="2"/>
      <x v="8"/>
      <x v="50"/>
      <x v="7"/>
    </i>
    <i r="2">
      <x v="51"/>
      <x v="7"/>
    </i>
    <i r="1">
      <x v="9"/>
      <x v="15"/>
      <x v="9"/>
    </i>
    <i r="2">
      <x v="36"/>
      <x v="9"/>
    </i>
    <i r="2">
      <x v="82"/>
      <x v="9"/>
    </i>
    <i r="2">
      <x v="83"/>
      <x v="9"/>
    </i>
    <i r="2">
      <x v="84"/>
      <x v="9"/>
    </i>
    <i r="2">
      <x v="85"/>
      <x v="9"/>
    </i>
    <i r="2">
      <x v="86"/>
      <x v="9"/>
    </i>
    <i r="2">
      <x v="87"/>
      <x v="9"/>
    </i>
    <i>
      <x v="3"/>
      <x/>
      <x v="6"/>
      <x v="3"/>
    </i>
    <i r="2">
      <x v="7"/>
      <x v="3"/>
    </i>
    <i r="2">
      <x v="19"/>
      <x/>
    </i>
    <i r="2">
      <x v="20"/>
      <x/>
    </i>
    <i r="2">
      <x v="21"/>
      <x/>
    </i>
    <i r="2">
      <x v="37"/>
      <x v="7"/>
    </i>
    <i r="2">
      <x v="38"/>
      <x v="7"/>
    </i>
    <i r="2">
      <x v="39"/>
      <x v="7"/>
    </i>
    <i r="2">
      <x v="40"/>
      <x v="7"/>
    </i>
    <i r="2">
      <x v="53"/>
      <x v="7"/>
    </i>
    <i r="2">
      <x v="71"/>
      <x v="2"/>
    </i>
    <i r="2">
      <x v="72"/>
      <x v="2"/>
    </i>
    <i r="2">
      <x v="73"/>
      <x v="2"/>
    </i>
    <i r="2">
      <x v="76"/>
      <x v="8"/>
    </i>
    <i r="2">
      <x v="77"/>
      <x v="8"/>
    </i>
    <i r="1">
      <x v="1"/>
      <x v="10"/>
      <x/>
    </i>
    <i r="2">
      <x v="65"/>
      <x v="2"/>
    </i>
    <i r="2">
      <x v="66"/>
      <x v="2"/>
    </i>
    <i r="2">
      <x v="67"/>
      <x v="2"/>
    </i>
    <i r="2">
      <x v="68"/>
      <x v="2"/>
    </i>
    <i r="2">
      <x v="69"/>
      <x v="2"/>
    </i>
    <i r="2">
      <x v="70"/>
      <x v="2"/>
    </i>
    <i r="1">
      <x v="3"/>
      <x v="14"/>
      <x v="4"/>
    </i>
    <i r="2">
      <x v="25"/>
      <x v="4"/>
    </i>
    <i r="2">
      <x v="75"/>
      <x v="8"/>
    </i>
    <i r="2">
      <x v="78"/>
      <x v="2"/>
    </i>
    <i r="2">
      <x v="79"/>
      <x v="2"/>
    </i>
    <i r="2">
      <x v="80"/>
      <x v="2"/>
    </i>
    <i r="2">
      <x v="81"/>
      <x v="8"/>
    </i>
    <i r="1">
      <x v="4"/>
      <x v="17"/>
      <x v="3"/>
    </i>
    <i r="2">
      <x v="18"/>
      <x v="3"/>
    </i>
    <i r="1">
      <x v="5"/>
      <x/>
      <x/>
    </i>
    <i r="2">
      <x v="1"/>
      <x/>
    </i>
    <i r="2">
      <x v="2"/>
      <x/>
    </i>
    <i r="2">
      <x v="30"/>
      <x v="5"/>
    </i>
    <i r="2">
      <x v="31"/>
      <x v="5"/>
    </i>
    <i r="2">
      <x v="41"/>
      <x v="5"/>
    </i>
    <i r="2">
      <x v="42"/>
      <x v="5"/>
    </i>
    <i r="2">
      <x v="43"/>
      <x v="5"/>
    </i>
    <i r="2">
      <x v="44"/>
      <x v="5"/>
    </i>
    <i r="2">
      <x v="54"/>
      <x v="5"/>
    </i>
    <i r="2">
      <x v="55"/>
      <x v="5"/>
    </i>
    <i r="2">
      <x v="56"/>
      <x v="5"/>
    </i>
    <i r="2">
      <x v="57"/>
      <x v="5"/>
    </i>
    <i r="1">
      <x v="6"/>
      <x v="8"/>
      <x/>
    </i>
    <i r="2">
      <x v="9"/>
      <x/>
    </i>
    <i r="2">
      <x v="10"/>
      <x/>
    </i>
    <i r="2">
      <x v="16"/>
      <x v="3"/>
    </i>
    <i r="2">
      <x v="28"/>
      <x v="3"/>
    </i>
    <i r="2">
      <x v="29"/>
      <x v="3"/>
    </i>
    <i r="1">
      <x v="8"/>
      <x v="3"/>
      <x v="4"/>
    </i>
    <i r="2">
      <x v="4"/>
      <x v="4"/>
    </i>
    <i r="2">
      <x v="5"/>
      <x v="4"/>
    </i>
    <i r="2">
      <x v="11"/>
      <x v="4"/>
    </i>
    <i r="2">
      <x v="12"/>
      <x v="4"/>
    </i>
    <i r="2">
      <x v="13"/>
      <x v="4"/>
    </i>
    <i r="2">
      <x v="22"/>
      <x v="4"/>
    </i>
    <i r="2">
      <x v="23"/>
      <x v="4"/>
    </i>
    <i r="2">
      <x v="24"/>
      <x v="4"/>
    </i>
    <i r="2">
      <x v="32"/>
      <x v="1"/>
    </i>
    <i r="2">
      <x v="33"/>
      <x v="1"/>
    </i>
    <i r="2">
      <x v="34"/>
      <x v="1"/>
    </i>
    <i r="2">
      <x v="35"/>
      <x v="1"/>
    </i>
    <i r="2">
      <x v="45"/>
      <x v="1"/>
    </i>
    <i r="2">
      <x v="46"/>
      <x v="1"/>
    </i>
    <i r="2">
      <x v="47"/>
      <x v="1"/>
    </i>
    <i r="2">
      <x v="48"/>
      <x v="8"/>
    </i>
    <i r="2">
      <x v="49"/>
      <x v="8"/>
    </i>
    <i r="2">
      <x v="52"/>
      <x v="7"/>
    </i>
    <i r="2">
      <x v="58"/>
      <x v="1"/>
    </i>
    <i r="2">
      <x v="59"/>
      <x v="1"/>
    </i>
    <i r="2">
      <x v="60"/>
      <x v="1"/>
    </i>
    <i r="2">
      <x v="61"/>
      <x v="8"/>
    </i>
    <i r="2">
      <x v="62"/>
      <x v="8"/>
    </i>
    <i r="2">
      <x v="63"/>
      <x v="8"/>
    </i>
    <i r="2">
      <x v="64"/>
      <x v="8"/>
    </i>
    <i>
      <x v="4"/>
      <x v="7"/>
      <x v="74"/>
      <x v="6"/>
    </i>
  </rowItems>
  <colFields count="1">
    <field x="-2"/>
  </colFields>
  <colItems count="2">
    <i>
      <x/>
    </i>
    <i i="1">
      <x v="1"/>
    </i>
  </colItems>
  <pageFields count="1">
    <pageField fld="8" item="0" hier="-1"/>
  </pageFields>
  <dataFields count="2">
    <dataField name="Has totales" fld="10" baseField="0" baseItem="0"/>
    <dataField name="Has productivas " fld="11" baseField="0" baseItem="0"/>
  </dataFields>
  <pivotTableStyleInfo name="PivotStyleMedium1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9000000}" name="TablaDinámica7" cacheId="3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compact="0" compactData="0" multipleFieldFilters="0">
  <location ref="A3:C71" firstHeaderRow="1" firstDataRow="1" firstDataCol="2" rowPageCount="1" colPageCount="1"/>
  <pivotFields count="39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9">
        <item x="19"/>
        <item x="20"/>
        <item x="21"/>
        <item x="41"/>
        <item x="42"/>
        <item x="43"/>
        <item x="59"/>
        <item x="60"/>
        <item x="22"/>
        <item x="18"/>
        <item x="17"/>
        <item x="49"/>
        <item x="44"/>
        <item x="45"/>
        <item x="50"/>
        <item x="83"/>
        <item x="58"/>
        <item x="52"/>
        <item x="53"/>
        <item x="64"/>
        <item x="65"/>
        <item x="66"/>
        <item x="46"/>
        <item x="47"/>
        <item x="48"/>
        <item x="51"/>
        <item x="54"/>
        <item x="55"/>
        <item x="56"/>
        <item x="57"/>
        <item x="61"/>
        <item x="62"/>
        <item x="63"/>
        <item x="8"/>
        <item x="9"/>
        <item x="10"/>
        <item x="84"/>
        <item x="36"/>
        <item x="37"/>
        <item x="38"/>
        <item x="39"/>
        <item x="4"/>
        <item x="5"/>
        <item x="6"/>
        <item x="7"/>
        <item x="14"/>
        <item x="15"/>
        <item x="16"/>
        <item x="75"/>
        <item x="76"/>
        <item x="67"/>
        <item x="68"/>
        <item x="69"/>
        <item x="40"/>
        <item x="0"/>
        <item x="1"/>
        <item x="2"/>
        <item x="3"/>
        <item x="11"/>
        <item x="12"/>
        <item x="13"/>
        <item x="77"/>
        <item x="78"/>
        <item x="32"/>
        <item x="70"/>
        <item x="71"/>
        <item x="23"/>
        <item x="24"/>
        <item x="25"/>
        <item x="26"/>
        <item x="27"/>
        <item x="28"/>
        <item x="33"/>
        <item x="34"/>
        <item x="35"/>
        <item m="1" x="88"/>
        <item x="79"/>
        <item x="81"/>
        <item x="82"/>
        <item x="29"/>
        <item x="30"/>
        <item x="31"/>
        <item x="80"/>
        <item x="74"/>
        <item x="87"/>
        <item x="85"/>
        <item x="72"/>
        <item x="73"/>
        <item x="8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0">
        <item x="6"/>
        <item x="3"/>
        <item x="4"/>
        <item x="8"/>
        <item x="7"/>
        <item x="0"/>
        <item x="9"/>
        <item x="2"/>
        <item x="5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43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43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43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43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5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5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5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5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8">
        <item m="1" x="5"/>
        <item h="1" x="1"/>
        <item h="1" m="1" x="4"/>
        <item x="0"/>
        <item m="1" x="6"/>
        <item x="3"/>
        <item h="1" m="1" x="7"/>
        <item h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3"/>
    <field x="2"/>
  </rowFields>
  <rowItems count="68">
    <i>
      <x/>
      <x v="6"/>
    </i>
    <i r="1">
      <x v="7"/>
    </i>
    <i r="1">
      <x v="19"/>
    </i>
    <i r="1">
      <x v="20"/>
    </i>
    <i r="1">
      <x v="21"/>
    </i>
    <i r="1">
      <x v="37"/>
    </i>
    <i r="1">
      <x v="38"/>
    </i>
    <i r="1">
      <x v="39"/>
    </i>
    <i r="1">
      <x v="40"/>
    </i>
    <i r="1">
      <x v="53"/>
    </i>
    <i r="1">
      <x v="72"/>
    </i>
    <i r="1">
      <x v="73"/>
    </i>
    <i r="1">
      <x v="74"/>
    </i>
    <i r="1">
      <x v="77"/>
    </i>
    <i r="1">
      <x v="78"/>
    </i>
    <i>
      <x v="1"/>
      <x v="66"/>
    </i>
    <i r="1">
      <x v="67"/>
    </i>
    <i r="1">
      <x v="68"/>
    </i>
    <i r="1">
      <x v="69"/>
    </i>
    <i r="1">
      <x v="70"/>
    </i>
    <i r="1">
      <x v="71"/>
    </i>
    <i>
      <x v="2"/>
      <x v="14"/>
    </i>
    <i r="1">
      <x v="25"/>
    </i>
    <i r="1">
      <x v="76"/>
    </i>
    <i r="1">
      <x v="82"/>
    </i>
    <i>
      <x v="3"/>
      <x v="17"/>
    </i>
    <i r="1">
      <x v="18"/>
    </i>
    <i>
      <x v="4"/>
      <x v="26"/>
    </i>
    <i r="1">
      <x v="27"/>
    </i>
    <i>
      <x v="5"/>
      <x/>
    </i>
    <i r="1">
      <x v="1"/>
    </i>
    <i r="1">
      <x v="2"/>
    </i>
    <i r="1">
      <x v="30"/>
    </i>
    <i r="1">
      <x v="31"/>
    </i>
    <i r="1">
      <x v="41"/>
    </i>
    <i r="1">
      <x v="42"/>
    </i>
    <i r="1">
      <x v="43"/>
    </i>
    <i r="1">
      <x v="44"/>
    </i>
    <i r="1">
      <x v="54"/>
    </i>
    <i r="1">
      <x v="55"/>
    </i>
    <i r="1">
      <x v="56"/>
    </i>
    <i r="1">
      <x v="57"/>
    </i>
    <i>
      <x v="7"/>
      <x v="8"/>
    </i>
    <i r="1">
      <x v="9"/>
    </i>
    <i r="1">
      <x v="10"/>
    </i>
    <i r="1">
      <x v="29"/>
    </i>
    <i>
      <x v="8"/>
      <x v="63"/>
    </i>
    <i r="1">
      <x v="74"/>
    </i>
    <i>
      <x v="9"/>
      <x v="11"/>
    </i>
    <i r="1">
      <x v="22"/>
    </i>
    <i r="1">
      <x v="23"/>
    </i>
    <i r="1">
      <x v="24"/>
    </i>
    <i r="1">
      <x v="33"/>
    </i>
    <i r="1">
      <x v="34"/>
    </i>
    <i r="1">
      <x v="35"/>
    </i>
    <i r="1">
      <x v="45"/>
    </i>
    <i r="1">
      <x v="46"/>
    </i>
    <i r="1">
      <x v="47"/>
    </i>
    <i r="1">
      <x v="48"/>
    </i>
    <i r="1">
      <x v="49"/>
    </i>
    <i r="1">
      <x v="52"/>
    </i>
    <i r="1">
      <x v="58"/>
    </i>
    <i r="1">
      <x v="59"/>
    </i>
    <i r="1">
      <x v="60"/>
    </i>
    <i r="1">
      <x v="61"/>
    </i>
    <i r="1">
      <x v="62"/>
    </i>
    <i r="1">
      <x v="65"/>
    </i>
    <i t="grand">
      <x/>
    </i>
  </rowItems>
  <colItems count="1">
    <i/>
  </colItems>
  <pageFields count="1">
    <pageField fld="21" hier="-1"/>
  </pageFields>
  <dataFields count="1">
    <dataField name="Has " fld="1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A000000}" name="TablaDinámica8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6">
  <location ref="F3:G6" firstHeaderRow="1" firstDataRow="1" firstDataCol="1"/>
  <pivotFields count="4">
    <pivotField showAll="0"/>
    <pivotField showAll="0"/>
    <pivotField axis="axisRow" showAll="0">
      <items count="5">
        <item m="1" x="3"/>
        <item m="1" x="2"/>
        <item x="0"/>
        <item x="1"/>
        <item t="default"/>
      </items>
    </pivotField>
    <pivotField dataField="1" showAll="0"/>
  </pivotFields>
  <rowFields count="1">
    <field x="2"/>
  </rowFields>
  <rowItems count="3">
    <i>
      <x v="2"/>
    </i>
    <i>
      <x v="3"/>
    </i>
    <i t="grand">
      <x/>
    </i>
  </rowItems>
  <colItems count="1">
    <i/>
  </colItems>
  <dataFields count="1">
    <dataField name="Suma de Has " fld="3" showDataAs="percentOfTotal" baseField="0" baseItem="0" numFmtId="9"/>
  </dataFields>
  <chartFormats count="3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B000000}" name="TablaDinámica3" cacheId="3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compact="0" compactData="0" multipleFieldFilters="0">
  <location ref="A3:C13" firstHeaderRow="1" firstDataRow="1" firstDataCol="2" rowPageCount="1" colPageCount="1"/>
  <pivotFields count="39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9">
        <item x="19"/>
        <item x="20"/>
        <item x="21"/>
        <item x="41"/>
        <item x="42"/>
        <item x="43"/>
        <item x="59"/>
        <item x="60"/>
        <item x="22"/>
        <item x="18"/>
        <item x="17"/>
        <item x="49"/>
        <item x="44"/>
        <item x="45"/>
        <item x="50"/>
        <item x="83"/>
        <item x="58"/>
        <item x="52"/>
        <item x="53"/>
        <item x="64"/>
        <item x="65"/>
        <item x="66"/>
        <item x="46"/>
        <item x="47"/>
        <item x="48"/>
        <item x="51"/>
        <item x="54"/>
        <item x="55"/>
        <item x="56"/>
        <item x="57"/>
        <item x="61"/>
        <item x="62"/>
        <item x="63"/>
        <item x="8"/>
        <item x="9"/>
        <item x="10"/>
        <item x="84"/>
        <item x="36"/>
        <item x="37"/>
        <item x="38"/>
        <item x="39"/>
        <item x="4"/>
        <item x="5"/>
        <item x="6"/>
        <item x="7"/>
        <item x="14"/>
        <item x="15"/>
        <item x="16"/>
        <item x="75"/>
        <item x="76"/>
        <item x="67"/>
        <item x="68"/>
        <item x="69"/>
        <item x="40"/>
        <item x="0"/>
        <item x="1"/>
        <item x="2"/>
        <item x="3"/>
        <item x="11"/>
        <item x="12"/>
        <item x="13"/>
        <item x="77"/>
        <item x="78"/>
        <item x="32"/>
        <item x="70"/>
        <item x="71"/>
        <item x="23"/>
        <item x="24"/>
        <item x="25"/>
        <item x="26"/>
        <item x="27"/>
        <item x="28"/>
        <item x="33"/>
        <item x="34"/>
        <item x="35"/>
        <item m="1" x="88"/>
        <item x="79"/>
        <item x="81"/>
        <item x="82"/>
        <item x="29"/>
        <item x="30"/>
        <item x="31"/>
        <item x="80"/>
        <item x="74"/>
        <item x="87"/>
        <item x="85"/>
        <item x="72"/>
        <item x="73"/>
        <item x="8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0">
        <item sd="0" x="6"/>
        <item sd="0" x="3"/>
        <item sd="0" x="4"/>
        <item sd="0" x="8"/>
        <item sd="0" x="7"/>
        <item sd="0" x="0"/>
        <item sd="0" x="9"/>
        <item sd="0" x="2"/>
        <item sd="0" x="1"/>
        <item sd="0"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43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43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43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43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5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5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5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5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8">
        <item m="1" x="5"/>
        <item h="1" x="1"/>
        <item h="1" m="1" x="4"/>
        <item x="0"/>
        <item m="1" x="6"/>
        <item x="3"/>
        <item h="1" m="1" x="7"/>
        <item h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3"/>
    <field x="2"/>
  </rowFields>
  <rowItems count="10">
    <i>
      <x/>
    </i>
    <i>
      <x v="1"/>
    </i>
    <i>
      <x v="2"/>
    </i>
    <i>
      <x v="3"/>
    </i>
    <i>
      <x v="4"/>
    </i>
    <i>
      <x v="5"/>
    </i>
    <i>
      <x v="7"/>
    </i>
    <i>
      <x v="8"/>
    </i>
    <i>
      <x v="9"/>
    </i>
    <i t="grand">
      <x/>
    </i>
  </rowItems>
  <colItems count="1">
    <i/>
  </colItems>
  <pageFields count="1">
    <pageField fld="21" hier="-1"/>
  </pageFields>
  <dataFields count="1">
    <dataField name="Suma de Has Productivas" fld="12" baseField="0" baseItem="0" numFmtId="2"/>
  </dataFields>
  <formats count="2">
    <format dxfId="112">
      <pivotArea outline="0" collapsedLevelsAreSubtotals="1" fieldPosition="0"/>
    </format>
    <format dxfId="111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E00-00000C000000}" name="TablaDinámica4" cacheId="3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compact="0" compactData="0" multipleFieldFilters="0">
  <location ref="A3:D82" firstHeaderRow="1" firstDataRow="1" firstDataCol="4" rowPageCount="1" colPageCount="1"/>
  <pivotFields count="39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9">
        <item x="19"/>
        <item x="20"/>
        <item x="21"/>
        <item x="41"/>
        <item x="42"/>
        <item x="43"/>
        <item x="59"/>
        <item x="60"/>
        <item x="22"/>
        <item x="18"/>
        <item x="17"/>
        <item x="49"/>
        <item x="44"/>
        <item x="45"/>
        <item x="50"/>
        <item x="83"/>
        <item x="58"/>
        <item x="52"/>
        <item x="53"/>
        <item x="64"/>
        <item x="65"/>
        <item x="66"/>
        <item x="46"/>
        <item x="47"/>
        <item x="48"/>
        <item x="51"/>
        <item x="54"/>
        <item x="55"/>
        <item x="56"/>
        <item x="57"/>
        <item x="61"/>
        <item x="62"/>
        <item x="63"/>
        <item x="8"/>
        <item x="9"/>
        <item x="10"/>
        <item x="84"/>
        <item x="36"/>
        <item x="37"/>
        <item x="38"/>
        <item x="39"/>
        <item x="4"/>
        <item x="5"/>
        <item x="6"/>
        <item x="7"/>
        <item x="14"/>
        <item x="15"/>
        <item x="16"/>
        <item x="75"/>
        <item x="76"/>
        <item x="67"/>
        <item x="68"/>
        <item x="69"/>
        <item x="40"/>
        <item x="0"/>
        <item x="1"/>
        <item x="2"/>
        <item x="3"/>
        <item x="11"/>
        <item x="12"/>
        <item x="13"/>
        <item x="77"/>
        <item x="78"/>
        <item x="32"/>
        <item x="70"/>
        <item x="71"/>
        <item x="23"/>
        <item x="24"/>
        <item x="25"/>
        <item x="26"/>
        <item x="27"/>
        <item x="28"/>
        <item x="33"/>
        <item x="34"/>
        <item x="35"/>
        <item m="1" x="88"/>
        <item x="79"/>
        <item x="81"/>
        <item x="82"/>
        <item x="29"/>
        <item x="30"/>
        <item x="31"/>
        <item x="80"/>
        <item x="74"/>
        <item x="87"/>
        <item x="85"/>
        <item x="72"/>
        <item x="73"/>
        <item x="8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0">
        <item x="6"/>
        <item x="3"/>
        <item x="4"/>
        <item x="8"/>
        <item x="7"/>
        <item x="0"/>
        <item x="9"/>
        <item x="2"/>
        <item x="5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">
        <item x="2"/>
        <item x="1"/>
        <item x="5"/>
        <item x="0"/>
        <item x="4"/>
        <item x="6"/>
        <item x="7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43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43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43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43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5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5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5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5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8">
        <item m="1" x="5"/>
        <item x="1"/>
        <item h="1" x="2"/>
        <item h="1" m="1" x="4"/>
        <item m="1" x="7"/>
        <item x="0"/>
        <item m="1" x="6"/>
        <item h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0">
        <item m="1" x="59"/>
        <item x="19"/>
        <item m="1" x="54"/>
        <item x="27"/>
        <item x="41"/>
        <item m="1" x="56"/>
        <item m="1" x="51"/>
        <item x="21"/>
        <item x="13"/>
        <item x="5"/>
        <item x="44"/>
        <item x="35"/>
        <item m="1" x="55"/>
        <item x="33"/>
        <item x="31"/>
        <item x="18"/>
        <item x="26"/>
        <item x="34"/>
        <item x="11"/>
        <item x="43"/>
        <item m="1" x="53"/>
        <item x="17"/>
        <item x="6"/>
        <item x="16"/>
        <item x="22"/>
        <item m="1" x="57"/>
        <item x="38"/>
        <item x="8"/>
        <item x="24"/>
        <item x="25"/>
        <item x="49"/>
        <item x="28"/>
        <item x="30"/>
        <item x="29"/>
        <item x="40"/>
        <item x="32"/>
        <item x="20"/>
        <item x="37"/>
        <item x="14"/>
        <item x="4"/>
        <item m="1" x="58"/>
        <item x="2"/>
        <item x="48"/>
        <item x="10"/>
        <item x="46"/>
        <item x="42"/>
        <item x="23"/>
        <item x="15"/>
        <item x="12"/>
        <item x="0"/>
        <item x="39"/>
        <item x="7"/>
        <item x="1"/>
        <item m="1" x="52"/>
        <item x="9"/>
        <item x="47"/>
        <item x="3"/>
        <item x="36"/>
        <item x="45"/>
        <item x="5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3"/>
    <field x="5"/>
    <field x="2"/>
    <field x="32"/>
  </rowFields>
  <rowItems count="79">
    <i>
      <x/>
      <x v="2"/>
      <x v="6"/>
      <x v="57"/>
    </i>
    <i r="2">
      <x v="7"/>
      <x v="57"/>
    </i>
    <i r="2">
      <x v="37"/>
      <x v="46"/>
    </i>
    <i r="2">
      <x v="38"/>
      <x v="46"/>
    </i>
    <i r="2">
      <x v="39"/>
      <x v="28"/>
    </i>
    <i r="2">
      <x v="40"/>
      <x v="29"/>
    </i>
    <i r="2">
      <x v="53"/>
      <x v="29"/>
    </i>
    <i r="1">
      <x v="3"/>
      <x v="19"/>
      <x v="34"/>
    </i>
    <i r="2">
      <x v="20"/>
      <x v="4"/>
    </i>
    <i r="2">
      <x v="21"/>
      <x v="45"/>
    </i>
    <i r="1">
      <x v="5"/>
      <x v="77"/>
      <x v="30"/>
    </i>
    <i r="2">
      <x v="78"/>
      <x v="30"/>
    </i>
    <i r="1">
      <x v="7"/>
      <x v="72"/>
      <x v="7"/>
    </i>
    <i r="2">
      <x v="73"/>
      <x v="7"/>
    </i>
    <i r="2">
      <x v="74"/>
      <x v="24"/>
    </i>
    <i>
      <x v="1"/>
      <x v="7"/>
      <x v="66"/>
      <x v="15"/>
    </i>
    <i r="2">
      <x v="67"/>
      <x v="15"/>
    </i>
    <i r="2">
      <x v="68"/>
      <x v="1"/>
    </i>
    <i r="2">
      <x v="69"/>
      <x v="1"/>
    </i>
    <i r="2">
      <x v="70"/>
      <x v="36"/>
    </i>
    <i r="2">
      <x v="71"/>
      <x v="36"/>
    </i>
    <i>
      <x v="2"/>
      <x/>
      <x v="14"/>
      <x v="35"/>
    </i>
    <i r="2">
      <x v="15"/>
      <x v="35"/>
    </i>
    <i r="1">
      <x v="1"/>
      <x v="25"/>
      <x v="13"/>
    </i>
    <i r="2">
      <x v="36"/>
      <x v="13"/>
    </i>
    <i r="1">
      <x v="5"/>
      <x v="50"/>
      <x v="19"/>
    </i>
    <i r="2">
      <x v="51"/>
      <x v="19"/>
    </i>
    <i r="2">
      <x v="76"/>
      <x v="42"/>
    </i>
    <i r="2">
      <x v="82"/>
      <x v="42"/>
    </i>
    <i r="2">
      <x v="83"/>
      <x v="58"/>
    </i>
    <i r="2">
      <x v="87"/>
      <x v="58"/>
    </i>
    <i>
      <x v="3"/>
      <x v="2"/>
      <x v="16"/>
      <x v="17"/>
    </i>
    <i r="2">
      <x v="17"/>
      <x v="17"/>
    </i>
    <i r="2">
      <x v="18"/>
      <x v="17"/>
    </i>
    <i>
      <x v="4"/>
      <x/>
      <x v="3"/>
      <x v="16"/>
    </i>
    <i r="2">
      <x v="4"/>
      <x v="16"/>
    </i>
    <i r="2">
      <x v="5"/>
      <x v="3"/>
    </i>
    <i r="2">
      <x v="13"/>
      <x v="31"/>
    </i>
    <i r="1">
      <x v="2"/>
      <x v="26"/>
      <x v="11"/>
    </i>
    <i r="2">
      <x v="27"/>
      <x v="11"/>
    </i>
    <i>
      <x v="5"/>
      <x/>
      <x/>
      <x v="38"/>
    </i>
    <i r="2">
      <x v="1"/>
      <x v="47"/>
    </i>
    <i r="2">
      <x v="2"/>
      <x v="23"/>
    </i>
    <i r="1">
      <x v="2"/>
      <x v="28"/>
      <x v="56"/>
    </i>
    <i r="1">
      <x v="3"/>
      <x v="30"/>
      <x v="37"/>
    </i>
    <i r="2">
      <x v="31"/>
      <x v="26"/>
    </i>
    <i r="2">
      <x v="32"/>
      <x v="50"/>
    </i>
    <i r="2">
      <x v="41"/>
      <x v="41"/>
    </i>
    <i r="2">
      <x v="42"/>
      <x v="56"/>
    </i>
    <i r="2">
      <x v="43"/>
      <x v="56"/>
    </i>
    <i r="2">
      <x v="44"/>
      <x v="39"/>
    </i>
    <i r="2">
      <x v="54"/>
      <x v="49"/>
    </i>
    <i r="2">
      <x v="55"/>
      <x v="49"/>
    </i>
    <i r="2">
      <x v="56"/>
      <x v="52"/>
    </i>
    <i r="2">
      <x v="57"/>
      <x v="52"/>
    </i>
    <i>
      <x v="7"/>
      <x/>
      <x v="8"/>
      <x v="21"/>
    </i>
    <i r="2">
      <x v="9"/>
      <x v="8"/>
    </i>
    <i r="2">
      <x v="10"/>
      <x v="48"/>
    </i>
    <i r="1">
      <x v="2"/>
      <x v="29"/>
      <x v="56"/>
    </i>
    <i>
      <x v="9"/>
      <x/>
      <x v="11"/>
      <x v="56"/>
    </i>
    <i r="1">
      <x v="1"/>
      <x v="22"/>
      <x v="33"/>
    </i>
    <i r="2">
      <x v="23"/>
      <x v="32"/>
    </i>
    <i r="2">
      <x v="24"/>
      <x v="14"/>
    </i>
    <i r="2">
      <x v="33"/>
      <x v="9"/>
    </i>
    <i r="2">
      <x v="34"/>
      <x v="22"/>
    </i>
    <i r="2">
      <x v="35"/>
      <x v="22"/>
    </i>
    <i r="2">
      <x v="45"/>
      <x v="54"/>
    </i>
    <i r="2">
      <x v="46"/>
      <x v="43"/>
    </i>
    <i r="2">
      <x v="47"/>
      <x v="18"/>
    </i>
    <i r="2">
      <x v="58"/>
      <x v="51"/>
    </i>
    <i r="2">
      <x v="59"/>
      <x v="51"/>
    </i>
    <i r="2">
      <x v="60"/>
      <x v="27"/>
    </i>
    <i r="1">
      <x v="5"/>
      <x v="52"/>
      <x v="10"/>
    </i>
    <i r="2">
      <x v="65"/>
      <x v="10"/>
    </i>
    <i r="1">
      <x v="7"/>
      <x v="48"/>
      <x v="44"/>
    </i>
    <i r="2">
      <x v="49"/>
      <x v="44"/>
    </i>
    <i r="2">
      <x v="61"/>
      <x v="55"/>
    </i>
    <i r="2">
      <x v="62"/>
      <x v="55"/>
    </i>
    <i t="grand">
      <x/>
    </i>
  </rowItems>
  <colItems count="1">
    <i/>
  </colItems>
  <pageFields count="1">
    <pageField fld="21" hier="-1"/>
  </pageFields>
  <pivotTableStyleInfo name="PivotStyleMedium1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C00-00000D000000}" name="TablaDinámica4" cacheId="4" applyNumberFormats="0" applyBorderFormats="0" applyFontFormats="0" applyPatternFormats="0" applyAlignmentFormats="0" applyWidthHeightFormats="1" dataCaption="Valores" tag="1936dafe-face-4ff8-858e-a22f7a2d9799" updatedVersion="8" minRefreshableVersion="3" itemPrintTitles="1" createdVersion="5" indent="0" compact="0" compactData="0" multipleFieldFilters="0">
  <location ref="G11:J17" firstHeaderRow="1" firstDataRow="1" firstDataCol="3" rowPageCount="1" colPageCount="1"/>
  <pivotFields count="5">
    <pivotField axis="axisRow" compact="0" allDrilled="1" outline="0" showAll="0" dataSourceSort="1" defaultSubtotal="0" defaultAttributeDrillState="1">
      <items count="5">
        <item x="0"/>
        <item x="1"/>
        <item x="2"/>
        <item x="3"/>
        <item x="4"/>
      </items>
    </pivotField>
    <pivotField dataField="1" compact="0" outline="0" showAll="0"/>
    <pivotField axis="axisPage" compact="0" allDrilled="1" outline="0" showAll="0" dataSourceSort="1" defaultSubtotal="0" defaultAttributeDrillState="1"/>
    <pivotField axis="axisRow" compact="0" allDrilled="1" outline="0" showAll="0" dataSourceSort="1" defaultSubtotal="0" defaultAttributeDrillState="1">
      <items count="1">
        <item x="0"/>
      </items>
    </pivotField>
    <pivotField axis="axisRow" compact="0" allDrilled="1" outline="0" showAll="0" dataSourceSort="1" defaultAttributeDrillState="1">
      <items count="2">
        <item x="0"/>
        <item t="default"/>
      </items>
    </pivotField>
  </pivotFields>
  <rowFields count="3">
    <field x="0"/>
    <field x="3"/>
    <field x="4"/>
  </rowFields>
  <rowItems count="6">
    <i>
      <x/>
      <x/>
      <x/>
    </i>
    <i>
      <x v="1"/>
      <x/>
      <x/>
    </i>
    <i>
      <x v="2"/>
      <x/>
      <x/>
    </i>
    <i>
      <x v="3"/>
      <x/>
      <x/>
    </i>
    <i>
      <x v="4"/>
      <x/>
      <x/>
    </i>
    <i t="grand">
      <x/>
    </i>
  </rowItems>
  <colItems count="1">
    <i/>
  </colItems>
  <pageFields count="1">
    <pageField fld="2" hier="57" name="[Primera_plantacion].[filtro].&amp;[x]" cap="x"/>
  </pageFields>
  <dataFields count="1">
    <dataField fld="1" subtotal="count" baseField="4" baseItem="0" numFmtId="172"/>
  </dataFields>
  <formats count="1">
    <format dxfId="48">
      <pivotArea outline="0" fieldPosition="0">
        <references count="1">
          <reference field="4294967294" count="1">
            <x v="0"/>
          </reference>
        </references>
      </pivotArea>
    </format>
  </formats>
  <pivotHierarchies count="11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Primera_plantacion].[filtro].&amp;[x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Medium10" showRowHeaders="1" showColHeaders="1" showRowStripes="0" showColStripes="0" showLastColumn="1"/>
  <rowHierarchiesUsage count="3">
    <rowHierarchyUsage hierarchyUsage="0"/>
    <rowHierarchyUsage hierarchyUsage="1"/>
    <rowHierarchyUsage hierarchyUsage="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AMPOS]"/>
        <x15:activeTabTopLevelEntity name="[Primera_plantacion]"/>
        <x15:activeTabTopLevelEntity name="[MAESTRO_LOTES_25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D00-00000E000000}" name="TablaDinámica3" cacheId="7" applyNumberFormats="0" applyBorderFormats="0" applyFontFormats="0" applyPatternFormats="0" applyAlignmentFormats="0" applyWidthHeightFormats="1" dataCaption="Valores" tag="ffba5fa0-169f-4318-9bc0-e524073adf7f" updatedVersion="8" minRefreshableVersion="3" useAutoFormatting="1" subtotalHiddenItems="1" itemPrintTitles="1" createdVersion="5" indent="0" compact="0" compactData="0" multipleFieldFilters="0">
  <location ref="B4:D21" firstHeaderRow="1" firstDataRow="1" firstDataCol="0"/>
  <pivotHierarchies count="11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>
        <x15:activeTabTopLevelEntity name="[MAESTRO_LOTES_25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E00-00000F000000}" name="TablaDinámica4" cacheId="5" applyNumberFormats="0" applyBorderFormats="0" applyFontFormats="0" applyPatternFormats="0" applyAlignmentFormats="0" applyWidthHeightFormats="1" dataCaption="Valores" tag="07c95505-51af-4a45-b8e7-b26b8e1cfe97" updatedVersion="8" minRefreshableVersion="3" useAutoFormatting="1" subtotalHiddenItems="1" itemPrintTitles="1" createdVersion="5" indent="0" compact="0" compactData="0" multipleFieldFilters="0">
  <location ref="B3:J68" firstHeaderRow="0" firstDataRow="1" firstDataCol="5"/>
  <pivotFields count="9">
    <pivotField axis="axisRow" compact="0" allDrilled="1" outline="0" showAll="0" dataSourceSort="1" defaultSubtotal="0" defaultAttributeDrillState="1">
      <items count="7">
        <item x="0"/>
        <item x="1"/>
        <item x="2"/>
        <item x="3"/>
        <item x="4"/>
        <item x="5"/>
        <item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howAll="0" dataSourceSort="1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howAll="0" dataSourceSort="1" defaultSubtotal="0" defaultAttributeDrillState="1">
      <items count="7">
        <item x="0"/>
        <item x="1"/>
        <item x="2"/>
        <item x="3"/>
        <item x="4"/>
        <item x="5"/>
        <item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howAll="0" dataSourceSort="1" defaultAttributeDrillState="1">
      <items count="5">
        <item x="0"/>
        <item x="1"/>
        <item x="2"/>
        <item x="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0"/>
    <field x="5"/>
    <field x="1"/>
    <field x="4"/>
    <field x="6"/>
  </rowFields>
  <rowItems count="65">
    <i>
      <x/>
      <x/>
      <x/>
      <x/>
      <x/>
    </i>
    <i r="3">
      <x v="1"/>
      <x/>
    </i>
    <i r="3">
      <x v="2"/>
      <x/>
    </i>
    <i r="3">
      <x v="3"/>
      <x/>
    </i>
    <i>
      <x v="1"/>
      <x v="1"/>
      <x v="1"/>
      <x v="2"/>
      <x/>
    </i>
    <i r="3">
      <x v="4"/>
      <x/>
    </i>
    <i r="2">
      <x v="2"/>
      <x/>
      <x v="1"/>
    </i>
    <i r="3">
      <x v="5"/>
      <x v="1"/>
    </i>
    <i r="3">
      <x v="1"/>
      <x v="1"/>
    </i>
    <i r="3">
      <x v="6"/>
      <x v="1"/>
    </i>
    <i r="3">
      <x v="2"/>
      <x v="1"/>
    </i>
    <i r="3">
      <x v="4"/>
      <x v="1"/>
    </i>
    <i>
      <x v="2"/>
      <x v="2"/>
      <x v="3"/>
      <x/>
      <x/>
    </i>
    <i r="3">
      <x v="5"/>
      <x/>
    </i>
    <i r="3">
      <x v="7"/>
      <x/>
    </i>
    <i r="3">
      <x v="8"/>
      <x/>
    </i>
    <i r="3">
      <x v="1"/>
      <x/>
    </i>
    <i r="3">
      <x v="6"/>
      <x/>
    </i>
    <i r="3">
      <x v="9"/>
      <x/>
    </i>
    <i r="3">
      <x v="10"/>
      <x/>
    </i>
    <i>
      <x v="3"/>
      <x v="3"/>
      <x v="4"/>
      <x/>
      <x/>
    </i>
    <i r="3">
      <x v="5"/>
      <x/>
    </i>
    <i r="3">
      <x v="7"/>
      <x/>
    </i>
    <i r="3">
      <x v="8"/>
      <x/>
    </i>
    <i r="3">
      <x v="1"/>
      <x/>
    </i>
    <i r="3">
      <x v="6"/>
      <x/>
    </i>
    <i r="3">
      <x v="9"/>
      <x/>
    </i>
    <i r="3">
      <x v="10"/>
      <x/>
    </i>
    <i r="3">
      <x v="2"/>
      <x/>
    </i>
    <i r="3">
      <x v="4"/>
      <x/>
    </i>
    <i r="3">
      <x v="11"/>
      <x/>
    </i>
    <i r="3">
      <x v="12"/>
      <x/>
    </i>
    <i r="3">
      <x v="3"/>
      <x/>
    </i>
    <i r="3">
      <x v="13"/>
      <x/>
    </i>
    <i r="3">
      <x v="14"/>
      <x/>
    </i>
    <i r="3">
      <x v="15"/>
      <x/>
    </i>
    <i>
      <x v="4"/>
      <x v="4"/>
      <x v="5"/>
      <x/>
      <x/>
    </i>
    <i r="3">
      <x v="5"/>
      <x/>
    </i>
    <i r="3">
      <x v="1"/>
      <x/>
    </i>
    <i r="3">
      <x v="6"/>
      <x/>
    </i>
    <i r="3">
      <x v="2"/>
      <x/>
    </i>
    <i r="3">
      <x v="4"/>
      <x/>
    </i>
    <i r="2">
      <x v="6"/>
      <x/>
      <x v="2"/>
    </i>
    <i r="3">
      <x v="5"/>
      <x v="2"/>
    </i>
    <i r="3">
      <x v="1"/>
      <x v="2"/>
    </i>
    <i r="3">
      <x v="6"/>
      <x v="2"/>
    </i>
    <i r="3">
      <x v="2"/>
      <x v="2"/>
    </i>
    <i r="3">
      <x v="4"/>
      <x v="2"/>
    </i>
    <i>
      <x v="5"/>
      <x v="5"/>
      <x v="7"/>
      <x v="1"/>
      <x v="1"/>
    </i>
    <i r="3">
      <x v="6"/>
      <x v="1"/>
    </i>
    <i r="3">
      <x v="2"/>
      <x v="1"/>
    </i>
    <i r="3">
      <x v="4"/>
      <x v="1"/>
    </i>
    <i>
      <x v="6"/>
      <x v="6"/>
      <x v="8"/>
      <x/>
      <x v="1"/>
    </i>
    <i r="3">
      <x v="5"/>
      <x v="1"/>
    </i>
    <i r="3">
      <x v="1"/>
      <x v="1"/>
    </i>
    <i r="3">
      <x v="6"/>
      <x v="1"/>
    </i>
    <i r="3">
      <x v="2"/>
      <x v="1"/>
    </i>
    <i r="3">
      <x v="4"/>
      <x v="1"/>
    </i>
    <i r="2">
      <x v="9"/>
      <x/>
      <x v="3"/>
    </i>
    <i r="3">
      <x v="5"/>
      <x v="3"/>
    </i>
    <i r="3">
      <x v="1"/>
      <x v="3"/>
    </i>
    <i r="3">
      <x v="6"/>
      <x v="3"/>
    </i>
    <i r="3">
      <x v="2"/>
      <x v="3"/>
    </i>
    <i r="3">
      <x v="4"/>
      <x v="3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fld="2" subtotal="count" baseField="0" baseItem="0"/>
    <dataField fld="3" subtotal="count" baseField="0" baseItem="0"/>
    <dataField fld="7" subtotal="count" baseField="0" baseItem="0"/>
    <dataField fld="8" subtotal="count" baseField="0" baseItem="0"/>
  </dataFields>
  <pivotHierarchies count="11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5">
    <rowHierarchyUsage hierarchyUsage="3"/>
    <rowHierarchyUsage hierarchyUsage="9"/>
    <rowHierarchyUsage hierarchyUsage="4"/>
    <rowHierarchyUsage hierarchyUsage="6"/>
    <rowHierarchyUsage hierarchyUsage="8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>
        <x15:activeTabTopLevelEntity name="[Datos_valvula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F00-000010000000}" name="TablaDinámica3" cacheId="6" applyNumberFormats="0" applyBorderFormats="0" applyFontFormats="0" applyPatternFormats="0" applyAlignmentFormats="0" applyWidthHeightFormats="1" dataCaption="Valores" tag="af6c2613-a1b2-4019-ac8f-d896d7b8598f" updatedVersion="8" minRefreshableVersion="3" useAutoFormatting="1" itemPrintTitles="1" createdVersion="5" indent="0" compact="0" compactData="0" multipleFieldFilters="0">
  <location ref="B3:E75" firstHeaderRow="0" firstDataRow="1" firstDataCol="2"/>
  <pivotFields count="4">
    <pivotField axis="axisRow" compact="0" allDrilled="1" outline="0" showAll="0" dataSourceSort="1" defaultSubtotal="0" defaultAttributeDrillState="1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howAll="0" dataSourceSort="1" defaultSubtotal="0" defaultAttributeDrillState="1">
      <items count="7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3"/>
  </rowFields>
  <rowItems count="72">
    <i>
      <x/>
      <x/>
    </i>
    <i r="1">
      <x v="1"/>
    </i>
    <i r="1">
      <x v="2"/>
    </i>
    <i r="1">
      <x v="3"/>
    </i>
    <i r="1">
      <x v="4"/>
    </i>
    <i r="1">
      <x v="5"/>
    </i>
    <i>
      <x v="1"/>
      <x v="6"/>
    </i>
    <i r="1">
      <x v="7"/>
    </i>
    <i>
      <x v="2"/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>
      <x v="3"/>
      <x v="23"/>
    </i>
    <i r="1">
      <x v="24"/>
    </i>
    <i>
      <x v="4"/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>
      <x v="5"/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>
      <x v="6"/>
      <x v="45"/>
    </i>
    <i r="1">
      <x v="46"/>
    </i>
    <i r="1">
      <x v="47"/>
    </i>
    <i r="1">
      <x v="48"/>
    </i>
    <i>
      <x v="7"/>
      <x v="49"/>
    </i>
    <i r="1">
      <x v="20"/>
    </i>
    <i>
      <x v="8"/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t="grand">
      <x/>
    </i>
  </rowItems>
  <colFields count="1">
    <field x="-2"/>
  </colFields>
  <colItems count="2">
    <i>
      <x/>
    </i>
    <i i="1">
      <x v="1"/>
    </i>
  </colItems>
  <dataFields count="2">
    <dataField fld="1" subtotal="count" baseField="0" baseItem="0" numFmtId="14"/>
    <dataField fld="2" subtotal="count" baseField="0" baseItem="3" numFmtId="14"/>
  </dataFields>
  <pivotHierarchies count="11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11"/>
    <rowHierarchyUsage hierarchyUsage="10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>
        <x15:activeTabTopLevelEntity name="[gantt_diario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Jefe_Campo" xr10:uid="{00000000-0013-0000-FFFF-FFFF01000000}" sourceName="Jefe Campo">
  <pivotTables>
    <pivotTable tabId="48" name="TablaDinámica3"/>
  </pivotTables>
  <data>
    <tabular pivotCacheId="1">
      <items count="10">
        <i x="2"/>
        <i x="1"/>
        <i x="3"/>
        <i x="7" s="1"/>
        <i x="6"/>
        <i x="0"/>
        <i x="5"/>
        <i x="8"/>
        <i x="4" nd="1"/>
        <i x="9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Jefe Campo" xr10:uid="{00000000-0014-0000-FFFF-FFFF01000000}" cache="SegmentaciónDeDatos_Jefe_Campo" caption="Jefe Campo" startItem="2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MAESTRO_LOTES_26" displayName="MAESTRO_LOTES_26" ref="A1:J93" totalsRowShown="0" headerRowDxfId="110" dataDxfId="108" headerRowBorderDxfId="109" totalsRowBorderDxfId="107">
  <autoFilter ref="A1:J93" xr:uid="{00000000-0009-0000-0100-000005000000}"/>
  <tableColumns count="10">
    <tableColumn id="38" xr3:uid="{00000000-0010-0000-0000-000026000000}" name="PEP" dataDxfId="106"/>
    <tableColumn id="1" xr3:uid="{00000000-0010-0000-0000-000001000000}" name="VARIEDAD" dataDxfId="105"/>
    <tableColumn id="2" xr3:uid="{00000000-0010-0000-0000-000002000000}" name="LOTE" dataDxfId="104"/>
    <tableColumn id="3" xr3:uid="{00000000-0010-0000-0000-000003000000}" name="VAR" dataDxfId="103"/>
    <tableColumn id="36" xr3:uid="{00000000-0010-0000-0000-000024000000}" name="FUNDO" dataDxfId="4"/>
    <tableColumn id="4" xr3:uid="{00000000-0010-0000-0000-000004000000}" name="Jefe Campo" dataDxfId="102"/>
    <tableColumn id="21" xr3:uid="{00000000-0010-0000-0000-000015000000}" name="Estado" dataDxfId="101"/>
    <tableColumn id="22" xr3:uid="{00000000-0010-0000-0000-000016000000}" name="Fecha plantación" dataDxfId="100"/>
    <tableColumn id="32" xr3:uid="{00000000-0010-0000-0000-000020000000}" name="Subgerente" dataDxfId="99"/>
    <tableColumn id="33" xr3:uid="{00000000-0010-0000-0000-000021000000}" name="CAMPO" dataDxfId="0"/>
  </tableColumns>
  <tableStyleInfo name="Estilo de tabla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la134" displayName="Tabla134" ref="A1:AJ90" totalsRowShown="0" headerRowDxfId="98" dataDxfId="96" headerRowBorderDxfId="97" totalsRowBorderDxfId="95">
  <autoFilter ref="A1:AJ90" xr:uid="{00000000-0009-0000-0100-000003000000}">
    <filterColumn colId="20">
      <filters>
        <filter val="Habilitación 2024"/>
        <filter val="Producción"/>
        <filter val="Test Block"/>
      </filters>
    </filterColumn>
  </autoFilter>
  <tableColumns count="36">
    <tableColumn id="1" xr3:uid="{00000000-0010-0000-0100-000001000000}" name="VARIEDAD" dataDxfId="94"/>
    <tableColumn id="2" xr3:uid="{00000000-0010-0000-0100-000002000000}" name="LOTE" dataDxfId="93"/>
    <tableColumn id="3" xr3:uid="{00000000-0010-0000-0100-000003000000}" name="VAR" dataDxfId="92"/>
    <tableColumn id="36" xr3:uid="{00000000-0010-0000-0100-000024000000}" name="FUNDO" dataDxfId="91">
      <calculatedColumnFormula>VLOOKUP(Tabla134[[#This Row],[VAR]],FUNDOS!$B$2:$C$18,2,FALSE)</calculatedColumnFormula>
    </tableColumn>
    <tableColumn id="4" xr3:uid="{00000000-0010-0000-0100-000004000000}" name="Jefe Campo" dataDxfId="90"/>
    <tableColumn id="5" xr3:uid="{00000000-0010-0000-0100-000005000000}" name="VAR-LOTE" dataDxfId="89">
      <calculatedColumnFormula>Tabla134[[#This Row],[VAR]]&amp;Tabla134[[#This Row],[LOTE]]</calculatedColumnFormula>
    </tableColumn>
    <tableColumn id="6" xr3:uid="{00000000-0010-0000-0100-000006000000}" name="PATRON" dataDxfId="88"/>
    <tableColumn id="7" xr3:uid="{00000000-0010-0000-0100-000007000000}" name="Casa comercial" dataDxfId="87"/>
    <tableColumn id="8" xr3:uid="{00000000-0010-0000-0100-000008000000}" name="AÑO" dataDxfId="86"/>
    <tableColumn id="9" xr3:uid="{00000000-0010-0000-0100-000009000000}" name="Densidades" dataDxfId="85"/>
    <tableColumn id="10" xr3:uid="{00000000-0010-0000-0100-00000A000000}" name="Total Has" dataDxfId="84">
      <calculatedColumnFormula>ROUND(O2/$J2,2)</calculatedColumnFormula>
    </tableColumn>
    <tableColumn id="11" xr3:uid="{00000000-0010-0000-0100-00000B000000}" name="Has Productivas" dataDxfId="83">
      <calculatedColumnFormula>ROUND(P2/$J2,2)</calculatedColumnFormula>
    </tableColumn>
    <tableColumn id="12" xr3:uid="{00000000-0010-0000-0100-00000C000000}" name="Has Formación" dataDxfId="82">
      <calculatedColumnFormula>ROUND(Q2/$J2,2)</calculatedColumnFormula>
    </tableColumn>
    <tableColumn id="13" xr3:uid="{00000000-0010-0000-0100-00000D000000}" name="Has Faltantes" dataDxfId="81">
      <calculatedColumnFormula>Tabla134[[#This Row],[Total Has]]-Tabla134[[#This Row],[Has Productivas]]-Tabla134[[#This Row],[Has Formación]]</calculatedColumnFormula>
    </tableColumn>
    <tableColumn id="15" xr3:uid="{00000000-0010-0000-0100-00000F000000}" name="Total Espacios" dataDxfId="80"/>
    <tableColumn id="16" xr3:uid="{00000000-0010-0000-0100-000010000000}" name="Pltas. Prod." dataDxfId="79"/>
    <tableColumn id="17" xr3:uid="{00000000-0010-0000-0100-000011000000}" name="Pltas Formación" dataDxfId="78"/>
    <tableColumn id="18" xr3:uid="{00000000-0010-0000-0100-000012000000}" name="Espacios vacíos" dataDxfId="77">
      <calculatedColumnFormula>Tabla134[[#This Row],[Total Espacios]]-Tabla134[[#This Row],[Pltas. Prod.]]-Tabla134[[#This Row],[Pltas Formación]]</calculatedColumnFormula>
    </tableColumn>
    <tableColumn id="19" xr3:uid="{00000000-0010-0000-0100-000013000000}" name="distancia_planta" dataDxfId="76"/>
    <tableColumn id="20" xr3:uid="{00000000-0010-0000-0100-000014000000}" name="distancia_calle" dataDxfId="75"/>
    <tableColumn id="21" xr3:uid="{00000000-0010-0000-0100-000015000000}" name="Estado" dataDxfId="74"/>
    <tableColumn id="22" xr3:uid="{00000000-0010-0000-0100-000016000000}" name="Fecha plantación" dataDxfId="73"/>
    <tableColumn id="23" xr3:uid="{00000000-0010-0000-0100-000017000000}" name="Edad" dataDxfId="72">
      <calculatedColumnFormula>IF(INT((TODAY()-Tabla134[[#This Row],[Fecha plantación]])/365)&gt;30,"",INT((TODAY()-Tabla134[[#This Row],[Fecha plantación]])/365))</calculatedColumnFormula>
    </tableColumn>
    <tableColumn id="24" xr3:uid="{00000000-0010-0000-0100-000018000000}" name="Tipo Parron" dataDxfId="71"/>
    <tableColumn id="25" xr3:uid="{00000000-0010-0000-0100-000019000000}" name="Fecha nacimiento" dataDxfId="70"/>
    <tableColumn id="26" xr3:uid="{00000000-0010-0000-0100-00001A000000}" name="Edad-Sup" dataDxfId="69"/>
    <tableColumn id="27" xr3:uid="{00000000-0010-0000-0100-00001B000000}" name="N° celular" dataDxfId="68">
      <calculatedColumnFormula>IFERROR(VLOOKUP(Tabla134[[#This Row],[Supervisor de lote]],'DATABASE DATOS SUP'!$B$2:$D$59,3,FALSE),"-")</calculatedColumnFormula>
    </tableColumn>
    <tableColumn id="28" xr3:uid="{00000000-0010-0000-0100-00001C000000}" name="Dirección" dataDxfId="67">
      <calculatedColumnFormula>IFERROR(VLOOKUP(Tabla134[[#This Row],[Supervisor de lote]],'DATABASE DATOS SUP'!$B$2:$E$59,4,FALSE),"-")</calculatedColumnFormula>
    </tableColumn>
    <tableColumn id="35" xr3:uid="{00000000-0010-0000-0100-000023000000}" name="Distrito/CP" dataDxfId="66">
      <calculatedColumnFormula>IFERROR(VLOOKUP(Tabla134[[#This Row],[Supervisor de lote]],Tabla1[],7,FALSE),"")</calculatedColumnFormula>
    </tableColumn>
    <tableColumn id="29" xr3:uid="{00000000-0010-0000-0100-00001D000000}" name="Nivel Educativo" dataDxfId="65">
      <calculatedColumnFormula>IFERROR(VLOOKUP(Tabla134[[#This Row],[Supervisor de lote]],'DATABASE DATOS SUP'!$B$2:$F$59,5,FALSE),"-")</calculatedColumnFormula>
    </tableColumn>
    <tableColumn id="30" xr3:uid="{00000000-0010-0000-0100-00001E000000}" name="Carrera" dataDxfId="64"/>
    <tableColumn id="31" xr3:uid="{00000000-0010-0000-0100-00001F000000}" name="Supervisor de lote" dataDxfId="63"/>
    <tableColumn id="32" xr3:uid="{00000000-0010-0000-0100-000020000000}" name="Subgerente" dataDxfId="62"/>
    <tableColumn id="14" xr3:uid="{00000000-0010-0000-0100-00000E000000}" name="Supervisor de sanidad" dataDxfId="61"/>
    <tableColumn id="34" xr3:uid="{00000000-0010-0000-0100-000022000000}" name="Supervisor de riego" dataDxfId="60"/>
    <tableColumn id="33" xr3:uid="{00000000-0010-0000-0100-000021000000}" name="CAMPO" dataDxfId="59"/>
  </tableColumns>
  <tableStyleInfo name="Estilo de tabla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Tabla1" displayName="Tabla1" ref="B1:H59" totalsRowShown="0" headerRowDxfId="58" dataDxfId="57" tableBorderDxfId="56">
  <autoFilter ref="B1:H59" xr:uid="{00000000-0009-0000-0100-000001000000}"/>
  <tableColumns count="7">
    <tableColumn id="1" xr3:uid="{00000000-0010-0000-0200-000001000000}" name="Supervisor de lote" dataDxfId="55"/>
    <tableColumn id="2" xr3:uid="{00000000-0010-0000-0200-000002000000}" name="Fecha nacimiento" dataDxfId="54"/>
    <tableColumn id="3" xr3:uid="{00000000-0010-0000-0200-000003000000}" name="CEL" dataDxfId="53"/>
    <tableColumn id="4" xr3:uid="{00000000-0010-0000-0200-000004000000}" name="Dirección" dataDxfId="52"/>
    <tableColumn id="5" xr3:uid="{00000000-0010-0000-0200-000005000000}" name="Nivel Educativo" dataDxfId="51"/>
    <tableColumn id="6" xr3:uid="{00000000-0010-0000-0200-000006000000}" name="Carrera" dataDxfId="50"/>
    <tableColumn id="7" xr3:uid="{00000000-0010-0000-0200-000007000000}" name="Distrito/CP" dataDxfId="49"/>
  </tableColumns>
  <tableStyleInfo name="Estilo de tabla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3000000}" name="Primera_plantacion" displayName="Primera_plantacion" ref="B1:E71" totalsRowShown="0" headerRowDxfId="47" headerRowBorderDxfId="46" tableBorderDxfId="45">
  <autoFilter ref="B1:E71" xr:uid="{00000000-0009-0000-0100-000007000000}"/>
  <tableColumns count="4">
    <tableColumn id="4" xr3:uid="{00000000-0010-0000-0300-000004000000}" name="Campo" dataDxfId="44"/>
    <tableColumn id="1" xr3:uid="{00000000-0010-0000-0300-000001000000}" name="LOTE" dataDxfId="43"/>
    <tableColumn id="2" xr3:uid="{00000000-0010-0000-0300-000002000000}" name="1ra plantacion" dataDxfId="42"/>
    <tableColumn id="3" xr3:uid="{00000000-0010-0000-0300-000003000000}" name="filtro">
      <calculatedColumnFormula>IF(LEN(Primera_plantacion[[#This Row],[1ra plantacion]])&gt;0,"x","")</calculatedColumnFormula>
    </tableColumn>
  </tableColumns>
  <tableStyleInfo name="Estilo de tabla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CAMPOS" displayName="CAMPOS" ref="G1:I6" totalsRowShown="0">
  <autoFilter ref="G1:I6" xr:uid="{00000000-0009-0000-0100-000008000000}"/>
  <tableColumns count="3">
    <tableColumn id="1" xr3:uid="{00000000-0010-0000-0400-000001000000}" name="Campos"/>
    <tableColumn id="2" xr3:uid="{00000000-0010-0000-0400-000002000000}" name="Tipo cultivo" dataDxfId="41"/>
    <tableColumn id="3" xr3:uid="{00000000-0010-0000-0400-000003000000}" name="Periodo siembra-cosecha" dataDxfId="40"/>
  </tableColumns>
  <tableStyleInfo name="TableStyleLight10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7000000}" name="Tabla13" displayName="Tabla13" ref="A1:AE90" totalsRowShown="0" headerRowDxfId="39" dataDxfId="37" headerRowBorderDxfId="38" totalsRowBorderDxfId="36">
  <autoFilter ref="A1:AE90" xr:uid="{00000000-0009-0000-0100-000002000000}">
    <filterColumn colId="3">
      <filters>
        <filter val="Fernando Fernández"/>
      </filters>
    </filterColumn>
  </autoFilter>
  <tableColumns count="31">
    <tableColumn id="1" xr3:uid="{00000000-0010-0000-0700-000001000000}" name="VARIEDAD" dataDxfId="35"/>
    <tableColumn id="2" xr3:uid="{00000000-0010-0000-0700-000002000000}" name="LOTE" dataDxfId="34"/>
    <tableColumn id="3" xr3:uid="{00000000-0010-0000-0700-000003000000}" name="VAR" dataDxfId="33"/>
    <tableColumn id="4" xr3:uid="{00000000-0010-0000-0700-000004000000}" name="Jefe Campo" dataDxfId="32"/>
    <tableColumn id="5" xr3:uid="{00000000-0010-0000-0700-000005000000}" name="VAR-LOTE" dataDxfId="31">
      <calculatedColumnFormula>Tabla13[[#This Row],[VAR]]&amp;Tabla13[[#This Row],[LOTE]]</calculatedColumnFormula>
    </tableColumn>
    <tableColumn id="6" xr3:uid="{00000000-0010-0000-0700-000006000000}" name="PATRON" dataDxfId="30"/>
    <tableColumn id="7" xr3:uid="{00000000-0010-0000-0700-000007000000}" name="Casa comercial" dataDxfId="29"/>
    <tableColumn id="8" xr3:uid="{00000000-0010-0000-0700-000008000000}" name="AÑO" dataDxfId="28"/>
    <tableColumn id="9" xr3:uid="{00000000-0010-0000-0700-000009000000}" name="Densidades" dataDxfId="27"/>
    <tableColumn id="10" xr3:uid="{00000000-0010-0000-0700-00000A000000}" name="Total Has" dataDxfId="26">
      <calculatedColumnFormula>ROUND(N2/$I2,2)</calculatedColumnFormula>
    </tableColumn>
    <tableColumn id="11" xr3:uid="{00000000-0010-0000-0700-00000B000000}" name="Has Productivas" dataDxfId="25">
      <calculatedColumnFormula>ROUND(O2/$I2,2)</calculatedColumnFormula>
    </tableColumn>
    <tableColumn id="12" xr3:uid="{00000000-0010-0000-0700-00000C000000}" name="Has Formación" dataDxfId="24">
      <calculatedColumnFormula>ROUND(P2/$I2,2)</calculatedColumnFormula>
    </tableColumn>
    <tableColumn id="13" xr3:uid="{00000000-0010-0000-0700-00000D000000}" name="Has Faltantes" dataDxfId="23">
      <calculatedColumnFormula>ROUND(Q2/$I2,2)</calculatedColumnFormula>
    </tableColumn>
    <tableColumn id="15" xr3:uid="{00000000-0010-0000-0700-00000F000000}" name="Total Espacios Censo" dataDxfId="22"/>
    <tableColumn id="16" xr3:uid="{00000000-0010-0000-0700-000010000000}" name="Pltas. Prod. Censo" dataDxfId="21"/>
    <tableColumn id="17" xr3:uid="{00000000-0010-0000-0700-000011000000}" name="Pltas Formación Censo" dataDxfId="20"/>
    <tableColumn id="18" xr3:uid="{00000000-0010-0000-0700-000012000000}" name="Espacios vacíos Censo" dataDxfId="19">
      <calculatedColumnFormula>Tabla13[[#This Row],[Total Espacios Censo]]-Tabla13[[#This Row],[Pltas. Prod. Censo]]-Tabla13[[#This Row],[Pltas Formación Censo]]</calculatedColumnFormula>
    </tableColumn>
    <tableColumn id="19" xr3:uid="{00000000-0010-0000-0700-000013000000}" name="distancia_planta" dataDxfId="18"/>
    <tableColumn id="20" xr3:uid="{00000000-0010-0000-0700-000014000000}" name="distancia_calle" dataDxfId="17"/>
    <tableColumn id="21" xr3:uid="{00000000-0010-0000-0700-000015000000}" name="Estado" dataDxfId="16"/>
    <tableColumn id="22" xr3:uid="{00000000-0010-0000-0700-000016000000}" name="Fecha plantación" dataDxfId="15"/>
    <tableColumn id="23" xr3:uid="{00000000-0010-0000-0700-000017000000}" name="Edad" dataDxfId="14"/>
    <tableColumn id="24" xr3:uid="{00000000-0010-0000-0700-000018000000}" name="Tipo Parron" dataDxfId="13"/>
    <tableColumn id="25" xr3:uid="{00000000-0010-0000-0700-000019000000}" name="Fecha nacimiento" dataDxfId="12"/>
    <tableColumn id="26" xr3:uid="{00000000-0010-0000-0700-00001A000000}" name="Edad-Sup" dataDxfId="11"/>
    <tableColumn id="27" xr3:uid="{00000000-0010-0000-0700-00001B000000}" name="N° celular" dataDxfId="10"/>
    <tableColumn id="28" xr3:uid="{00000000-0010-0000-0700-00001C000000}" name="Dirección" dataDxfId="9"/>
    <tableColumn id="29" xr3:uid="{00000000-0010-0000-0700-00001D000000}" name="Nivel Educativo" dataDxfId="8"/>
    <tableColumn id="30" xr3:uid="{00000000-0010-0000-0700-00001E000000}" name="Carrera" dataDxfId="7"/>
    <tableColumn id="31" xr3:uid="{00000000-0010-0000-0700-00001F000000}" name="Supervisor de lote" dataDxfId="6"/>
    <tableColumn id="32" xr3:uid="{00000000-0010-0000-0700-000020000000}" name="Subgerente" dataDxfId="5"/>
  </tableColumns>
  <tableStyleInfo name="Estilo de tabla 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10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Relationship Id="rId4" Type="http://schemas.openxmlformats.org/officeDocument/2006/relationships/drawing" Target="../drawings/drawing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ivotTable" Target="../pivotTables/pivotTable11.xml"/><Relationship Id="rId1" Type="http://schemas.openxmlformats.org/officeDocument/2006/relationships/pivotTable" Target="../pivotTables/pivot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3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ivotTable" Target="../pivotTables/pivotTable14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5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6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7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1"/>
  <dimension ref="A1:U91"/>
  <sheetViews>
    <sheetView topLeftCell="A90" zoomScale="80" zoomScaleNormal="80" workbookViewId="0">
      <selection activeCell="E90" sqref="E90"/>
    </sheetView>
  </sheetViews>
  <sheetFormatPr baseColWidth="10" defaultRowHeight="14.4" x14ac:dyDescent="0.3"/>
  <sheetData>
    <row r="1" spans="1:21" ht="25.8" x14ac:dyDescent="0.5">
      <c r="A1" s="17" t="s">
        <v>127</v>
      </c>
    </row>
    <row r="3" spans="1:21" ht="15.6" x14ac:dyDescent="0.3">
      <c r="A3" s="16" t="s">
        <v>114</v>
      </c>
      <c r="B3" s="16" t="s">
        <v>115</v>
      </c>
      <c r="C3" s="16" t="s">
        <v>140</v>
      </c>
      <c r="D3" s="16" t="s">
        <v>0</v>
      </c>
      <c r="E3" s="16" t="s">
        <v>118</v>
      </c>
      <c r="F3" s="16" t="s">
        <v>123</v>
      </c>
      <c r="G3" s="16" t="s">
        <v>124</v>
      </c>
      <c r="H3" s="16" t="s">
        <v>125</v>
      </c>
      <c r="I3" s="16" t="s">
        <v>141</v>
      </c>
      <c r="J3" s="16" t="s">
        <v>142</v>
      </c>
      <c r="K3" s="16" t="s">
        <v>143</v>
      </c>
      <c r="L3" s="16" t="s">
        <v>144</v>
      </c>
      <c r="M3" s="16" t="s">
        <v>119</v>
      </c>
      <c r="N3" s="16" t="s">
        <v>120</v>
      </c>
      <c r="O3" s="16" t="s">
        <v>121</v>
      </c>
      <c r="P3" s="16" t="s">
        <v>122</v>
      </c>
      <c r="Q3" s="16" t="s">
        <v>1</v>
      </c>
      <c r="R3" s="16" t="s">
        <v>2</v>
      </c>
      <c r="S3" s="16" t="s">
        <v>3</v>
      </c>
      <c r="T3" s="16" t="s">
        <v>4</v>
      </c>
      <c r="U3" s="16" t="s">
        <v>5</v>
      </c>
    </row>
    <row r="4" spans="1:21" x14ac:dyDescent="0.3">
      <c r="A4" s="9" t="s">
        <v>105</v>
      </c>
      <c r="B4" s="10" t="s">
        <v>6</v>
      </c>
      <c r="C4" s="10" t="str">
        <f>CONCATENATE(A4,B4)</f>
        <v>TIMPSONA04</v>
      </c>
      <c r="D4" s="4">
        <v>1780</v>
      </c>
      <c r="E4" s="2">
        <v>15.059999999999999</v>
      </c>
      <c r="F4" s="2">
        <v>15.03</v>
      </c>
      <c r="G4" s="2">
        <v>0.03</v>
      </c>
      <c r="H4" s="2">
        <v>0</v>
      </c>
      <c r="I4" s="2"/>
      <c r="J4" s="2" t="str">
        <f>IFERROR(VLOOKUP(C4,'23-24'!$C$4:$E$88,4,FALSE),"")</f>
        <v/>
      </c>
      <c r="K4" s="2"/>
      <c r="L4" s="2"/>
      <c r="M4" s="3">
        <v>26808</v>
      </c>
      <c r="N4" s="11">
        <v>26752</v>
      </c>
      <c r="O4" s="11">
        <v>52</v>
      </c>
      <c r="P4" s="11">
        <v>4</v>
      </c>
      <c r="Q4" s="2" t="s">
        <v>7</v>
      </c>
      <c r="R4" s="5">
        <v>2018</v>
      </c>
      <c r="S4" s="1" t="s">
        <v>8</v>
      </c>
      <c r="T4" s="1" t="s">
        <v>9</v>
      </c>
      <c r="U4" s="1" t="s">
        <v>10</v>
      </c>
    </row>
    <row r="5" spans="1:21" x14ac:dyDescent="0.3">
      <c r="A5" s="9" t="s">
        <v>105</v>
      </c>
      <c r="B5" s="10" t="s">
        <v>11</v>
      </c>
      <c r="C5" s="10" t="str">
        <f t="shared" ref="C5:C68" si="0">CONCATENATE(A5,B5)</f>
        <v>TIMPSONA05</v>
      </c>
      <c r="D5" s="4">
        <v>2132</v>
      </c>
      <c r="E5" s="2">
        <v>14.99</v>
      </c>
      <c r="F5" s="2">
        <v>14.86</v>
      </c>
      <c r="G5" s="2">
        <v>0.13</v>
      </c>
      <c r="H5" s="2">
        <v>0</v>
      </c>
      <c r="I5" s="2"/>
      <c r="J5" s="2" t="str">
        <f>IFERROR(VLOOKUP(C5,'23-24'!$C$4:$E$88,4,FALSE),"")</f>
        <v/>
      </c>
      <c r="K5" s="2"/>
      <c r="L5" s="2"/>
      <c r="M5" s="3">
        <v>31958</v>
      </c>
      <c r="N5" s="11">
        <v>31677</v>
      </c>
      <c r="O5" s="11">
        <v>274</v>
      </c>
      <c r="P5" s="11">
        <v>7</v>
      </c>
      <c r="Q5" s="2" t="s">
        <v>7</v>
      </c>
      <c r="R5" s="5">
        <v>2016</v>
      </c>
      <c r="S5" s="1" t="s">
        <v>12</v>
      </c>
      <c r="T5" s="1" t="s">
        <v>9</v>
      </c>
      <c r="U5" s="1" t="s">
        <v>10</v>
      </c>
    </row>
    <row r="6" spans="1:21" x14ac:dyDescent="0.3">
      <c r="A6" s="9" t="s">
        <v>105</v>
      </c>
      <c r="B6" s="10" t="s">
        <v>13</v>
      </c>
      <c r="C6" s="10" t="str">
        <f t="shared" si="0"/>
        <v>TIMPSONA06</v>
      </c>
      <c r="D6" s="4">
        <v>2132</v>
      </c>
      <c r="E6" s="2">
        <v>14.28</v>
      </c>
      <c r="F6" s="2">
        <v>14.03</v>
      </c>
      <c r="G6" s="2">
        <v>0.25</v>
      </c>
      <c r="H6" s="2">
        <v>0</v>
      </c>
      <c r="I6" s="2"/>
      <c r="J6" s="2" t="str">
        <f>IFERROR(VLOOKUP(C6,'23-24'!$C$4:$E$88,4,FALSE),"")</f>
        <v/>
      </c>
      <c r="K6" s="2"/>
      <c r="L6" s="2"/>
      <c r="M6" s="3">
        <v>30449</v>
      </c>
      <c r="N6" s="11">
        <v>29908</v>
      </c>
      <c r="O6" s="11">
        <v>523</v>
      </c>
      <c r="P6" s="11">
        <v>18</v>
      </c>
      <c r="Q6" s="2" t="s">
        <v>7</v>
      </c>
      <c r="R6" s="5">
        <v>2016</v>
      </c>
      <c r="S6" s="1" t="s">
        <v>12</v>
      </c>
      <c r="T6" s="1" t="s">
        <v>9</v>
      </c>
      <c r="U6" s="1" t="s">
        <v>10</v>
      </c>
    </row>
    <row r="7" spans="1:21" x14ac:dyDescent="0.3">
      <c r="A7" s="9" t="s">
        <v>105</v>
      </c>
      <c r="B7" s="10" t="s">
        <v>14</v>
      </c>
      <c r="C7" s="10" t="str">
        <f t="shared" si="0"/>
        <v>TIMPSONB05</v>
      </c>
      <c r="D7" s="4">
        <v>2132</v>
      </c>
      <c r="E7" s="2">
        <v>14.76</v>
      </c>
      <c r="F7" s="2">
        <v>14.67</v>
      </c>
      <c r="G7" s="2">
        <v>7.0000000000000007E-2</v>
      </c>
      <c r="H7" s="2">
        <v>1.9999999999999574E-2</v>
      </c>
      <c r="I7" s="2"/>
      <c r="J7" s="2" t="str">
        <f>IFERROR(VLOOKUP(C7,'23-24'!$C$4:$E$88,4,FALSE),"")</f>
        <v/>
      </c>
      <c r="K7" s="2"/>
      <c r="L7" s="2"/>
      <c r="M7" s="3">
        <v>31475</v>
      </c>
      <c r="N7" s="11">
        <v>31272</v>
      </c>
      <c r="O7" s="11">
        <v>151</v>
      </c>
      <c r="P7" s="11">
        <v>52</v>
      </c>
      <c r="Q7" s="2" t="s">
        <v>7</v>
      </c>
      <c r="R7" s="5">
        <v>2016</v>
      </c>
      <c r="S7" s="1" t="s">
        <v>12</v>
      </c>
      <c r="T7" s="1" t="s">
        <v>9</v>
      </c>
      <c r="U7" s="1" t="s">
        <v>10</v>
      </c>
    </row>
    <row r="8" spans="1:21" x14ac:dyDescent="0.3">
      <c r="A8" s="9" t="s">
        <v>105</v>
      </c>
      <c r="B8" s="10" t="s">
        <v>15</v>
      </c>
      <c r="C8" s="10" t="str">
        <f t="shared" si="0"/>
        <v>TIMPSONB06</v>
      </c>
      <c r="D8" s="4">
        <v>2132</v>
      </c>
      <c r="E8" s="2">
        <v>14.85</v>
      </c>
      <c r="F8" s="2">
        <v>14.73</v>
      </c>
      <c r="G8" s="2">
        <v>0.1</v>
      </c>
      <c r="H8" s="2">
        <v>1.9999999999999574E-2</v>
      </c>
      <c r="I8" s="2"/>
      <c r="J8" s="2" t="str">
        <f>IFERROR(VLOOKUP(C8,'23-24'!$C$4:$E$88,4,FALSE),"")</f>
        <v/>
      </c>
      <c r="K8" s="2"/>
      <c r="L8" s="2"/>
      <c r="M8" s="3">
        <v>31659</v>
      </c>
      <c r="N8" s="11">
        <v>31403</v>
      </c>
      <c r="O8" s="11">
        <v>223</v>
      </c>
      <c r="P8" s="11">
        <v>33</v>
      </c>
      <c r="Q8" s="2" t="s">
        <v>7</v>
      </c>
      <c r="R8" s="5">
        <v>2017</v>
      </c>
      <c r="S8" s="1" t="s">
        <v>12</v>
      </c>
      <c r="T8" s="1" t="s">
        <v>9</v>
      </c>
      <c r="U8" s="1" t="s">
        <v>10</v>
      </c>
    </row>
    <row r="9" spans="1:21" x14ac:dyDescent="0.3">
      <c r="A9" s="9" t="s">
        <v>105</v>
      </c>
      <c r="B9" s="10" t="s">
        <v>16</v>
      </c>
      <c r="C9" s="10" t="str">
        <f t="shared" si="0"/>
        <v>TIMPSONC04</v>
      </c>
      <c r="D9" s="4">
        <v>2070</v>
      </c>
      <c r="E9" s="2">
        <v>14.99</v>
      </c>
      <c r="F9" s="2">
        <v>14.97</v>
      </c>
      <c r="G9" s="2">
        <v>0.01</v>
      </c>
      <c r="H9" s="2">
        <v>9.9999999999997868E-3</v>
      </c>
      <c r="I9" s="2"/>
      <c r="J9" s="2" t="str">
        <f>IFERROR(VLOOKUP(C9,'23-24'!$C$4:$E$88,4,FALSE),"")</f>
        <v/>
      </c>
      <c r="K9" s="2"/>
      <c r="L9" s="2"/>
      <c r="M9" s="3">
        <v>31036</v>
      </c>
      <c r="N9" s="11">
        <v>30998</v>
      </c>
      <c r="O9" s="11">
        <v>25</v>
      </c>
      <c r="P9" s="11">
        <v>13</v>
      </c>
      <c r="Q9" s="2" t="s">
        <v>7</v>
      </c>
      <c r="R9" s="5">
        <v>2017</v>
      </c>
      <c r="S9" s="1" t="s">
        <v>12</v>
      </c>
      <c r="T9" s="1" t="s">
        <v>9</v>
      </c>
      <c r="U9" s="1" t="s">
        <v>10</v>
      </c>
    </row>
    <row r="10" spans="1:21" x14ac:dyDescent="0.3">
      <c r="A10" s="9" t="s">
        <v>105</v>
      </c>
      <c r="B10" s="10" t="s">
        <v>18</v>
      </c>
      <c r="C10" s="10" t="str">
        <f t="shared" si="0"/>
        <v>TIMPSONC05</v>
      </c>
      <c r="D10" s="4">
        <v>2070</v>
      </c>
      <c r="E10" s="2">
        <v>14.99</v>
      </c>
      <c r="F10" s="2">
        <v>14.98</v>
      </c>
      <c r="G10" s="2">
        <v>0.01</v>
      </c>
      <c r="H10" s="2">
        <v>0</v>
      </c>
      <c r="I10" s="2"/>
      <c r="J10" s="2" t="str">
        <f>IFERROR(VLOOKUP(C10,'23-24'!$C$4:$E$88,4,FALSE),"")</f>
        <v/>
      </c>
      <c r="K10" s="2"/>
      <c r="L10" s="2"/>
      <c r="M10" s="3">
        <v>31038</v>
      </c>
      <c r="N10" s="11">
        <v>31006</v>
      </c>
      <c r="O10" s="11">
        <v>15</v>
      </c>
      <c r="P10" s="11">
        <v>17</v>
      </c>
      <c r="Q10" s="2" t="s">
        <v>7</v>
      </c>
      <c r="R10" s="5">
        <v>2017</v>
      </c>
      <c r="S10" s="1" t="s">
        <v>12</v>
      </c>
      <c r="T10" s="1" t="s">
        <v>9</v>
      </c>
      <c r="U10" s="1" t="s">
        <v>10</v>
      </c>
    </row>
    <row r="11" spans="1:21" x14ac:dyDescent="0.3">
      <c r="A11" s="9" t="s">
        <v>105</v>
      </c>
      <c r="B11" s="10" t="s">
        <v>19</v>
      </c>
      <c r="C11" s="10" t="str">
        <f t="shared" si="0"/>
        <v>TIMPSONC06</v>
      </c>
      <c r="D11" s="4">
        <v>2070</v>
      </c>
      <c r="E11" s="2">
        <v>12.8</v>
      </c>
      <c r="F11" s="2">
        <v>12.71</v>
      </c>
      <c r="G11" s="2">
        <v>0.06</v>
      </c>
      <c r="H11" s="2">
        <v>2.9999999999999361E-2</v>
      </c>
      <c r="I11" s="2"/>
      <c r="J11" s="2" t="str">
        <f>IFERROR(VLOOKUP(C11,'23-24'!$C$4:$E$88,4,FALSE),"")</f>
        <v/>
      </c>
      <c r="K11" s="2"/>
      <c r="L11" s="2"/>
      <c r="M11" s="3">
        <v>26486</v>
      </c>
      <c r="N11" s="11">
        <v>26310</v>
      </c>
      <c r="O11" s="11">
        <v>125</v>
      </c>
      <c r="P11" s="11">
        <v>51</v>
      </c>
      <c r="Q11" s="2" t="s">
        <v>7</v>
      </c>
      <c r="R11" s="5">
        <v>2017</v>
      </c>
      <c r="S11" s="1" t="s">
        <v>12</v>
      </c>
      <c r="T11" s="1" t="s">
        <v>9</v>
      </c>
      <c r="U11" s="1" t="s">
        <v>10</v>
      </c>
    </row>
    <row r="12" spans="1:21" x14ac:dyDescent="0.3">
      <c r="A12" s="9" t="s">
        <v>105</v>
      </c>
      <c r="B12" s="10" t="s">
        <v>20</v>
      </c>
      <c r="C12" s="10" t="str">
        <f t="shared" si="0"/>
        <v>TIMPSOND01</v>
      </c>
      <c r="D12" s="4">
        <v>2132</v>
      </c>
      <c r="E12" s="2">
        <v>14.4</v>
      </c>
      <c r="F12" s="2">
        <v>14.35</v>
      </c>
      <c r="G12" s="2">
        <v>0.05</v>
      </c>
      <c r="H12" s="2">
        <v>0</v>
      </c>
      <c r="I12" s="2"/>
      <c r="J12" s="2" t="str">
        <f>IFERROR(VLOOKUP(C12,'23-24'!$C$4:$E$88,4,FALSE),"")</f>
        <v/>
      </c>
      <c r="K12" s="2"/>
      <c r="L12" s="2"/>
      <c r="M12" s="3">
        <v>30692</v>
      </c>
      <c r="N12" s="11">
        <v>30586</v>
      </c>
      <c r="O12" s="11">
        <v>100</v>
      </c>
      <c r="P12" s="11">
        <v>6</v>
      </c>
      <c r="Q12" s="2" t="s">
        <v>7</v>
      </c>
      <c r="R12" s="5">
        <v>2015</v>
      </c>
      <c r="S12" s="1" t="s">
        <v>12</v>
      </c>
      <c r="T12" s="1" t="s">
        <v>9</v>
      </c>
      <c r="U12" s="1" t="s">
        <v>133</v>
      </c>
    </row>
    <row r="13" spans="1:21" x14ac:dyDescent="0.3">
      <c r="A13" s="9" t="s">
        <v>105</v>
      </c>
      <c r="B13" s="10" t="s">
        <v>21</v>
      </c>
      <c r="C13" s="10" t="str">
        <f t="shared" si="0"/>
        <v>TIMPSOND02</v>
      </c>
      <c r="D13" s="4">
        <v>2132</v>
      </c>
      <c r="E13" s="2">
        <v>11.04</v>
      </c>
      <c r="F13" s="2">
        <v>10.89</v>
      </c>
      <c r="G13" s="2">
        <v>0.14000000000000001</v>
      </c>
      <c r="H13" s="2">
        <v>9.9999999999980105E-3</v>
      </c>
      <c r="I13" s="2"/>
      <c r="J13" s="2" t="str">
        <f>IFERROR(VLOOKUP(C13,'23-24'!$C$4:$E$88,4,FALSE),"")</f>
        <v/>
      </c>
      <c r="K13" s="2"/>
      <c r="L13" s="2"/>
      <c r="M13" s="3">
        <v>23531</v>
      </c>
      <c r="N13" s="11">
        <v>23225</v>
      </c>
      <c r="O13" s="11">
        <v>297</v>
      </c>
      <c r="P13" s="11">
        <v>9</v>
      </c>
      <c r="Q13" s="2" t="s">
        <v>7</v>
      </c>
      <c r="R13" s="5">
        <v>2015</v>
      </c>
      <c r="S13" s="1" t="s">
        <v>12</v>
      </c>
      <c r="T13" s="1" t="s">
        <v>9</v>
      </c>
      <c r="U13" s="1" t="s">
        <v>133</v>
      </c>
    </row>
    <row r="14" spans="1:21" x14ac:dyDescent="0.3">
      <c r="A14" s="9" t="s">
        <v>105</v>
      </c>
      <c r="B14" s="10" t="s">
        <v>22</v>
      </c>
      <c r="C14" s="10" t="str">
        <f t="shared" si="0"/>
        <v>TIMPSOND03</v>
      </c>
      <c r="D14" s="4">
        <v>2132</v>
      </c>
      <c r="E14" s="2">
        <v>14.87</v>
      </c>
      <c r="F14" s="2">
        <v>14.54</v>
      </c>
      <c r="G14" s="2">
        <v>0.12</v>
      </c>
      <c r="H14" s="2">
        <v>0.21000000000000085</v>
      </c>
      <c r="I14" s="2"/>
      <c r="J14" s="2" t="str">
        <f>IFERROR(VLOOKUP(C14,'23-24'!$C$4:$E$88,4,FALSE),"")</f>
        <v/>
      </c>
      <c r="K14" s="2"/>
      <c r="L14" s="2"/>
      <c r="M14" s="3">
        <v>31708</v>
      </c>
      <c r="N14" s="11">
        <v>30998</v>
      </c>
      <c r="O14" s="11">
        <v>263</v>
      </c>
      <c r="P14" s="11">
        <v>447</v>
      </c>
      <c r="Q14" s="2" t="s">
        <v>7</v>
      </c>
      <c r="R14" s="5">
        <v>2015</v>
      </c>
      <c r="S14" s="1" t="s">
        <v>12</v>
      </c>
      <c r="T14" s="1" t="s">
        <v>9</v>
      </c>
      <c r="U14" s="1" t="s">
        <v>133</v>
      </c>
    </row>
    <row r="15" spans="1:21" x14ac:dyDescent="0.3">
      <c r="A15" s="9" t="s">
        <v>105</v>
      </c>
      <c r="B15" s="10" t="s">
        <v>23</v>
      </c>
      <c r="C15" s="10" t="str">
        <f t="shared" si="0"/>
        <v>TIMPSOND04</v>
      </c>
      <c r="D15" s="4">
        <v>2070</v>
      </c>
      <c r="E15" s="2">
        <v>14.86</v>
      </c>
      <c r="F15" s="2">
        <v>14</v>
      </c>
      <c r="G15" s="2">
        <v>0</v>
      </c>
      <c r="H15" s="2">
        <v>0.86</v>
      </c>
      <c r="I15" s="2"/>
      <c r="J15" s="2" t="str">
        <f>IFERROR(VLOOKUP(C15,'23-24'!$C$4:$E$88,4,FALSE),"")</f>
        <v/>
      </c>
      <c r="K15" s="2"/>
      <c r="L15" s="2"/>
      <c r="M15" s="3">
        <v>30811</v>
      </c>
      <c r="N15" s="11">
        <v>29030</v>
      </c>
      <c r="O15" s="11">
        <v>10</v>
      </c>
      <c r="P15" s="11">
        <v>1771</v>
      </c>
      <c r="Q15" s="2" t="s">
        <v>7</v>
      </c>
      <c r="R15" s="5">
        <v>2016</v>
      </c>
      <c r="S15" s="1" t="s">
        <v>12</v>
      </c>
      <c r="T15" s="1" t="s">
        <v>9</v>
      </c>
      <c r="U15" s="1" t="s">
        <v>132</v>
      </c>
    </row>
    <row r="16" spans="1:21" x14ac:dyDescent="0.3">
      <c r="A16" s="9" t="s">
        <v>105</v>
      </c>
      <c r="B16" s="10" t="s">
        <v>24</v>
      </c>
      <c r="C16" s="10" t="str">
        <f t="shared" si="0"/>
        <v>TIMPSOND05</v>
      </c>
      <c r="D16" s="4">
        <v>2070</v>
      </c>
      <c r="E16" s="2">
        <v>13.17</v>
      </c>
      <c r="F16" s="2">
        <v>13.1</v>
      </c>
      <c r="G16" s="2">
        <v>0.06</v>
      </c>
      <c r="H16" s="2">
        <v>0.01</v>
      </c>
      <c r="I16" s="2"/>
      <c r="J16" s="2" t="str">
        <f>IFERROR(VLOOKUP(C16,'23-24'!$C$4:$E$88,4,FALSE),"")</f>
        <v/>
      </c>
      <c r="K16" s="2"/>
      <c r="L16" s="2"/>
      <c r="M16" s="3">
        <v>27243</v>
      </c>
      <c r="N16" s="11">
        <v>27101</v>
      </c>
      <c r="O16" s="11">
        <v>119</v>
      </c>
      <c r="P16" s="11">
        <v>23</v>
      </c>
      <c r="Q16" s="2" t="s">
        <v>7</v>
      </c>
      <c r="R16" s="5">
        <v>2017</v>
      </c>
      <c r="S16" s="1" t="s">
        <v>12</v>
      </c>
      <c r="T16" s="1" t="s">
        <v>9</v>
      </c>
      <c r="U16" s="1" t="s">
        <v>132</v>
      </c>
    </row>
    <row r="17" spans="1:21" x14ac:dyDescent="0.3">
      <c r="A17" s="9" t="s">
        <v>105</v>
      </c>
      <c r="B17" s="10" t="s">
        <v>25</v>
      </c>
      <c r="C17" s="10" t="str">
        <f t="shared" si="0"/>
        <v>TIMPSOND06</v>
      </c>
      <c r="D17" s="4">
        <v>2070</v>
      </c>
      <c r="E17" s="2">
        <v>14.88</v>
      </c>
      <c r="F17" s="2">
        <v>14.81</v>
      </c>
      <c r="G17" s="2">
        <v>0.05</v>
      </c>
      <c r="H17" s="2">
        <v>0.02</v>
      </c>
      <c r="I17" s="2"/>
      <c r="J17" s="2" t="str">
        <f>IFERROR(VLOOKUP(C17,'23-24'!$C$4:$E$88,4,FALSE),"")</f>
        <v/>
      </c>
      <c r="K17" s="2"/>
      <c r="L17" s="2"/>
      <c r="M17" s="3">
        <v>30810</v>
      </c>
      <c r="N17" s="11">
        <v>30661</v>
      </c>
      <c r="O17" s="11">
        <v>107</v>
      </c>
      <c r="P17" s="11">
        <v>42</v>
      </c>
      <c r="Q17" s="2" t="s">
        <v>7</v>
      </c>
      <c r="R17" s="5">
        <v>2016</v>
      </c>
      <c r="S17" s="1" t="s">
        <v>12</v>
      </c>
      <c r="T17" s="1" t="s">
        <v>9</v>
      </c>
      <c r="U17" s="1" t="s">
        <v>132</v>
      </c>
    </row>
    <row r="18" spans="1:21" x14ac:dyDescent="0.3">
      <c r="A18" s="9" t="s">
        <v>105</v>
      </c>
      <c r="B18" s="10" t="s">
        <v>26</v>
      </c>
      <c r="C18" s="10" t="str">
        <f t="shared" si="0"/>
        <v>TIMPSONE12</v>
      </c>
      <c r="D18" s="4">
        <v>1905</v>
      </c>
      <c r="E18" s="2">
        <v>12.621417322834645</v>
      </c>
      <c r="F18" s="2">
        <v>12.36</v>
      </c>
      <c r="G18" s="2">
        <v>2.7296587926509186E-2</v>
      </c>
      <c r="H18" s="2">
        <v>0.23412073490813648</v>
      </c>
      <c r="I18" s="2"/>
      <c r="J18" s="2" t="str">
        <f>IFERROR(VLOOKUP(C18,'23-24'!$C$4:$E$88,4,FALSE),"")</f>
        <v/>
      </c>
      <c r="K18" s="2"/>
      <c r="L18" s="2"/>
      <c r="M18" s="3">
        <v>24054</v>
      </c>
      <c r="N18" s="11">
        <v>23556</v>
      </c>
      <c r="O18" s="11">
        <v>52</v>
      </c>
      <c r="P18" s="11">
        <v>446</v>
      </c>
      <c r="Q18" s="2" t="s">
        <v>7</v>
      </c>
      <c r="R18" s="5">
        <v>2015</v>
      </c>
      <c r="S18" s="1" t="s">
        <v>8</v>
      </c>
      <c r="T18" s="1" t="s">
        <v>27</v>
      </c>
      <c r="U18" s="1" t="s">
        <v>28</v>
      </c>
    </row>
    <row r="19" spans="1:21" x14ac:dyDescent="0.3">
      <c r="A19" s="9" t="s">
        <v>105</v>
      </c>
      <c r="B19" s="10" t="s">
        <v>29</v>
      </c>
      <c r="C19" s="10" t="str">
        <f t="shared" si="0"/>
        <v>TIMPSONE13</v>
      </c>
      <c r="D19" s="4">
        <v>1905</v>
      </c>
      <c r="E19" s="2">
        <v>11.767427821522309</v>
      </c>
      <c r="F19" s="2">
        <v>10.79</v>
      </c>
      <c r="G19" s="2">
        <v>0.16692913385826771</v>
      </c>
      <c r="H19" s="2">
        <v>0.81049868766404198</v>
      </c>
      <c r="I19" s="2"/>
      <c r="J19" s="2" t="str">
        <f>IFERROR(VLOOKUP(C19,'23-24'!$C$4:$E$88,4,FALSE),"")</f>
        <v/>
      </c>
      <c r="K19" s="2"/>
      <c r="L19" s="2"/>
      <c r="M19" s="3">
        <v>22435</v>
      </c>
      <c r="N19" s="11">
        <v>20573</v>
      </c>
      <c r="O19" s="11">
        <v>318</v>
      </c>
      <c r="P19" s="11">
        <v>1544</v>
      </c>
      <c r="Q19" s="2" t="s">
        <v>7</v>
      </c>
      <c r="R19" s="5">
        <v>2017</v>
      </c>
      <c r="S19" s="1" t="s">
        <v>8</v>
      </c>
      <c r="T19" s="1" t="s">
        <v>27</v>
      </c>
      <c r="U19" s="1" t="s">
        <v>28</v>
      </c>
    </row>
    <row r="20" spans="1:21" x14ac:dyDescent="0.3">
      <c r="A20" s="9" t="s">
        <v>105</v>
      </c>
      <c r="B20" s="10" t="s">
        <v>30</v>
      </c>
      <c r="C20" s="10" t="str">
        <f t="shared" si="0"/>
        <v>TIMPSONE14</v>
      </c>
      <c r="D20" s="4">
        <v>1953</v>
      </c>
      <c r="E20" s="2">
        <v>16.302135176651309</v>
      </c>
      <c r="F20" s="2">
        <v>16.190000000000001</v>
      </c>
      <c r="G20" s="2">
        <v>6.502816180235535E-2</v>
      </c>
      <c r="H20" s="2">
        <v>4.7107014848950336E-2</v>
      </c>
      <c r="I20" s="2"/>
      <c r="J20" s="2" t="str">
        <f>IFERROR(VLOOKUP(C20,'23-24'!$C$4:$E$88,4,FALSE),"")</f>
        <v/>
      </c>
      <c r="K20" s="2"/>
      <c r="L20" s="2"/>
      <c r="M20" s="3">
        <v>31843</v>
      </c>
      <c r="N20" s="11">
        <v>31624</v>
      </c>
      <c r="O20" s="11">
        <v>127</v>
      </c>
      <c r="P20" s="11">
        <v>92</v>
      </c>
      <c r="Q20" s="2" t="s">
        <v>7</v>
      </c>
      <c r="R20" s="5">
        <v>2018</v>
      </c>
      <c r="S20" s="1" t="s">
        <v>8</v>
      </c>
      <c r="T20" s="1" t="s">
        <v>27</v>
      </c>
      <c r="U20" s="1" t="s">
        <v>28</v>
      </c>
    </row>
    <row r="21" spans="1:21" x14ac:dyDescent="0.3">
      <c r="A21" s="9" t="s">
        <v>105</v>
      </c>
      <c r="B21" s="10" t="s">
        <v>31</v>
      </c>
      <c r="C21" s="10" t="str">
        <f t="shared" si="0"/>
        <v>TIMPSONF12</v>
      </c>
      <c r="D21" s="4">
        <v>1905.1398337112623</v>
      </c>
      <c r="E21" s="2">
        <v>13.33</v>
      </c>
      <c r="F21" s="2">
        <v>13.23</v>
      </c>
      <c r="G21" s="2">
        <v>0.04</v>
      </c>
      <c r="H21" s="2">
        <v>6.0000000000000497E-2</v>
      </c>
      <c r="I21" s="2"/>
      <c r="J21" s="2" t="str">
        <f>IFERROR(VLOOKUP(C21,'23-24'!$C$4:$E$88,4,FALSE),"")</f>
        <v/>
      </c>
      <c r="K21" s="2"/>
      <c r="L21" s="2"/>
      <c r="M21" s="3">
        <v>25206</v>
      </c>
      <c r="N21" s="11">
        <v>25017</v>
      </c>
      <c r="O21" s="11">
        <v>81</v>
      </c>
      <c r="P21" s="11">
        <v>108</v>
      </c>
      <c r="Q21" s="2" t="s">
        <v>7</v>
      </c>
      <c r="R21" s="5">
        <v>2016</v>
      </c>
      <c r="S21" s="1" t="s">
        <v>8</v>
      </c>
      <c r="T21" s="1" t="s">
        <v>27</v>
      </c>
      <c r="U21" s="1" t="s">
        <v>28</v>
      </c>
    </row>
    <row r="22" spans="1:21" x14ac:dyDescent="0.3">
      <c r="A22" s="9" t="s">
        <v>105</v>
      </c>
      <c r="B22" s="10" t="s">
        <v>32</v>
      </c>
      <c r="C22" s="10" t="str">
        <f t="shared" si="0"/>
        <v>TIMPSONF13</v>
      </c>
      <c r="D22" s="4">
        <v>1953</v>
      </c>
      <c r="E22" s="2">
        <v>13.993584229390681</v>
      </c>
      <c r="F22" s="2">
        <v>13.99</v>
      </c>
      <c r="G22" s="2">
        <v>1.0240655401945725E-3</v>
      </c>
      <c r="H22" s="2">
        <v>2.5601638504864311E-3</v>
      </c>
      <c r="I22" s="2"/>
      <c r="J22" s="2" t="str">
        <f>IFERROR(VLOOKUP(C22,'23-24'!$C$4:$E$88,4,FALSE),"")</f>
        <v/>
      </c>
      <c r="K22" s="2"/>
      <c r="L22" s="2"/>
      <c r="M22" s="3">
        <v>27351</v>
      </c>
      <c r="N22" s="11">
        <v>27344</v>
      </c>
      <c r="O22" s="11">
        <v>2</v>
      </c>
      <c r="P22" s="11">
        <v>5</v>
      </c>
      <c r="Q22" s="2" t="s">
        <v>7</v>
      </c>
      <c r="R22" s="5">
        <v>2014</v>
      </c>
      <c r="S22" s="1" t="s">
        <v>8</v>
      </c>
      <c r="T22" s="1" t="s">
        <v>27</v>
      </c>
      <c r="U22" s="1" t="s">
        <v>28</v>
      </c>
    </row>
    <row r="23" spans="1:21" x14ac:dyDescent="0.3">
      <c r="A23" s="9" t="s">
        <v>105</v>
      </c>
      <c r="B23" s="10" t="s">
        <v>33</v>
      </c>
      <c r="C23" s="10" t="str">
        <f t="shared" si="0"/>
        <v>TIMPSONF05</v>
      </c>
      <c r="D23" s="4">
        <v>1953</v>
      </c>
      <c r="E23" s="2">
        <v>14.419999999999998</v>
      </c>
      <c r="F23" s="2">
        <v>14.37</v>
      </c>
      <c r="G23" s="2">
        <v>0.02</v>
      </c>
      <c r="H23" s="2">
        <v>0.03</v>
      </c>
      <c r="I23" s="2"/>
      <c r="J23" s="2" t="str">
        <f>IFERROR(VLOOKUP(C23,'23-24'!$C$4:$E$88,4,FALSE),"")</f>
        <v/>
      </c>
      <c r="K23" s="2"/>
      <c r="L23" s="2"/>
      <c r="M23" s="3">
        <v>28152</v>
      </c>
      <c r="N23" s="11">
        <v>28067</v>
      </c>
      <c r="O23" s="11">
        <v>32</v>
      </c>
      <c r="P23" s="11">
        <v>53</v>
      </c>
      <c r="Q23" s="2" t="s">
        <v>7</v>
      </c>
      <c r="R23" s="5">
        <v>2019</v>
      </c>
      <c r="S23" s="1" t="s">
        <v>12</v>
      </c>
      <c r="T23" s="1" t="s">
        <v>9</v>
      </c>
      <c r="U23" s="1" t="s">
        <v>132</v>
      </c>
    </row>
    <row r="24" spans="1:21" x14ac:dyDescent="0.3">
      <c r="A24" s="9" t="s">
        <v>105</v>
      </c>
      <c r="B24" s="10" t="s">
        <v>35</v>
      </c>
      <c r="C24" s="10" t="str">
        <f t="shared" si="0"/>
        <v>TIMPSONF06</v>
      </c>
      <c r="D24" s="4">
        <v>1953</v>
      </c>
      <c r="E24" s="2">
        <v>14.27</v>
      </c>
      <c r="F24" s="2">
        <v>14.26</v>
      </c>
      <c r="G24" s="2">
        <v>0</v>
      </c>
      <c r="H24" s="2">
        <v>0.01</v>
      </c>
      <c r="I24" s="2"/>
      <c r="J24" s="2" t="str">
        <f>IFERROR(VLOOKUP(C24,'23-24'!$C$4:$E$88,4,FALSE),"")</f>
        <v/>
      </c>
      <c r="K24" s="2"/>
      <c r="L24" s="2"/>
      <c r="M24" s="3">
        <v>27869</v>
      </c>
      <c r="N24" s="11">
        <v>27845</v>
      </c>
      <c r="O24" s="11">
        <v>9</v>
      </c>
      <c r="P24" s="11">
        <v>15</v>
      </c>
      <c r="Q24" s="2" t="s">
        <v>7</v>
      </c>
      <c r="R24" s="5">
        <v>2019</v>
      </c>
      <c r="S24" s="1" t="s">
        <v>12</v>
      </c>
      <c r="T24" s="1" t="s">
        <v>9</v>
      </c>
      <c r="U24" s="1" t="s">
        <v>132</v>
      </c>
    </row>
    <row r="25" spans="1:21" x14ac:dyDescent="0.3">
      <c r="A25" s="9" t="s">
        <v>105</v>
      </c>
      <c r="B25" s="10" t="s">
        <v>36</v>
      </c>
      <c r="C25" s="10" t="str">
        <f t="shared" si="0"/>
        <v>TIMPSONF07</v>
      </c>
      <c r="D25" s="4">
        <v>1953</v>
      </c>
      <c r="E25" s="2">
        <v>14.65</v>
      </c>
      <c r="F25" s="2">
        <v>14.63</v>
      </c>
      <c r="G25" s="2">
        <v>0.01</v>
      </c>
      <c r="H25" s="2">
        <v>0.01</v>
      </c>
      <c r="I25" s="2"/>
      <c r="J25" s="2" t="str">
        <f>IFERROR(VLOOKUP(C25,'23-24'!$C$4:$E$88,4,FALSE),"")</f>
        <v/>
      </c>
      <c r="K25" s="2"/>
      <c r="L25" s="2"/>
      <c r="M25" s="3">
        <v>28615</v>
      </c>
      <c r="N25" s="11">
        <v>28573</v>
      </c>
      <c r="O25" s="11">
        <v>16</v>
      </c>
      <c r="P25" s="11">
        <v>26</v>
      </c>
      <c r="Q25" s="2" t="s">
        <v>7</v>
      </c>
      <c r="R25" s="5">
        <v>2019</v>
      </c>
      <c r="S25" s="1" t="s">
        <v>12</v>
      </c>
      <c r="T25" s="1" t="s">
        <v>9</v>
      </c>
      <c r="U25" s="1" t="s">
        <v>132</v>
      </c>
    </row>
    <row r="26" spans="1:21" x14ac:dyDescent="0.3">
      <c r="A26" s="9" t="s">
        <v>105</v>
      </c>
      <c r="B26" s="10" t="s">
        <v>37</v>
      </c>
      <c r="C26" s="10" t="str">
        <f t="shared" si="0"/>
        <v>TIMPSONE05</v>
      </c>
      <c r="D26" s="4">
        <v>1780</v>
      </c>
      <c r="E26" s="2">
        <v>14.87</v>
      </c>
      <c r="F26" s="2">
        <v>14.58</v>
      </c>
      <c r="G26" s="2">
        <v>0.09</v>
      </c>
      <c r="H26" s="2">
        <v>0.2</v>
      </c>
      <c r="I26" s="2"/>
      <c r="J26" s="2" t="str">
        <f>IFERROR(VLOOKUP(C26,'23-24'!$C$4:$E$88,4,FALSE),"")</f>
        <v/>
      </c>
      <c r="K26" s="2"/>
      <c r="L26" s="2"/>
      <c r="M26" s="3">
        <v>26496</v>
      </c>
      <c r="N26" s="11">
        <v>25984</v>
      </c>
      <c r="O26" s="11">
        <v>156</v>
      </c>
      <c r="P26" s="11">
        <v>356</v>
      </c>
      <c r="Q26" s="2" t="s">
        <v>7</v>
      </c>
      <c r="R26" s="5">
        <v>2020</v>
      </c>
      <c r="S26" s="1" t="s">
        <v>12</v>
      </c>
      <c r="T26" s="1" t="s">
        <v>9</v>
      </c>
      <c r="U26" s="1" t="s">
        <v>132</v>
      </c>
    </row>
    <row r="27" spans="1:21" x14ac:dyDescent="0.3">
      <c r="A27" s="9" t="s">
        <v>105</v>
      </c>
      <c r="B27" s="10" t="s">
        <v>38</v>
      </c>
      <c r="C27" s="10" t="str">
        <f t="shared" si="0"/>
        <v>TIMPSONE06</v>
      </c>
      <c r="D27" s="4">
        <v>1780</v>
      </c>
      <c r="E27" s="2">
        <v>14.74</v>
      </c>
      <c r="F27" s="2">
        <v>14.67</v>
      </c>
      <c r="G27" s="2">
        <v>0.02</v>
      </c>
      <c r="H27" s="2">
        <v>0.05</v>
      </c>
      <c r="I27" s="2"/>
      <c r="J27" s="2" t="str">
        <f>IFERROR(VLOOKUP(C27,'23-24'!$C$4:$E$88,4,FALSE),"")</f>
        <v/>
      </c>
      <c r="K27" s="2"/>
      <c r="L27" s="2"/>
      <c r="M27" s="3">
        <v>26240</v>
      </c>
      <c r="N27" s="11">
        <v>26121</v>
      </c>
      <c r="O27" s="11">
        <v>35</v>
      </c>
      <c r="P27" s="11">
        <v>84</v>
      </c>
      <c r="Q27" s="2" t="s">
        <v>7</v>
      </c>
      <c r="R27" s="5">
        <v>2020</v>
      </c>
      <c r="S27" s="1" t="s">
        <v>12</v>
      </c>
      <c r="T27" s="1" t="s">
        <v>9</v>
      </c>
      <c r="U27" s="1" t="s">
        <v>132</v>
      </c>
    </row>
    <row r="28" spans="1:21" x14ac:dyDescent="0.3">
      <c r="A28" s="9" t="s">
        <v>105</v>
      </c>
      <c r="B28" s="10" t="s">
        <v>39</v>
      </c>
      <c r="C28" s="10" t="str">
        <f t="shared" si="0"/>
        <v>TIMPSONE07</v>
      </c>
      <c r="D28" s="4">
        <v>1780</v>
      </c>
      <c r="E28" s="2">
        <v>14.96</v>
      </c>
      <c r="F28" s="2">
        <v>14.88</v>
      </c>
      <c r="G28" s="2">
        <v>0.02</v>
      </c>
      <c r="H28" s="2">
        <v>0.06</v>
      </c>
      <c r="I28" s="2"/>
      <c r="J28" s="2" t="str">
        <f>IFERROR(VLOOKUP(C28,'23-24'!$C$4:$E$88,4,FALSE),"")</f>
        <v/>
      </c>
      <c r="K28" s="2"/>
      <c r="L28" s="2"/>
      <c r="M28" s="3">
        <v>26634</v>
      </c>
      <c r="N28" s="11">
        <v>26482</v>
      </c>
      <c r="O28" s="11">
        <v>40</v>
      </c>
      <c r="P28" s="11">
        <v>112</v>
      </c>
      <c r="Q28" s="2" t="s">
        <v>7</v>
      </c>
      <c r="R28" s="5">
        <v>2020</v>
      </c>
      <c r="S28" s="1" t="s">
        <v>12</v>
      </c>
      <c r="T28" s="1" t="s">
        <v>9</v>
      </c>
      <c r="U28" s="1" t="s">
        <v>132</v>
      </c>
    </row>
    <row r="29" spans="1:21" x14ac:dyDescent="0.3">
      <c r="A29" s="9" t="s">
        <v>105</v>
      </c>
      <c r="B29" s="10" t="s">
        <v>40</v>
      </c>
      <c r="C29" s="10" t="str">
        <f t="shared" si="0"/>
        <v>TIMPSONE08</v>
      </c>
      <c r="D29" s="4">
        <v>1780</v>
      </c>
      <c r="E29" s="2">
        <v>13.726404494382024</v>
      </c>
      <c r="F29" s="2">
        <v>13.55</v>
      </c>
      <c r="G29" s="2">
        <f t="shared" ref="G29:H32" si="1">O29/$D29</f>
        <v>0.11404494382022472</v>
      </c>
      <c r="H29" s="2">
        <f t="shared" si="1"/>
        <v>6.2359550561797754E-2</v>
      </c>
      <c r="I29" s="2"/>
      <c r="J29" s="2" t="str">
        <f>IFERROR(VLOOKUP(C29,'23-24'!$C$4:$E$88,4,FALSE),"")</f>
        <v/>
      </c>
      <c r="K29" s="2"/>
      <c r="L29" s="2"/>
      <c r="M29" s="3">
        <v>24434</v>
      </c>
      <c r="N29" s="11">
        <v>24120</v>
      </c>
      <c r="O29" s="11">
        <v>203</v>
      </c>
      <c r="P29" s="11">
        <v>111</v>
      </c>
      <c r="Q29" s="2" t="s">
        <v>7</v>
      </c>
      <c r="R29" s="5">
        <v>2020</v>
      </c>
      <c r="S29" s="1" t="s">
        <v>12</v>
      </c>
      <c r="T29" s="1" t="s">
        <v>27</v>
      </c>
      <c r="U29" s="1" t="s">
        <v>34</v>
      </c>
    </row>
    <row r="30" spans="1:21" x14ac:dyDescent="0.3">
      <c r="A30" s="9" t="s">
        <v>105</v>
      </c>
      <c r="B30" s="10" t="s">
        <v>41</v>
      </c>
      <c r="C30" s="10" t="str">
        <f t="shared" si="0"/>
        <v>TIMPSONE09</v>
      </c>
      <c r="D30" s="4">
        <v>1780</v>
      </c>
      <c r="E30" s="2">
        <v>12.292808988764046</v>
      </c>
      <c r="F30" s="2">
        <v>12.14</v>
      </c>
      <c r="G30" s="2">
        <f t="shared" si="1"/>
        <v>6.0112359550561795E-2</v>
      </c>
      <c r="H30" s="2">
        <f t="shared" si="1"/>
        <v>9.269662921348315E-2</v>
      </c>
      <c r="I30" s="2"/>
      <c r="J30" s="2" t="str">
        <f>IFERROR(VLOOKUP(C30,'23-24'!$C$4:$E$88,4,FALSE),"")</f>
        <v/>
      </c>
      <c r="K30" s="2"/>
      <c r="L30" s="2"/>
      <c r="M30" s="3">
        <v>21876</v>
      </c>
      <c r="N30" s="11">
        <v>21604</v>
      </c>
      <c r="O30" s="11">
        <v>107</v>
      </c>
      <c r="P30" s="11">
        <v>165</v>
      </c>
      <c r="Q30" s="2" t="s">
        <v>7</v>
      </c>
      <c r="R30" s="5">
        <v>2020</v>
      </c>
      <c r="S30" s="1" t="s">
        <v>12</v>
      </c>
      <c r="T30" s="1" t="s">
        <v>27</v>
      </c>
      <c r="U30" s="1" t="s">
        <v>34</v>
      </c>
    </row>
    <row r="31" spans="1:21" x14ac:dyDescent="0.3">
      <c r="A31" s="9" t="s">
        <v>105</v>
      </c>
      <c r="B31" s="10" t="s">
        <v>42</v>
      </c>
      <c r="C31" s="10" t="str">
        <f t="shared" si="0"/>
        <v>TIMPSONF08</v>
      </c>
      <c r="D31" s="4">
        <v>1780</v>
      </c>
      <c r="E31" s="2">
        <v>15.000786516853932</v>
      </c>
      <c r="F31" s="2">
        <v>14.78</v>
      </c>
      <c r="G31" s="2">
        <f t="shared" si="1"/>
        <v>4.6067415730337076E-2</v>
      </c>
      <c r="H31" s="2">
        <f t="shared" si="1"/>
        <v>0.17471910112359551</v>
      </c>
      <c r="I31" s="2"/>
      <c r="J31" s="2" t="str">
        <f>IFERROR(VLOOKUP(C31,'23-24'!$C$4:$E$88,4,FALSE),"")</f>
        <v/>
      </c>
      <c r="K31" s="2"/>
      <c r="L31" s="2"/>
      <c r="M31" s="3">
        <v>26703</v>
      </c>
      <c r="N31" s="11">
        <v>26310</v>
      </c>
      <c r="O31" s="11">
        <v>82</v>
      </c>
      <c r="P31" s="11">
        <v>311</v>
      </c>
      <c r="Q31" s="2" t="s">
        <v>7</v>
      </c>
      <c r="R31" s="5">
        <v>2020</v>
      </c>
      <c r="S31" s="1" t="s">
        <v>12</v>
      </c>
      <c r="T31" s="1" t="s">
        <v>27</v>
      </c>
      <c r="U31" s="1" t="s">
        <v>34</v>
      </c>
    </row>
    <row r="32" spans="1:21" x14ac:dyDescent="0.3">
      <c r="A32" s="9" t="s">
        <v>105</v>
      </c>
      <c r="B32" s="10" t="s">
        <v>43</v>
      </c>
      <c r="C32" s="10" t="str">
        <f t="shared" si="0"/>
        <v>TIMPSONF09</v>
      </c>
      <c r="D32" s="4">
        <v>1780</v>
      </c>
      <c r="E32" s="2">
        <v>14.998089887640448</v>
      </c>
      <c r="F32" s="2">
        <v>14.67</v>
      </c>
      <c r="G32" s="2">
        <f t="shared" si="1"/>
        <v>7.4719101123595505E-2</v>
      </c>
      <c r="H32" s="2">
        <f t="shared" si="1"/>
        <v>0.25337078651685391</v>
      </c>
      <c r="I32" s="2"/>
      <c r="J32" s="2" t="str">
        <f>IFERROR(VLOOKUP(C32,'23-24'!$C$4:$E$88,4,FALSE),"")</f>
        <v/>
      </c>
      <c r="K32" s="2"/>
      <c r="L32" s="2"/>
      <c r="M32" s="3">
        <v>26703</v>
      </c>
      <c r="N32" s="11">
        <v>26119</v>
      </c>
      <c r="O32" s="11">
        <v>133</v>
      </c>
      <c r="P32" s="11">
        <v>451</v>
      </c>
      <c r="Q32" s="2" t="s">
        <v>7</v>
      </c>
      <c r="R32" s="5">
        <v>2020</v>
      </c>
      <c r="S32" s="1" t="s">
        <v>12</v>
      </c>
      <c r="T32" s="1" t="s">
        <v>27</v>
      </c>
      <c r="U32" s="1" t="s">
        <v>34</v>
      </c>
    </row>
    <row r="33" spans="1:21" x14ac:dyDescent="0.3">
      <c r="A33" s="9" t="s">
        <v>105</v>
      </c>
      <c r="B33" s="10" t="s">
        <v>44</v>
      </c>
      <c r="C33" s="10" t="str">
        <f t="shared" si="0"/>
        <v>TIMPSONB04</v>
      </c>
      <c r="D33" s="4">
        <v>1780</v>
      </c>
      <c r="E33" s="2">
        <v>14.77</v>
      </c>
      <c r="F33" s="2">
        <v>0</v>
      </c>
      <c r="G33" s="2">
        <v>14.77</v>
      </c>
      <c r="H33" s="2">
        <v>0</v>
      </c>
      <c r="I33" s="2"/>
      <c r="J33" s="2" t="str">
        <f>IFERROR(VLOOKUP(C33,'23-24'!$C$4:$E$88,4,FALSE),"")</f>
        <v/>
      </c>
      <c r="K33" s="2"/>
      <c r="L33" s="2"/>
      <c r="M33" s="3">
        <v>26147</v>
      </c>
      <c r="N33" s="11">
        <v>0</v>
      </c>
      <c r="O33" s="11">
        <v>26147</v>
      </c>
      <c r="P33" s="11">
        <v>0</v>
      </c>
      <c r="Q33" s="2" t="s">
        <v>91</v>
      </c>
      <c r="R33" s="5">
        <v>2022</v>
      </c>
      <c r="S33" s="1" t="s">
        <v>12</v>
      </c>
      <c r="T33" s="1" t="s">
        <v>9</v>
      </c>
      <c r="U33" s="1" t="s">
        <v>10</v>
      </c>
    </row>
    <row r="34" spans="1:21" x14ac:dyDescent="0.3">
      <c r="A34" s="10" t="s">
        <v>106</v>
      </c>
      <c r="B34" s="10" t="s">
        <v>45</v>
      </c>
      <c r="C34" s="10" t="str">
        <f t="shared" si="0"/>
        <v>RED GLOBEB13</v>
      </c>
      <c r="D34" s="4">
        <v>1587</v>
      </c>
      <c r="E34" s="2">
        <v>8.0742974165091361</v>
      </c>
      <c r="F34" s="2">
        <v>7.93</v>
      </c>
      <c r="G34" s="2">
        <v>0.12980466288594833</v>
      </c>
      <c r="H34" s="2">
        <v>1.4492753623188406E-2</v>
      </c>
      <c r="I34" s="2"/>
      <c r="J34" s="2" t="str">
        <f>IFERROR(VLOOKUP(C34,'23-24'!$C$4:$E$88,4,FALSE),"")</f>
        <v/>
      </c>
      <c r="K34" s="2"/>
      <c r="L34" s="2"/>
      <c r="M34" s="3">
        <v>12818</v>
      </c>
      <c r="N34" s="11">
        <v>12589</v>
      </c>
      <c r="O34" s="11">
        <v>206</v>
      </c>
      <c r="P34" s="11">
        <v>23</v>
      </c>
      <c r="Q34" s="2" t="s">
        <v>7</v>
      </c>
      <c r="R34" s="5">
        <v>2018</v>
      </c>
      <c r="S34" s="1" t="s">
        <v>12</v>
      </c>
      <c r="T34" s="1" t="s">
        <v>27</v>
      </c>
      <c r="U34" s="1" t="s">
        <v>134</v>
      </c>
    </row>
    <row r="35" spans="1:21" x14ac:dyDescent="0.3">
      <c r="A35" s="10" t="s">
        <v>106</v>
      </c>
      <c r="B35" s="10" t="s">
        <v>47</v>
      </c>
      <c r="C35" s="10" t="str">
        <f t="shared" si="0"/>
        <v>RED GLOBEB14</v>
      </c>
      <c r="D35" s="4">
        <v>1587</v>
      </c>
      <c r="E35" s="2">
        <v>8.7675866414618771</v>
      </c>
      <c r="F35" s="2">
        <v>8.68</v>
      </c>
      <c r="G35" s="2">
        <v>7.4984247006931321E-2</v>
      </c>
      <c r="H35" s="2">
        <v>1.2602394454946439E-2</v>
      </c>
      <c r="I35" s="2"/>
      <c r="J35" s="2" t="str">
        <f>IFERROR(VLOOKUP(C35,'23-24'!$C$4:$E$88,4,FALSE),"")</f>
        <v/>
      </c>
      <c r="K35" s="2"/>
      <c r="L35" s="2"/>
      <c r="M35" s="3">
        <v>13916</v>
      </c>
      <c r="N35" s="11">
        <v>13777</v>
      </c>
      <c r="O35" s="11">
        <v>119</v>
      </c>
      <c r="P35" s="11">
        <v>20</v>
      </c>
      <c r="Q35" s="2" t="s">
        <v>7</v>
      </c>
      <c r="R35" s="5">
        <v>2018</v>
      </c>
      <c r="S35" s="1" t="s">
        <v>12</v>
      </c>
      <c r="T35" s="1" t="s">
        <v>27</v>
      </c>
      <c r="U35" s="1" t="s">
        <v>134</v>
      </c>
    </row>
    <row r="36" spans="1:21" x14ac:dyDescent="0.3">
      <c r="A36" s="10" t="s">
        <v>107</v>
      </c>
      <c r="B36" s="10" t="s">
        <v>48</v>
      </c>
      <c r="C36" s="10" t="str">
        <f t="shared" si="0"/>
        <v>MAGENTAD12</v>
      </c>
      <c r="D36" s="6">
        <v>1587</v>
      </c>
      <c r="E36" s="2">
        <v>15.88</v>
      </c>
      <c r="F36" s="2">
        <v>14.96</v>
      </c>
      <c r="G36" s="2">
        <v>0.11</v>
      </c>
      <c r="H36" s="2">
        <v>0.8100000000000005</v>
      </c>
      <c r="I36" s="2"/>
      <c r="J36" s="2" t="str">
        <f>IFERROR(VLOOKUP(C36,'23-24'!$C$4:$E$88,4,FALSE),"")</f>
        <v/>
      </c>
      <c r="K36" s="2"/>
      <c r="L36" s="2"/>
      <c r="M36" s="3">
        <v>30073</v>
      </c>
      <c r="N36" s="11">
        <v>28335</v>
      </c>
      <c r="O36" s="11">
        <v>206</v>
      </c>
      <c r="P36" s="11">
        <v>1532</v>
      </c>
      <c r="Q36" s="2" t="s">
        <v>7</v>
      </c>
      <c r="R36" s="5">
        <v>2012</v>
      </c>
      <c r="S36" s="1" t="s">
        <v>12</v>
      </c>
      <c r="T36" s="2" t="s">
        <v>27</v>
      </c>
      <c r="U36" s="2" t="s">
        <v>28</v>
      </c>
    </row>
    <row r="37" spans="1:21" x14ac:dyDescent="0.3">
      <c r="A37" s="10" t="s">
        <v>107</v>
      </c>
      <c r="B37" s="10" t="s">
        <v>50</v>
      </c>
      <c r="C37" s="10" t="str">
        <f t="shared" si="0"/>
        <v>MAGENTAD13</v>
      </c>
      <c r="D37" s="6">
        <v>1587</v>
      </c>
      <c r="E37" s="2">
        <v>18.329999999999998</v>
      </c>
      <c r="F37" s="2">
        <v>17.25</v>
      </c>
      <c r="G37" s="2">
        <v>0.28000000000000003</v>
      </c>
      <c r="H37" s="2">
        <v>0.79999999999999716</v>
      </c>
      <c r="I37" s="2"/>
      <c r="J37" s="2" t="str">
        <f>IFERROR(VLOOKUP(C37,'23-24'!$C$4:$E$88,4,FALSE),"")</f>
        <v/>
      </c>
      <c r="K37" s="2"/>
      <c r="L37" s="2"/>
      <c r="M37" s="3">
        <v>34722</v>
      </c>
      <c r="N37" s="11">
        <v>32674</v>
      </c>
      <c r="O37" s="11">
        <v>525</v>
      </c>
      <c r="P37" s="11">
        <v>1523</v>
      </c>
      <c r="Q37" s="2" t="s">
        <v>7</v>
      </c>
      <c r="R37" s="5">
        <v>2012</v>
      </c>
      <c r="S37" s="1" t="s">
        <v>12</v>
      </c>
      <c r="T37" s="2" t="s">
        <v>27</v>
      </c>
      <c r="U37" s="2" t="s">
        <v>28</v>
      </c>
    </row>
    <row r="38" spans="1:21" x14ac:dyDescent="0.3">
      <c r="A38" s="10" t="s">
        <v>108</v>
      </c>
      <c r="B38" s="10" t="s">
        <v>131</v>
      </c>
      <c r="C38" s="10" t="str">
        <f t="shared" si="0"/>
        <v>ALLISONB3</v>
      </c>
      <c r="D38" s="4">
        <v>1780</v>
      </c>
      <c r="E38" s="2">
        <v>7.4399999999999995</v>
      </c>
      <c r="F38" s="2">
        <v>7.39</v>
      </c>
      <c r="G38" s="2">
        <v>0.05</v>
      </c>
      <c r="H38" s="2">
        <v>0</v>
      </c>
      <c r="I38" s="2"/>
      <c r="J38" s="2" t="str">
        <f>IFERROR(VLOOKUP(C38,'23-24'!$C$4:$E$88,4,FALSE),"")</f>
        <v/>
      </c>
      <c r="K38" s="2"/>
      <c r="L38" s="2"/>
      <c r="M38" s="3">
        <v>13248</v>
      </c>
      <c r="N38" s="11">
        <v>13155</v>
      </c>
      <c r="O38" s="11">
        <v>93</v>
      </c>
      <c r="P38" s="11">
        <v>0</v>
      </c>
      <c r="Q38" s="2" t="s">
        <v>7</v>
      </c>
      <c r="R38" s="5">
        <v>2018</v>
      </c>
      <c r="S38" s="1" t="s">
        <v>12</v>
      </c>
      <c r="T38" s="1" t="s">
        <v>9</v>
      </c>
      <c r="U38" s="1" t="s">
        <v>46</v>
      </c>
    </row>
    <row r="39" spans="1:21" x14ac:dyDescent="0.3">
      <c r="A39" s="10" t="s">
        <v>108</v>
      </c>
      <c r="B39" s="10" t="s">
        <v>52</v>
      </c>
      <c r="C39" s="10" t="str">
        <f t="shared" si="0"/>
        <v>ALLISONG01</v>
      </c>
      <c r="D39" s="4">
        <v>1905</v>
      </c>
      <c r="E39" s="2">
        <v>2.25</v>
      </c>
      <c r="F39" s="2">
        <v>2.25</v>
      </c>
      <c r="G39" s="2"/>
      <c r="H39" s="2">
        <v>0</v>
      </c>
      <c r="I39" s="2"/>
      <c r="J39" s="2" t="str">
        <f>IFERROR(VLOOKUP(C39,'23-24'!$C$4:$E$88,4,FALSE),"")</f>
        <v/>
      </c>
      <c r="K39" s="2"/>
      <c r="L39" s="2"/>
      <c r="M39" s="3">
        <v>4371</v>
      </c>
      <c r="N39" s="11">
        <v>4367</v>
      </c>
      <c r="O39" s="11"/>
      <c r="P39" s="11">
        <v>4</v>
      </c>
      <c r="Q39" s="2" t="s">
        <v>7</v>
      </c>
      <c r="R39" s="5">
        <v>2018</v>
      </c>
      <c r="S39" s="1" t="s">
        <v>8</v>
      </c>
      <c r="T39" s="1" t="s">
        <v>27</v>
      </c>
      <c r="U39" s="1" t="s">
        <v>53</v>
      </c>
    </row>
    <row r="40" spans="1:21" x14ac:dyDescent="0.3">
      <c r="A40" s="10" t="s">
        <v>108</v>
      </c>
      <c r="B40" s="10" t="s">
        <v>54</v>
      </c>
      <c r="C40" s="10" t="str">
        <f t="shared" si="0"/>
        <v>ALLISONG02</v>
      </c>
      <c r="D40" s="4">
        <v>1905</v>
      </c>
      <c r="E40" s="2">
        <v>13.28</v>
      </c>
      <c r="F40" s="2">
        <v>13.27</v>
      </c>
      <c r="G40" s="2"/>
      <c r="H40" s="2">
        <v>0.01</v>
      </c>
      <c r="I40" s="2"/>
      <c r="J40" s="2" t="str">
        <f>IFERROR(VLOOKUP(C40,'23-24'!$C$4:$E$88,4,FALSE),"")</f>
        <v/>
      </c>
      <c r="K40" s="2"/>
      <c r="L40" s="2"/>
      <c r="M40" s="3">
        <v>25923</v>
      </c>
      <c r="N40" s="11">
        <v>25904</v>
      </c>
      <c r="O40" s="11"/>
      <c r="P40" s="11">
        <v>19</v>
      </c>
      <c r="Q40" s="2" t="s">
        <v>7</v>
      </c>
      <c r="R40" s="5">
        <v>2017</v>
      </c>
      <c r="S40" s="1" t="s">
        <v>8</v>
      </c>
      <c r="T40" s="1" t="s">
        <v>27</v>
      </c>
      <c r="U40" s="1" t="s">
        <v>53</v>
      </c>
    </row>
    <row r="41" spans="1:21" x14ac:dyDescent="0.3">
      <c r="A41" s="10" t="s">
        <v>108</v>
      </c>
      <c r="B41" s="10" t="s">
        <v>55</v>
      </c>
      <c r="C41" s="10" t="str">
        <f t="shared" si="0"/>
        <v>ALLISONG03</v>
      </c>
      <c r="D41" s="4">
        <v>1905</v>
      </c>
      <c r="E41" s="2">
        <v>11.4</v>
      </c>
      <c r="F41" s="2">
        <v>11.34</v>
      </c>
      <c r="G41" s="2">
        <v>0</v>
      </c>
      <c r="H41" s="2">
        <v>0.06</v>
      </c>
      <c r="I41" s="2"/>
      <c r="J41" s="2" t="str">
        <f>IFERROR(VLOOKUP(C41,'23-24'!$C$4:$E$88,4,FALSE),"")</f>
        <v/>
      </c>
      <c r="K41" s="2"/>
      <c r="L41" s="2"/>
      <c r="M41" s="3">
        <v>22784</v>
      </c>
      <c r="N41" s="11">
        <v>22673</v>
      </c>
      <c r="O41" s="11"/>
      <c r="P41" s="11">
        <v>111</v>
      </c>
      <c r="Q41" s="2" t="s">
        <v>7</v>
      </c>
      <c r="R41" s="5">
        <v>2017</v>
      </c>
      <c r="S41" s="1" t="s">
        <v>8</v>
      </c>
      <c r="T41" s="1" t="s">
        <v>27</v>
      </c>
      <c r="U41" s="1" t="s">
        <v>53</v>
      </c>
    </row>
    <row r="42" spans="1:21" x14ac:dyDescent="0.3">
      <c r="A42" s="10" t="s">
        <v>108</v>
      </c>
      <c r="B42" s="10" t="s">
        <v>56</v>
      </c>
      <c r="C42" s="10" t="str">
        <f t="shared" si="0"/>
        <v>ALLISONG04</v>
      </c>
      <c r="D42" s="4">
        <v>1905</v>
      </c>
      <c r="E42" s="2">
        <v>13.739999999999998</v>
      </c>
      <c r="F42" s="2">
        <v>13.7</v>
      </c>
      <c r="G42" s="2"/>
      <c r="H42" s="2">
        <v>0.04</v>
      </c>
      <c r="I42" s="2"/>
      <c r="J42" s="2" t="str">
        <f>IFERROR(VLOOKUP(C42,'23-24'!$C$4:$E$88,4,FALSE),"")</f>
        <v/>
      </c>
      <c r="K42" s="2"/>
      <c r="L42" s="2"/>
      <c r="M42" s="3">
        <v>26302</v>
      </c>
      <c r="N42" s="11">
        <v>26225</v>
      </c>
      <c r="O42" s="11"/>
      <c r="P42" s="11">
        <v>77</v>
      </c>
      <c r="Q42" s="2" t="s">
        <v>7</v>
      </c>
      <c r="R42" s="5">
        <v>2016</v>
      </c>
      <c r="S42" s="1" t="s">
        <v>8</v>
      </c>
      <c r="T42" s="1" t="s">
        <v>27</v>
      </c>
      <c r="U42" s="1" t="s">
        <v>53</v>
      </c>
    </row>
    <row r="43" spans="1:21" x14ac:dyDescent="0.3">
      <c r="A43" s="10" t="s">
        <v>108</v>
      </c>
      <c r="B43" s="10" t="s">
        <v>57</v>
      </c>
      <c r="C43" s="10" t="str">
        <f t="shared" si="0"/>
        <v>ALLISONG05</v>
      </c>
      <c r="D43" s="4">
        <v>1905</v>
      </c>
      <c r="E43" s="2">
        <v>14.020000000000001</v>
      </c>
      <c r="F43" s="2">
        <v>13.96</v>
      </c>
      <c r="G43" s="2"/>
      <c r="H43" s="2">
        <v>0.06</v>
      </c>
      <c r="I43" s="2"/>
      <c r="J43" s="2" t="str">
        <f>IFERROR(VLOOKUP(C43,'23-24'!$C$4:$E$88,4,FALSE),"")</f>
        <v/>
      </c>
      <c r="K43" s="2"/>
      <c r="L43" s="2"/>
      <c r="M43" s="3">
        <v>26967</v>
      </c>
      <c r="N43" s="11">
        <v>26852</v>
      </c>
      <c r="O43" s="11"/>
      <c r="P43" s="11">
        <v>115</v>
      </c>
      <c r="Q43" s="2" t="s">
        <v>7</v>
      </c>
      <c r="R43" s="5">
        <v>2016</v>
      </c>
      <c r="S43" s="1" t="s">
        <v>8</v>
      </c>
      <c r="T43" s="1" t="s">
        <v>27</v>
      </c>
      <c r="U43" s="1" t="s">
        <v>53</v>
      </c>
    </row>
    <row r="44" spans="1:21" x14ac:dyDescent="0.3">
      <c r="A44" s="10" t="s">
        <v>108</v>
      </c>
      <c r="B44" s="10" t="s">
        <v>58</v>
      </c>
      <c r="C44" s="10" t="str">
        <f t="shared" si="0"/>
        <v>ALLISONG06</v>
      </c>
      <c r="D44" s="4">
        <v>1905</v>
      </c>
      <c r="E44" s="2">
        <v>6.9499999999999993</v>
      </c>
      <c r="F44" s="2">
        <v>6.94</v>
      </c>
      <c r="G44" s="2"/>
      <c r="H44" s="2">
        <v>9.9999999999988987E-3</v>
      </c>
      <c r="I44" s="2"/>
      <c r="J44" s="2" t="str">
        <f>IFERROR(VLOOKUP(C44,'23-24'!$C$4:$E$88,4,FALSE),"")</f>
        <v/>
      </c>
      <c r="K44" s="2"/>
      <c r="L44" s="2"/>
      <c r="M44" s="3">
        <v>13755</v>
      </c>
      <c r="N44" s="11">
        <v>13732</v>
      </c>
      <c r="O44" s="11"/>
      <c r="P44" s="11">
        <v>23</v>
      </c>
      <c r="Q44" s="2" t="s">
        <v>7</v>
      </c>
      <c r="R44" s="5">
        <v>2016</v>
      </c>
      <c r="S44" s="1" t="s">
        <v>8</v>
      </c>
      <c r="T44" s="1" t="s">
        <v>27</v>
      </c>
      <c r="U44" s="1" t="s">
        <v>53</v>
      </c>
    </row>
    <row r="45" spans="1:21" x14ac:dyDescent="0.3">
      <c r="A45" s="10" t="s">
        <v>109</v>
      </c>
      <c r="B45" s="10" t="s">
        <v>59</v>
      </c>
      <c r="C45" s="10" t="str">
        <f t="shared" si="0"/>
        <v>COTTON CANDYB07</v>
      </c>
      <c r="D45" s="4">
        <v>1905</v>
      </c>
      <c r="E45" s="2">
        <v>7.21</v>
      </c>
      <c r="F45" s="2">
        <v>6.91</v>
      </c>
      <c r="G45" s="2">
        <v>0</v>
      </c>
      <c r="H45" s="2">
        <v>0.29999999999999982</v>
      </c>
      <c r="I45" s="2"/>
      <c r="J45" s="2" t="str">
        <f>IFERROR(VLOOKUP(C45,'23-24'!$C$4:$E$88,4,FALSE),"")</f>
        <v/>
      </c>
      <c r="K45" s="2"/>
      <c r="L45" s="2"/>
      <c r="M45" s="3">
        <v>13740</v>
      </c>
      <c r="N45" s="11">
        <v>13164</v>
      </c>
      <c r="O45" s="11">
        <v>0</v>
      </c>
      <c r="P45" s="11">
        <v>576</v>
      </c>
      <c r="Q45" s="2" t="s">
        <v>7</v>
      </c>
      <c r="R45" s="5">
        <v>2018</v>
      </c>
      <c r="S45" s="1" t="s">
        <v>8</v>
      </c>
      <c r="T45" s="1" t="s">
        <v>9</v>
      </c>
      <c r="U45" s="1" t="s">
        <v>10</v>
      </c>
    </row>
    <row r="46" spans="1:21" x14ac:dyDescent="0.3">
      <c r="A46" s="10" t="s">
        <v>109</v>
      </c>
      <c r="B46" s="10" t="s">
        <v>60</v>
      </c>
      <c r="C46" s="10" t="str">
        <f t="shared" si="0"/>
        <v>COTTON CANDYC07</v>
      </c>
      <c r="D46" s="4">
        <v>1905</v>
      </c>
      <c r="E46" s="2">
        <v>3.77</v>
      </c>
      <c r="F46" s="2">
        <v>3.3</v>
      </c>
      <c r="G46" s="2">
        <v>0.34</v>
      </c>
      <c r="H46" s="2">
        <v>0.13000000000000034</v>
      </c>
      <c r="I46" s="2"/>
      <c r="J46" s="2" t="str">
        <f>IFERROR(VLOOKUP(C46,'23-24'!$C$4:$E$88,4,FALSE),"")</f>
        <v/>
      </c>
      <c r="K46" s="2"/>
      <c r="L46" s="2"/>
      <c r="M46" s="3">
        <v>7176</v>
      </c>
      <c r="N46" s="11">
        <v>6291</v>
      </c>
      <c r="O46" s="11">
        <v>652</v>
      </c>
      <c r="P46" s="11">
        <v>233</v>
      </c>
      <c r="Q46" s="2" t="s">
        <v>7</v>
      </c>
      <c r="R46" s="5" t="s">
        <v>61</v>
      </c>
      <c r="S46" s="1" t="s">
        <v>8</v>
      </c>
      <c r="T46" s="1" t="s">
        <v>9</v>
      </c>
      <c r="U46" s="1" t="s">
        <v>10</v>
      </c>
    </row>
    <row r="47" spans="1:21" x14ac:dyDescent="0.3">
      <c r="A47" s="10" t="s">
        <v>109</v>
      </c>
      <c r="B47" s="10" t="s">
        <v>130</v>
      </c>
      <c r="C47" s="10" t="str">
        <f t="shared" si="0"/>
        <v>COTTON CANDYH09</v>
      </c>
      <c r="D47" s="4">
        <v>1780</v>
      </c>
      <c r="E47" s="2">
        <v>10.67</v>
      </c>
      <c r="F47" s="2">
        <v>10.44</v>
      </c>
      <c r="G47" s="2">
        <v>0.09</v>
      </c>
      <c r="H47" s="2">
        <v>0.14000000000000057</v>
      </c>
      <c r="I47" s="2"/>
      <c r="J47" s="2" t="str">
        <f>IFERROR(VLOOKUP(C47,'23-24'!$C$4:$E$88,4,FALSE),"")</f>
        <v/>
      </c>
      <c r="K47" s="2"/>
      <c r="L47" s="2"/>
      <c r="M47" s="3">
        <v>18959</v>
      </c>
      <c r="N47" s="11">
        <v>18553</v>
      </c>
      <c r="O47" s="11">
        <v>152</v>
      </c>
      <c r="P47" s="11">
        <v>254</v>
      </c>
      <c r="Q47" s="2" t="s">
        <v>7</v>
      </c>
      <c r="R47" s="5">
        <v>2020</v>
      </c>
      <c r="S47" s="1" t="s">
        <v>12</v>
      </c>
      <c r="T47" s="1" t="s">
        <v>27</v>
      </c>
      <c r="U47" s="1" t="s">
        <v>53</v>
      </c>
    </row>
    <row r="48" spans="1:21" x14ac:dyDescent="0.3">
      <c r="A48" s="10" t="s">
        <v>109</v>
      </c>
      <c r="B48" s="10" t="s">
        <v>63</v>
      </c>
      <c r="C48" s="10" t="str">
        <f t="shared" si="0"/>
        <v>COTTON CANDYH10</v>
      </c>
      <c r="D48" s="4">
        <v>1780</v>
      </c>
      <c r="E48" s="2">
        <v>14.610000000000001</v>
      </c>
      <c r="F48" s="2">
        <v>14.18</v>
      </c>
      <c r="G48" s="2">
        <v>0.22</v>
      </c>
      <c r="H48" s="2">
        <v>0.21</v>
      </c>
      <c r="I48" s="2"/>
      <c r="J48" s="2" t="str">
        <f>IFERROR(VLOOKUP(C48,'23-24'!$C$4:$E$88,4,FALSE),"")</f>
        <v/>
      </c>
      <c r="K48" s="2"/>
      <c r="L48" s="2"/>
      <c r="M48" s="3">
        <v>25720</v>
      </c>
      <c r="N48" s="11">
        <v>24956</v>
      </c>
      <c r="O48" s="11">
        <v>395</v>
      </c>
      <c r="P48" s="11">
        <v>369</v>
      </c>
      <c r="Q48" s="2" t="s">
        <v>7</v>
      </c>
      <c r="R48" s="5">
        <v>2020</v>
      </c>
      <c r="S48" s="1" t="s">
        <v>12</v>
      </c>
      <c r="T48" s="1" t="s">
        <v>27</v>
      </c>
      <c r="U48" s="1" t="s">
        <v>53</v>
      </c>
    </row>
    <row r="49" spans="1:21" x14ac:dyDescent="0.3">
      <c r="A49" s="10" t="s">
        <v>109</v>
      </c>
      <c r="B49" s="10" t="s">
        <v>64</v>
      </c>
      <c r="C49" s="10" t="str">
        <f t="shared" si="0"/>
        <v>COTTON CANDYH11</v>
      </c>
      <c r="D49" s="4">
        <v>1780</v>
      </c>
      <c r="E49" s="2">
        <v>13.64</v>
      </c>
      <c r="F49" s="2">
        <v>13.57</v>
      </c>
      <c r="G49" s="2">
        <v>7.0000000000000007E-2</v>
      </c>
      <c r="H49" s="2">
        <v>0</v>
      </c>
      <c r="I49" s="2"/>
      <c r="J49" s="2" t="str">
        <f>IFERROR(VLOOKUP(C49,'23-24'!$C$4:$E$88,4,FALSE),"")</f>
        <v/>
      </c>
      <c r="K49" s="2"/>
      <c r="L49" s="2"/>
      <c r="M49" s="3">
        <v>24277</v>
      </c>
      <c r="N49" s="11">
        <v>24149</v>
      </c>
      <c r="O49" s="11">
        <v>116</v>
      </c>
      <c r="P49" s="11">
        <v>12</v>
      </c>
      <c r="Q49" s="2" t="s">
        <v>7</v>
      </c>
      <c r="R49" s="5">
        <v>2020</v>
      </c>
      <c r="S49" s="1" t="s">
        <v>12</v>
      </c>
      <c r="T49" s="1" t="s">
        <v>27</v>
      </c>
      <c r="U49" s="1" t="s">
        <v>53</v>
      </c>
    </row>
    <row r="50" spans="1:21" x14ac:dyDescent="0.3">
      <c r="A50" s="10" t="s">
        <v>109</v>
      </c>
      <c r="B50" s="10" t="s">
        <v>65</v>
      </c>
      <c r="C50" s="10" t="str">
        <f t="shared" si="0"/>
        <v>COTTON CANDYG13</v>
      </c>
      <c r="D50" s="7">
        <v>1838</v>
      </c>
      <c r="E50" s="2">
        <v>13.123144722524483</v>
      </c>
      <c r="F50" s="2">
        <v>12.43</v>
      </c>
      <c r="G50" s="2">
        <f>O50/$D50</f>
        <v>0.64309031556039176</v>
      </c>
      <c r="H50" s="2">
        <f>P50/$D50</f>
        <v>5.0054406964091407E-2</v>
      </c>
      <c r="I50" s="2"/>
      <c r="J50" s="2" t="str">
        <f>IFERROR(VLOOKUP(C50,'23-24'!$C$4:$E$88,4,FALSE),"")</f>
        <v/>
      </c>
      <c r="K50" s="2"/>
      <c r="L50" s="2"/>
      <c r="M50" s="3">
        <v>24115</v>
      </c>
      <c r="N50" s="11">
        <v>22841</v>
      </c>
      <c r="O50" s="11">
        <v>1182</v>
      </c>
      <c r="P50" s="11">
        <v>92</v>
      </c>
      <c r="Q50" s="2" t="s">
        <v>7</v>
      </c>
      <c r="R50" s="5">
        <v>2021</v>
      </c>
      <c r="S50" s="1" t="s">
        <v>12</v>
      </c>
      <c r="T50" s="1" t="s">
        <v>27</v>
      </c>
      <c r="U50" s="1" t="s">
        <v>34</v>
      </c>
    </row>
    <row r="51" spans="1:21" x14ac:dyDescent="0.3">
      <c r="A51" s="10" t="s">
        <v>109</v>
      </c>
      <c r="B51" s="10" t="s">
        <v>66</v>
      </c>
      <c r="C51" s="10" t="str">
        <f t="shared" si="0"/>
        <v>COTTON CANDYH13</v>
      </c>
      <c r="D51" s="7">
        <v>1838</v>
      </c>
      <c r="E51" s="2">
        <v>12.711490750816104</v>
      </c>
      <c r="F51" s="2">
        <v>11.94</v>
      </c>
      <c r="G51" s="2">
        <f>O51/$D51</f>
        <v>0.71327529923830246</v>
      </c>
      <c r="H51" s="2">
        <f>P51/$D51</f>
        <v>5.821545157780196E-2</v>
      </c>
      <c r="I51" s="2"/>
      <c r="J51" s="2" t="str">
        <f>IFERROR(VLOOKUP(C51,'23-24'!$C$4:$E$88,4,FALSE),"")</f>
        <v/>
      </c>
      <c r="K51" s="2"/>
      <c r="L51" s="2"/>
      <c r="M51" s="3">
        <v>23370</v>
      </c>
      <c r="N51" s="11">
        <v>21952</v>
      </c>
      <c r="O51" s="11">
        <v>1311</v>
      </c>
      <c r="P51" s="11">
        <v>107</v>
      </c>
      <c r="Q51" s="2" t="s">
        <v>7</v>
      </c>
      <c r="R51" s="5">
        <v>2021</v>
      </c>
      <c r="S51" s="1" t="s">
        <v>12</v>
      </c>
      <c r="T51" s="1" t="s">
        <v>27</v>
      </c>
      <c r="U51" s="1" t="s">
        <v>34</v>
      </c>
    </row>
    <row r="52" spans="1:21" x14ac:dyDescent="0.3">
      <c r="A52" s="10" t="s">
        <v>110</v>
      </c>
      <c r="B52" s="10" t="s">
        <v>67</v>
      </c>
      <c r="C52" s="10" t="str">
        <f t="shared" si="0"/>
        <v>JACK SALUTEF01</v>
      </c>
      <c r="D52" s="4">
        <v>1684</v>
      </c>
      <c r="E52" s="2">
        <v>10.23</v>
      </c>
      <c r="F52" s="2">
        <v>9.99</v>
      </c>
      <c r="G52" s="2">
        <v>0.16</v>
      </c>
      <c r="H52" s="2">
        <v>8.0000000000000071E-2</v>
      </c>
      <c r="I52" s="2"/>
      <c r="J52" s="2" t="str">
        <f>IFERROR(VLOOKUP(C52,'23-24'!$C$4:$E$88,4,FALSE),"")</f>
        <v/>
      </c>
      <c r="K52" s="2"/>
      <c r="L52" s="2"/>
      <c r="M52" s="3">
        <v>17244</v>
      </c>
      <c r="N52" s="11">
        <v>16836</v>
      </c>
      <c r="O52" s="11">
        <v>262</v>
      </c>
      <c r="P52" s="11">
        <v>146</v>
      </c>
      <c r="Q52" s="2" t="s">
        <v>7</v>
      </c>
      <c r="R52" s="5">
        <v>2018</v>
      </c>
      <c r="S52" s="1" t="s">
        <v>12</v>
      </c>
      <c r="T52" s="1" t="s">
        <v>9</v>
      </c>
      <c r="U52" s="1" t="s">
        <v>49</v>
      </c>
    </row>
    <row r="53" spans="1:21" x14ac:dyDescent="0.3">
      <c r="A53" s="10" t="s">
        <v>110</v>
      </c>
      <c r="B53" s="10" t="s">
        <v>68</v>
      </c>
      <c r="C53" s="10" t="str">
        <f t="shared" si="0"/>
        <v>JACK SALUTEF02</v>
      </c>
      <c r="D53" s="4">
        <v>1684</v>
      </c>
      <c r="E53" s="2">
        <v>13.54</v>
      </c>
      <c r="F53" s="2">
        <v>13.27</v>
      </c>
      <c r="G53" s="2">
        <v>0.13</v>
      </c>
      <c r="H53" s="2">
        <v>0.13999999999999879</v>
      </c>
      <c r="I53" s="2"/>
      <c r="J53" s="2" t="str">
        <f>IFERROR(VLOOKUP(C53,'23-24'!$C$4:$E$88,4,FALSE),"")</f>
        <v/>
      </c>
      <c r="K53" s="2"/>
      <c r="L53" s="2"/>
      <c r="M53" s="3">
        <v>22805</v>
      </c>
      <c r="N53" s="11">
        <v>22351</v>
      </c>
      <c r="O53" s="11">
        <v>217</v>
      </c>
      <c r="P53" s="11">
        <v>237</v>
      </c>
      <c r="Q53" s="2" t="s">
        <v>7</v>
      </c>
      <c r="R53" s="5">
        <v>2018</v>
      </c>
      <c r="S53" s="1" t="s">
        <v>12</v>
      </c>
      <c r="T53" s="1" t="s">
        <v>9</v>
      </c>
      <c r="U53" s="1" t="s">
        <v>49</v>
      </c>
    </row>
    <row r="54" spans="1:21" x14ac:dyDescent="0.3">
      <c r="A54" s="10" t="s">
        <v>110</v>
      </c>
      <c r="B54" s="10" t="s">
        <v>69</v>
      </c>
      <c r="C54" s="10" t="str">
        <f t="shared" si="0"/>
        <v>JACK SALUTEF03</v>
      </c>
      <c r="D54" s="4">
        <v>1684</v>
      </c>
      <c r="E54" s="2">
        <v>14.81</v>
      </c>
      <c r="F54" s="2">
        <v>14.54</v>
      </c>
      <c r="G54" s="2">
        <v>7.0000000000000007E-2</v>
      </c>
      <c r="H54" s="2">
        <v>0.20000000000000107</v>
      </c>
      <c r="I54" s="2"/>
      <c r="J54" s="2" t="str">
        <f>IFERROR(VLOOKUP(C54,'23-24'!$C$4:$E$88,4,FALSE),"")</f>
        <v/>
      </c>
      <c r="K54" s="2"/>
      <c r="L54" s="2"/>
      <c r="M54" s="3">
        <v>24934</v>
      </c>
      <c r="N54" s="11">
        <v>24478</v>
      </c>
      <c r="O54" s="11">
        <v>111</v>
      </c>
      <c r="P54" s="11">
        <v>345</v>
      </c>
      <c r="Q54" s="2" t="s">
        <v>7</v>
      </c>
      <c r="R54" s="5">
        <v>2018</v>
      </c>
      <c r="S54" s="1" t="s">
        <v>12</v>
      </c>
      <c r="T54" s="1" t="s">
        <v>9</v>
      </c>
      <c r="U54" s="1" t="s">
        <v>49</v>
      </c>
    </row>
    <row r="55" spans="1:21" x14ac:dyDescent="0.3">
      <c r="A55" s="10" t="s">
        <v>110</v>
      </c>
      <c r="B55" s="10" t="s">
        <v>70</v>
      </c>
      <c r="C55" s="10" t="str">
        <f t="shared" si="0"/>
        <v>JACK SALUTEF04</v>
      </c>
      <c r="D55" s="4">
        <v>1262</v>
      </c>
      <c r="E55" s="2">
        <v>12.26</v>
      </c>
      <c r="F55" s="2">
        <v>11.89</v>
      </c>
      <c r="G55" s="2">
        <v>0.12</v>
      </c>
      <c r="H55" s="2">
        <v>0.25</v>
      </c>
      <c r="I55" s="2"/>
      <c r="J55" s="2" t="str">
        <f>IFERROR(VLOOKUP(C55,'23-24'!$C$4:$E$88,4,FALSE),"")</f>
        <v/>
      </c>
      <c r="K55" s="2"/>
      <c r="L55" s="2"/>
      <c r="M55" s="3">
        <v>15472</v>
      </c>
      <c r="N55" s="11">
        <v>15004</v>
      </c>
      <c r="O55" s="11">
        <v>153</v>
      </c>
      <c r="P55" s="11">
        <v>315</v>
      </c>
      <c r="Q55" s="2" t="s">
        <v>7</v>
      </c>
      <c r="R55" s="5">
        <v>2018</v>
      </c>
      <c r="S55" s="1" t="s">
        <v>12</v>
      </c>
      <c r="T55" s="1" t="s">
        <v>9</v>
      </c>
      <c r="U55" s="1" t="s">
        <v>49</v>
      </c>
    </row>
    <row r="56" spans="1:21" x14ac:dyDescent="0.3">
      <c r="A56" s="10" t="s">
        <v>110</v>
      </c>
      <c r="B56" s="10" t="s">
        <v>71</v>
      </c>
      <c r="C56" s="10" t="str">
        <f t="shared" si="0"/>
        <v>JACK SALUTEA01</v>
      </c>
      <c r="D56" s="4">
        <v>1780.2</v>
      </c>
      <c r="E56" s="2">
        <v>15</v>
      </c>
      <c r="F56" s="2">
        <v>14.81</v>
      </c>
      <c r="G56" s="2"/>
      <c r="H56" s="2">
        <v>0.1899999999999995</v>
      </c>
      <c r="I56" s="2"/>
      <c r="J56" s="2" t="str">
        <f>IFERROR(VLOOKUP(C56,'23-24'!$C$4:$E$88,4,FALSE),"")</f>
        <v/>
      </c>
      <c r="K56" s="2"/>
      <c r="L56" s="2"/>
      <c r="M56" s="3">
        <v>26703</v>
      </c>
      <c r="N56" s="11">
        <v>26364</v>
      </c>
      <c r="O56" s="11"/>
      <c r="P56" s="11">
        <v>339</v>
      </c>
      <c r="Q56" s="2" t="s">
        <v>7</v>
      </c>
      <c r="R56" s="5">
        <v>2020</v>
      </c>
      <c r="S56" s="1" t="s">
        <v>12</v>
      </c>
      <c r="T56" s="1" t="s">
        <v>9</v>
      </c>
      <c r="U56" s="1" t="s">
        <v>46</v>
      </c>
    </row>
    <row r="57" spans="1:21" x14ac:dyDescent="0.3">
      <c r="A57" s="10" t="s">
        <v>110</v>
      </c>
      <c r="B57" s="10" t="s">
        <v>72</v>
      </c>
      <c r="C57" s="10" t="str">
        <f t="shared" si="0"/>
        <v>JACK SALUTEA02</v>
      </c>
      <c r="D57" s="4">
        <v>1780.2</v>
      </c>
      <c r="E57" s="2">
        <v>14.99</v>
      </c>
      <c r="F57" s="2">
        <v>14.81</v>
      </c>
      <c r="G57" s="2"/>
      <c r="H57" s="2">
        <v>0.17999999999999972</v>
      </c>
      <c r="I57" s="2"/>
      <c r="J57" s="2" t="str">
        <f>IFERROR(VLOOKUP(C57,'23-24'!$C$4:$E$88,4,FALSE),"")</f>
        <v/>
      </c>
      <c r="K57" s="2"/>
      <c r="L57" s="2"/>
      <c r="M57" s="3">
        <v>26688</v>
      </c>
      <c r="N57" s="11">
        <v>26368</v>
      </c>
      <c r="O57" s="11"/>
      <c r="P57" s="11">
        <v>320</v>
      </c>
      <c r="Q57" s="2" t="s">
        <v>7</v>
      </c>
      <c r="R57" s="5">
        <v>2020</v>
      </c>
      <c r="S57" s="1" t="s">
        <v>12</v>
      </c>
      <c r="T57" s="1" t="s">
        <v>9</v>
      </c>
      <c r="U57" s="1" t="s">
        <v>46</v>
      </c>
    </row>
    <row r="58" spans="1:21" x14ac:dyDescent="0.3">
      <c r="A58" s="10" t="s">
        <v>110</v>
      </c>
      <c r="B58" s="10" t="s">
        <v>73</v>
      </c>
      <c r="C58" s="10" t="str">
        <f t="shared" si="0"/>
        <v>JACK SALUTEA03</v>
      </c>
      <c r="D58" s="4">
        <v>1779.3333333333333</v>
      </c>
      <c r="E58" s="2">
        <v>14.99</v>
      </c>
      <c r="F58" s="2">
        <v>13.54</v>
      </c>
      <c r="G58" s="2">
        <v>1.06</v>
      </c>
      <c r="H58" s="2">
        <v>0.39</v>
      </c>
      <c r="I58" s="2"/>
      <c r="J58" s="2" t="str">
        <f>IFERROR(VLOOKUP(C58,'23-24'!$C$4:$E$88,4,FALSE),"")</f>
        <v/>
      </c>
      <c r="K58" s="2"/>
      <c r="L58" s="2"/>
      <c r="M58" s="3">
        <v>26690</v>
      </c>
      <c r="N58" s="11">
        <v>24106</v>
      </c>
      <c r="O58" s="11">
        <v>1884</v>
      </c>
      <c r="P58" s="11">
        <v>700</v>
      </c>
      <c r="Q58" s="2" t="s">
        <v>7</v>
      </c>
      <c r="R58" s="5">
        <v>2020</v>
      </c>
      <c r="S58" s="1" t="s">
        <v>12</v>
      </c>
      <c r="T58" s="1" t="s">
        <v>9</v>
      </c>
      <c r="U58" s="1" t="s">
        <v>46</v>
      </c>
    </row>
    <row r="59" spans="1:21" x14ac:dyDescent="0.3">
      <c r="A59" s="10" t="s">
        <v>110</v>
      </c>
      <c r="B59" s="10" t="s">
        <v>74</v>
      </c>
      <c r="C59" s="10" t="str">
        <f t="shared" si="0"/>
        <v>JACK SALUTEE01</v>
      </c>
      <c r="D59" s="8">
        <v>1894</v>
      </c>
      <c r="E59" s="2">
        <v>14.96</v>
      </c>
      <c r="F59" s="2">
        <v>14.05</v>
      </c>
      <c r="G59" s="2">
        <v>0.73</v>
      </c>
      <c r="H59" s="2">
        <v>0.17999999999999972</v>
      </c>
      <c r="I59" s="2"/>
      <c r="J59" s="2" t="str">
        <f>IFERROR(VLOOKUP(C59,'23-24'!$C$4:$E$88,4,FALSE),"")</f>
        <v/>
      </c>
      <c r="K59" s="2"/>
      <c r="L59" s="2"/>
      <c r="M59" s="3">
        <v>28343</v>
      </c>
      <c r="N59" s="11">
        <v>26609</v>
      </c>
      <c r="O59" s="11">
        <v>1383</v>
      </c>
      <c r="P59" s="11">
        <v>351</v>
      </c>
      <c r="Q59" s="2" t="s">
        <v>7</v>
      </c>
      <c r="R59" s="5">
        <v>2021</v>
      </c>
      <c r="S59" s="1" t="s">
        <v>12</v>
      </c>
      <c r="T59" s="1" t="s">
        <v>9</v>
      </c>
      <c r="U59" s="1" t="s">
        <v>49</v>
      </c>
    </row>
    <row r="60" spans="1:21" x14ac:dyDescent="0.3">
      <c r="A60" s="10" t="s">
        <v>110</v>
      </c>
      <c r="B60" s="10" t="s">
        <v>75</v>
      </c>
      <c r="C60" s="10" t="str">
        <f t="shared" si="0"/>
        <v>JACK SALUTEE02</v>
      </c>
      <c r="D60" s="8">
        <v>1894</v>
      </c>
      <c r="E60" s="2">
        <v>4.3600000000000003</v>
      </c>
      <c r="F60" s="2">
        <v>4.17</v>
      </c>
      <c r="G60" s="2">
        <v>0.12</v>
      </c>
      <c r="H60" s="2">
        <v>7.0000000000000284E-2</v>
      </c>
      <c r="I60" s="2"/>
      <c r="J60" s="2" t="str">
        <f>IFERROR(VLOOKUP(C60,'23-24'!$C$4:$E$88,4,FALSE),"")</f>
        <v/>
      </c>
      <c r="K60" s="2"/>
      <c r="L60" s="2"/>
      <c r="M60" s="3">
        <v>8256</v>
      </c>
      <c r="N60" s="11">
        <v>7897</v>
      </c>
      <c r="O60" s="11">
        <v>220</v>
      </c>
      <c r="P60" s="11">
        <v>139</v>
      </c>
      <c r="Q60" s="2" t="s">
        <v>7</v>
      </c>
      <c r="R60" s="5">
        <v>2021</v>
      </c>
      <c r="S60" s="1" t="s">
        <v>12</v>
      </c>
      <c r="T60" s="1" t="s">
        <v>9</v>
      </c>
      <c r="U60" s="1" t="s">
        <v>49</v>
      </c>
    </row>
    <row r="61" spans="1:21" x14ac:dyDescent="0.3">
      <c r="A61" s="10" t="s">
        <v>110</v>
      </c>
      <c r="B61" s="10" t="s">
        <v>76</v>
      </c>
      <c r="C61" s="10" t="str">
        <f t="shared" si="0"/>
        <v>JACK SALUTEE03</v>
      </c>
      <c r="D61" s="8">
        <v>1894</v>
      </c>
      <c r="E61" s="2">
        <v>7.85</v>
      </c>
      <c r="F61" s="2">
        <v>7.57</v>
      </c>
      <c r="G61" s="2">
        <v>0.24</v>
      </c>
      <c r="H61" s="2">
        <v>3.9999999999999147E-2</v>
      </c>
      <c r="I61" s="2"/>
      <c r="J61" s="2" t="str">
        <f>IFERROR(VLOOKUP(C61,'23-24'!$C$4:$E$88,4,FALSE),"")</f>
        <v/>
      </c>
      <c r="K61" s="2"/>
      <c r="L61" s="2"/>
      <c r="M61" s="3">
        <v>14869</v>
      </c>
      <c r="N61" s="11">
        <v>14333</v>
      </c>
      <c r="O61" s="11">
        <v>463</v>
      </c>
      <c r="P61" s="11">
        <v>73</v>
      </c>
      <c r="Q61" s="2" t="s">
        <v>7</v>
      </c>
      <c r="R61" s="5">
        <v>2021</v>
      </c>
      <c r="S61" s="1" t="s">
        <v>12</v>
      </c>
      <c r="T61" s="1" t="s">
        <v>9</v>
      </c>
      <c r="U61" s="1" t="s">
        <v>49</v>
      </c>
    </row>
    <row r="62" spans="1:21" x14ac:dyDescent="0.3">
      <c r="A62" s="10" t="s">
        <v>110</v>
      </c>
      <c r="B62" s="10" t="s">
        <v>77</v>
      </c>
      <c r="C62" s="10" t="str">
        <f t="shared" si="0"/>
        <v>JACK SALUTEE04</v>
      </c>
      <c r="D62" s="8">
        <v>1905</v>
      </c>
      <c r="E62" s="2">
        <v>13.08</v>
      </c>
      <c r="F62" s="2">
        <v>11.76</v>
      </c>
      <c r="G62" s="2">
        <v>0.88</v>
      </c>
      <c r="H62" s="2">
        <v>0.4399999999999995</v>
      </c>
      <c r="I62" s="2"/>
      <c r="J62" s="2" t="str">
        <f>IFERROR(VLOOKUP(C62,'23-24'!$C$4:$E$88,4,FALSE),"")</f>
        <v/>
      </c>
      <c r="K62" s="2"/>
      <c r="L62" s="2"/>
      <c r="M62" s="3">
        <v>24926</v>
      </c>
      <c r="N62" s="11">
        <v>22407</v>
      </c>
      <c r="O62" s="11">
        <v>1670</v>
      </c>
      <c r="P62" s="11">
        <v>849</v>
      </c>
      <c r="Q62" s="2" t="s">
        <v>7</v>
      </c>
      <c r="R62" s="5">
        <v>2021</v>
      </c>
      <c r="S62" s="1" t="s">
        <v>12</v>
      </c>
      <c r="T62" s="1" t="s">
        <v>9</v>
      </c>
      <c r="U62" s="1" t="s">
        <v>49</v>
      </c>
    </row>
    <row r="63" spans="1:21" x14ac:dyDescent="0.3">
      <c r="A63" s="18" t="s">
        <v>111</v>
      </c>
      <c r="B63" s="10" t="s">
        <v>78</v>
      </c>
      <c r="C63" s="10" t="str">
        <f t="shared" si="0"/>
        <v>SWEET MAGICF11</v>
      </c>
      <c r="D63" s="4">
        <v>1905</v>
      </c>
      <c r="E63" s="2">
        <v>3.3108398950131233</v>
      </c>
      <c r="F63" s="2">
        <v>2.63</v>
      </c>
      <c r="G63" s="2">
        <v>0.68083989501312336</v>
      </c>
      <c r="H63" s="2">
        <v>0</v>
      </c>
      <c r="I63" s="2"/>
      <c r="J63" s="2" t="str">
        <f>IFERROR(VLOOKUP(C63,'23-24'!$C$4:$E$88,4,FALSE),"")</f>
        <v/>
      </c>
      <c r="K63" s="2"/>
      <c r="L63" s="2"/>
      <c r="M63" s="3">
        <v>1297</v>
      </c>
      <c r="N63" s="2"/>
      <c r="O63" s="2">
        <v>1297</v>
      </c>
      <c r="P63" s="2">
        <v>0</v>
      </c>
      <c r="Q63" s="2" t="s">
        <v>91</v>
      </c>
      <c r="R63" s="5">
        <v>2022</v>
      </c>
      <c r="S63" s="1" t="s">
        <v>12</v>
      </c>
      <c r="T63" s="1" t="s">
        <v>27</v>
      </c>
      <c r="U63" s="1" t="s">
        <v>137</v>
      </c>
    </row>
    <row r="64" spans="1:21" x14ac:dyDescent="0.3">
      <c r="A64" s="10" t="s">
        <v>135</v>
      </c>
      <c r="B64" s="10" t="s">
        <v>80</v>
      </c>
      <c r="C64" s="10" t="str">
        <f t="shared" si="0"/>
        <v>KRYSSIG11</v>
      </c>
      <c r="D64" s="4">
        <v>1780</v>
      </c>
      <c r="E64" s="2">
        <v>2.56</v>
      </c>
      <c r="F64" s="2">
        <v>0</v>
      </c>
      <c r="G64" s="2">
        <v>2</v>
      </c>
      <c r="H64" s="2">
        <v>0.56000000000000005</v>
      </c>
      <c r="I64" s="2"/>
      <c r="J64" s="2" t="str">
        <f>IFERROR(VLOOKUP(C64,'23-24'!$C$4:$E$88,4,FALSE),"")</f>
        <v/>
      </c>
      <c r="K64" s="2"/>
      <c r="L64" s="2"/>
      <c r="M64" s="3">
        <v>4557</v>
      </c>
      <c r="N64" s="2">
        <v>0</v>
      </c>
      <c r="O64" s="2">
        <v>3557</v>
      </c>
      <c r="P64" s="2">
        <v>1000</v>
      </c>
      <c r="Q64" s="2" t="s">
        <v>91</v>
      </c>
      <c r="R64" s="5">
        <v>2021</v>
      </c>
      <c r="S64" s="1" t="s">
        <v>12</v>
      </c>
      <c r="T64" s="1" t="s">
        <v>27</v>
      </c>
      <c r="U64" s="1" t="s">
        <v>53</v>
      </c>
    </row>
    <row r="65" spans="1:21" x14ac:dyDescent="0.3">
      <c r="A65" s="10" t="s">
        <v>112</v>
      </c>
      <c r="B65" s="10" t="s">
        <v>81</v>
      </c>
      <c r="C65" s="10" t="str">
        <f t="shared" si="0"/>
        <v>SWEET CELEBRATIONB01</v>
      </c>
      <c r="D65" s="4">
        <v>1780</v>
      </c>
      <c r="E65" s="2">
        <v>14.77</v>
      </c>
      <c r="F65" s="2">
        <v>14.51</v>
      </c>
      <c r="G65" s="2">
        <v>0.26</v>
      </c>
      <c r="H65" s="2"/>
      <c r="I65" s="2"/>
      <c r="J65" s="2" t="str">
        <f>IFERROR(VLOOKUP(C65,'23-24'!$C$4:$E$88,4,FALSE),"")</f>
        <v/>
      </c>
      <c r="K65" s="2"/>
      <c r="L65" s="2"/>
      <c r="M65" s="3">
        <v>26289</v>
      </c>
      <c r="N65" s="2">
        <v>25831</v>
      </c>
      <c r="O65" s="2">
        <v>458</v>
      </c>
      <c r="P65" s="2"/>
      <c r="Q65" s="2" t="s">
        <v>7</v>
      </c>
      <c r="R65" s="5">
        <v>2020</v>
      </c>
      <c r="S65" s="1" t="s">
        <v>12</v>
      </c>
      <c r="T65" s="1" t="s">
        <v>9</v>
      </c>
      <c r="U65" s="1" t="s">
        <v>46</v>
      </c>
    </row>
    <row r="66" spans="1:21" x14ac:dyDescent="0.3">
      <c r="A66" s="10" t="s">
        <v>112</v>
      </c>
      <c r="B66" s="10" t="s">
        <v>82</v>
      </c>
      <c r="C66" s="10" t="str">
        <f t="shared" si="0"/>
        <v>SWEET CELEBRATIONB02</v>
      </c>
      <c r="D66" s="4">
        <v>1780</v>
      </c>
      <c r="E66" s="2">
        <v>14.75</v>
      </c>
      <c r="F66" s="2">
        <v>14.53</v>
      </c>
      <c r="G66" s="2">
        <v>0.22</v>
      </c>
      <c r="H66" s="2"/>
      <c r="I66" s="2"/>
      <c r="J66" s="2" t="str">
        <f>IFERROR(VLOOKUP(C66,'23-24'!$C$4:$E$88,4,FALSE),"")</f>
        <v/>
      </c>
      <c r="K66" s="2"/>
      <c r="L66" s="2"/>
      <c r="M66" s="3">
        <v>26257</v>
      </c>
      <c r="N66" s="2">
        <v>25867</v>
      </c>
      <c r="O66" s="2">
        <v>392</v>
      </c>
      <c r="P66" s="2"/>
      <c r="Q66" s="2" t="s">
        <v>7</v>
      </c>
      <c r="R66" s="5">
        <v>2020</v>
      </c>
      <c r="S66" s="1" t="s">
        <v>12</v>
      </c>
      <c r="T66" s="1" t="s">
        <v>9</v>
      </c>
      <c r="U66" s="1" t="s">
        <v>46</v>
      </c>
    </row>
    <row r="67" spans="1:21" x14ac:dyDescent="0.3">
      <c r="A67" s="10" t="s">
        <v>112</v>
      </c>
      <c r="B67" s="10" t="s">
        <v>51</v>
      </c>
      <c r="C67" s="10" t="str">
        <f t="shared" si="0"/>
        <v>SWEET CELEBRATIONB03</v>
      </c>
      <c r="D67" s="4">
        <v>1780</v>
      </c>
      <c r="E67" s="2">
        <v>7.3000000000000007</v>
      </c>
      <c r="F67" s="2">
        <v>6.74</v>
      </c>
      <c r="G67" s="2">
        <v>0.56000000000000005</v>
      </c>
      <c r="H67" s="2"/>
      <c r="I67" s="2"/>
      <c r="J67" s="2" t="str">
        <f>IFERROR(VLOOKUP(C67,'23-24'!$C$4:$E$88,4,FALSE),"")</f>
        <v/>
      </c>
      <c r="K67" s="2"/>
      <c r="L67" s="2"/>
      <c r="M67" s="3">
        <v>12999</v>
      </c>
      <c r="N67" s="2">
        <v>12003</v>
      </c>
      <c r="O67" s="2">
        <v>996</v>
      </c>
      <c r="P67" s="2"/>
      <c r="Q67" s="2" t="s">
        <v>7</v>
      </c>
      <c r="R67" s="5">
        <v>2021</v>
      </c>
      <c r="S67" s="1" t="s">
        <v>12</v>
      </c>
      <c r="T67" s="1" t="s">
        <v>9</v>
      </c>
      <c r="U67" s="1" t="s">
        <v>46</v>
      </c>
    </row>
    <row r="68" spans="1:21" x14ac:dyDescent="0.3">
      <c r="A68" s="10" t="s">
        <v>112</v>
      </c>
      <c r="B68" s="10" t="s">
        <v>83</v>
      </c>
      <c r="C68" s="10" t="str">
        <f t="shared" si="0"/>
        <v>SWEET CELEBRATIONC12</v>
      </c>
      <c r="D68" s="4">
        <v>1632</v>
      </c>
      <c r="E68" s="2">
        <v>11.61</v>
      </c>
      <c r="F68" s="2">
        <v>10.68</v>
      </c>
      <c r="G68" s="2">
        <v>0.86</v>
      </c>
      <c r="H68" s="2">
        <v>7.0000000000000007E-2</v>
      </c>
      <c r="I68" s="2"/>
      <c r="J68" s="2" t="str">
        <f>IFERROR(VLOOKUP(C68,'23-24'!$C$4:$E$88,4,FALSE),"")</f>
        <v/>
      </c>
      <c r="K68" s="2"/>
      <c r="L68" s="2"/>
      <c r="M68" s="3">
        <v>18922</v>
      </c>
      <c r="N68" s="2">
        <v>17410</v>
      </c>
      <c r="O68" s="2">
        <v>1403</v>
      </c>
      <c r="P68" s="2">
        <v>116</v>
      </c>
      <c r="Q68" s="2" t="s">
        <v>7</v>
      </c>
      <c r="R68" s="5">
        <v>2016</v>
      </c>
      <c r="S68" s="1" t="s">
        <v>12</v>
      </c>
      <c r="T68" s="1" t="s">
        <v>27</v>
      </c>
      <c r="U68" s="1" t="s">
        <v>134</v>
      </c>
    </row>
    <row r="69" spans="1:21" x14ac:dyDescent="0.3">
      <c r="A69" s="10" t="s">
        <v>112</v>
      </c>
      <c r="B69" s="10" t="s">
        <v>84</v>
      </c>
      <c r="C69" s="10" t="str">
        <f t="shared" ref="C69:C85" si="2">CONCATENATE(A69,B69)</f>
        <v>SWEET CELEBRATIONC13</v>
      </c>
      <c r="D69" s="4">
        <v>1632</v>
      </c>
      <c r="E69" s="2">
        <v>15.300098039215687</v>
      </c>
      <c r="F69" s="2">
        <v>13.68</v>
      </c>
      <c r="G69" s="2">
        <v>1.4197303921568627</v>
      </c>
      <c r="H69" s="2">
        <v>0.20036764705882354</v>
      </c>
      <c r="I69" s="2"/>
      <c r="J69" s="2" t="str">
        <f>IFERROR(VLOOKUP(C69,'23-24'!$C$4:$E$88,4,FALSE),"")</f>
        <v/>
      </c>
      <c r="K69" s="2"/>
      <c r="L69" s="2"/>
      <c r="M69" s="3">
        <v>24864</v>
      </c>
      <c r="N69" s="2">
        <v>22220</v>
      </c>
      <c r="O69" s="2">
        <v>2317</v>
      </c>
      <c r="P69" s="2">
        <v>327</v>
      </c>
      <c r="Q69" s="2" t="s">
        <v>7</v>
      </c>
      <c r="R69" s="5">
        <v>2016</v>
      </c>
      <c r="S69" s="1" t="s">
        <v>12</v>
      </c>
      <c r="T69" s="1" t="s">
        <v>27</v>
      </c>
      <c r="U69" s="1" t="s">
        <v>134</v>
      </c>
    </row>
    <row r="70" spans="1:21" x14ac:dyDescent="0.3">
      <c r="A70" s="10" t="s">
        <v>112</v>
      </c>
      <c r="B70" s="10" t="s">
        <v>85</v>
      </c>
      <c r="C70" s="10" t="str">
        <f t="shared" si="2"/>
        <v>SWEET CELEBRATIONC14</v>
      </c>
      <c r="D70" s="4">
        <v>1632</v>
      </c>
      <c r="E70" s="2">
        <v>15.290196078431373</v>
      </c>
      <c r="F70" s="2">
        <v>14.05</v>
      </c>
      <c r="G70" s="2">
        <v>0.96323529411764708</v>
      </c>
      <c r="H70" s="2">
        <v>0.27696078431372551</v>
      </c>
      <c r="I70" s="2"/>
      <c r="J70" s="2" t="str">
        <f>IFERROR(VLOOKUP(C70,'23-24'!$C$4:$E$88,4,FALSE),"")</f>
        <v/>
      </c>
      <c r="K70" s="2"/>
      <c r="L70" s="2"/>
      <c r="M70" s="3">
        <v>24753</v>
      </c>
      <c r="N70" s="2">
        <v>22729</v>
      </c>
      <c r="O70" s="2">
        <v>1572</v>
      </c>
      <c r="P70" s="2">
        <v>452</v>
      </c>
      <c r="Q70" s="2" t="s">
        <v>7</v>
      </c>
      <c r="R70" s="5">
        <v>2016</v>
      </c>
      <c r="S70" s="1" t="s">
        <v>12</v>
      </c>
      <c r="T70" s="1" t="s">
        <v>27</v>
      </c>
      <c r="U70" s="1" t="s">
        <v>134</v>
      </c>
    </row>
    <row r="71" spans="1:21" x14ac:dyDescent="0.3">
      <c r="A71" s="10" t="s">
        <v>112</v>
      </c>
      <c r="B71" s="10" t="s">
        <v>86</v>
      </c>
      <c r="C71" s="10" t="str">
        <f t="shared" si="2"/>
        <v>SWEET CELEBRATIONC15</v>
      </c>
      <c r="D71" s="4">
        <v>1632</v>
      </c>
      <c r="E71" s="2">
        <v>13.784215686274509</v>
      </c>
      <c r="F71" s="2">
        <v>13.37</v>
      </c>
      <c r="G71" s="2">
        <v>0.31311274509803921</v>
      </c>
      <c r="H71" s="2">
        <v>0.10110294117647059</v>
      </c>
      <c r="I71" s="2"/>
      <c r="J71" s="2" t="str">
        <f>IFERROR(VLOOKUP(C71,'23-24'!$C$4:$E$88,4,FALSE),"")</f>
        <v/>
      </c>
      <c r="K71" s="2"/>
      <c r="L71" s="2"/>
      <c r="M71" s="3">
        <v>22360</v>
      </c>
      <c r="N71" s="2">
        <v>21762</v>
      </c>
      <c r="O71" s="2">
        <v>511</v>
      </c>
      <c r="P71" s="2">
        <v>165</v>
      </c>
      <c r="Q71" s="2" t="s">
        <v>7</v>
      </c>
      <c r="R71" s="5">
        <v>2016</v>
      </c>
      <c r="S71" s="1" t="s">
        <v>12</v>
      </c>
      <c r="T71" s="1" t="s">
        <v>27</v>
      </c>
      <c r="U71" s="1" t="s">
        <v>134</v>
      </c>
    </row>
    <row r="72" spans="1:21" x14ac:dyDescent="0.3">
      <c r="A72" s="10" t="s">
        <v>112</v>
      </c>
      <c r="B72" s="10" t="s">
        <v>87</v>
      </c>
      <c r="C72" s="10" t="str">
        <f t="shared" si="2"/>
        <v>SWEET CELEBRATIONB12</v>
      </c>
      <c r="D72" s="4">
        <v>1587</v>
      </c>
      <c r="E72" s="2">
        <v>6.4104032766225583</v>
      </c>
      <c r="F72" s="2">
        <v>6.13</v>
      </c>
      <c r="G72" s="2">
        <v>0.24637681159420291</v>
      </c>
      <c r="H72" s="2">
        <v>3.4026465028355386E-2</v>
      </c>
      <c r="I72" s="2"/>
      <c r="J72" s="2" t="str">
        <f>IFERROR(VLOOKUP(C72,'23-24'!$C$4:$E$88,4,FALSE),"")</f>
        <v/>
      </c>
      <c r="K72" s="2"/>
      <c r="L72" s="2"/>
      <c r="M72" s="3">
        <v>10150</v>
      </c>
      <c r="N72" s="2">
        <v>9705</v>
      </c>
      <c r="O72" s="2">
        <v>391</v>
      </c>
      <c r="P72" s="2">
        <v>54</v>
      </c>
      <c r="Q72" s="2" t="s">
        <v>7</v>
      </c>
      <c r="R72" s="5">
        <v>2019</v>
      </c>
      <c r="S72" s="1" t="s">
        <v>12</v>
      </c>
      <c r="T72" s="1" t="s">
        <v>27</v>
      </c>
      <c r="U72" s="1" t="s">
        <v>134</v>
      </c>
    </row>
    <row r="73" spans="1:21" x14ac:dyDescent="0.3">
      <c r="A73" s="10" t="s">
        <v>113</v>
      </c>
      <c r="B73" s="10" t="s">
        <v>88</v>
      </c>
      <c r="C73" s="10" t="str">
        <f t="shared" si="2"/>
        <v>AUTUMN CRIPSG14</v>
      </c>
      <c r="D73" s="4">
        <v>1838</v>
      </c>
      <c r="E73" s="2">
        <v>15.464004352557128</v>
      </c>
      <c r="F73" s="2">
        <v>13.18</v>
      </c>
      <c r="G73" s="2">
        <f>O73/$D73</f>
        <v>2.0321001088139283</v>
      </c>
      <c r="H73" s="2">
        <f>P73/$D73</f>
        <v>0.25190424374319914</v>
      </c>
      <c r="I73" s="2"/>
      <c r="J73" s="2" t="str">
        <f>IFERROR(VLOOKUP(C73,'23-24'!$C$4:$E$88,4,FALSE),"")</f>
        <v/>
      </c>
      <c r="K73" s="2"/>
      <c r="L73" s="2"/>
      <c r="M73" s="3">
        <v>28415</v>
      </c>
      <c r="N73" s="2">
        <v>24218</v>
      </c>
      <c r="O73" s="2">
        <v>3735</v>
      </c>
      <c r="P73" s="2">
        <v>463</v>
      </c>
      <c r="Q73" s="2" t="s">
        <v>7</v>
      </c>
      <c r="R73" s="5">
        <v>2021</v>
      </c>
      <c r="S73" s="1" t="s">
        <v>12</v>
      </c>
      <c r="T73" s="1" t="s">
        <v>27</v>
      </c>
      <c r="U73" s="1" t="s">
        <v>34</v>
      </c>
    </row>
    <row r="74" spans="1:21" x14ac:dyDescent="0.3">
      <c r="A74" s="10" t="s">
        <v>113</v>
      </c>
      <c r="B74" s="10" t="s">
        <v>89</v>
      </c>
      <c r="C74" s="10" t="str">
        <f t="shared" si="2"/>
        <v>AUTUMN CRIPSG15</v>
      </c>
      <c r="D74" s="4">
        <v>1838</v>
      </c>
      <c r="E74" s="2">
        <v>11.382230685527748</v>
      </c>
      <c r="F74" s="2">
        <v>9.33</v>
      </c>
      <c r="G74" s="2">
        <f>O74/$D74</f>
        <v>1.8498367791077257</v>
      </c>
      <c r="H74" s="2">
        <f>P74/$D74</f>
        <v>0.20239390642002175</v>
      </c>
      <c r="I74" s="2"/>
      <c r="J74" s="2" t="str">
        <f>IFERROR(VLOOKUP(C74,'23-24'!$C$4:$E$88,4,FALSE),"")</f>
        <v/>
      </c>
      <c r="K74" s="2"/>
      <c r="L74" s="2"/>
      <c r="M74" s="3">
        <v>20843</v>
      </c>
      <c r="N74" s="2">
        <v>17147</v>
      </c>
      <c r="O74" s="2">
        <v>3400</v>
      </c>
      <c r="P74" s="2">
        <v>372</v>
      </c>
      <c r="Q74" s="2" t="s">
        <v>7</v>
      </c>
      <c r="R74" s="5">
        <v>2021</v>
      </c>
      <c r="S74" s="1" t="s">
        <v>12</v>
      </c>
      <c r="T74" s="1" t="s">
        <v>27</v>
      </c>
      <c r="U74" s="1" t="s">
        <v>34</v>
      </c>
    </row>
    <row r="75" spans="1:21" x14ac:dyDescent="0.3">
      <c r="A75" s="10" t="s">
        <v>113</v>
      </c>
      <c r="B75" s="10" t="s">
        <v>90</v>
      </c>
      <c r="C75" s="10" t="str">
        <f t="shared" si="2"/>
        <v>AUTUMN CRIPSG09</v>
      </c>
      <c r="D75" s="7">
        <v>1905</v>
      </c>
      <c r="E75" s="2">
        <v>11.87</v>
      </c>
      <c r="F75" s="2">
        <v>0</v>
      </c>
      <c r="G75" s="2">
        <v>11.87</v>
      </c>
      <c r="H75" s="2">
        <v>0</v>
      </c>
      <c r="I75" s="2"/>
      <c r="J75" s="2" t="str">
        <f>IFERROR(VLOOKUP(C75,'23-24'!$C$4:$E$88,4,FALSE),"")</f>
        <v/>
      </c>
      <c r="K75" s="2"/>
      <c r="L75" s="2"/>
      <c r="M75" s="3">
        <v>22374</v>
      </c>
      <c r="N75" s="2">
        <v>0</v>
      </c>
      <c r="O75" s="2">
        <v>22374</v>
      </c>
      <c r="P75" s="2">
        <v>0</v>
      </c>
      <c r="Q75" s="2" t="s">
        <v>91</v>
      </c>
      <c r="R75" s="5">
        <v>2022</v>
      </c>
      <c r="S75" s="1" t="s">
        <v>8</v>
      </c>
      <c r="T75" s="1" t="s">
        <v>27</v>
      </c>
      <c r="U75" s="1" t="s">
        <v>53</v>
      </c>
    </row>
    <row r="76" spans="1:21" x14ac:dyDescent="0.3">
      <c r="A76" s="10" t="s">
        <v>113</v>
      </c>
      <c r="B76" s="10" t="s">
        <v>92</v>
      </c>
      <c r="C76" s="10" t="str">
        <f t="shared" si="2"/>
        <v>AUTUMN CRIPSG10</v>
      </c>
      <c r="D76" s="7">
        <v>1905</v>
      </c>
      <c r="E76" s="2">
        <v>15</v>
      </c>
      <c r="F76" s="2">
        <v>0</v>
      </c>
      <c r="G76" s="2">
        <v>15</v>
      </c>
      <c r="H76" s="2">
        <v>0</v>
      </c>
      <c r="I76" s="2"/>
      <c r="J76" s="2" t="str">
        <f>IFERROR(VLOOKUP(C76,'23-24'!$C$4:$E$88,4,FALSE),"")</f>
        <v/>
      </c>
      <c r="K76" s="2"/>
      <c r="L76" s="2"/>
      <c r="M76" s="3">
        <v>28372</v>
      </c>
      <c r="N76" s="2">
        <v>0</v>
      </c>
      <c r="O76" s="2">
        <v>28372</v>
      </c>
      <c r="P76" s="2">
        <v>0</v>
      </c>
      <c r="Q76" s="2" t="s">
        <v>91</v>
      </c>
      <c r="R76" s="5">
        <v>2022</v>
      </c>
      <c r="S76" s="1" t="s">
        <v>8</v>
      </c>
      <c r="T76" s="1" t="s">
        <v>27</v>
      </c>
      <c r="U76" s="1" t="s">
        <v>53</v>
      </c>
    </row>
    <row r="77" spans="1:21" x14ac:dyDescent="0.3">
      <c r="A77" s="10" t="s">
        <v>113</v>
      </c>
      <c r="B77" s="10" t="s">
        <v>80</v>
      </c>
      <c r="C77" s="10" t="str">
        <f t="shared" si="2"/>
        <v>AUTUMN CRIPSG11</v>
      </c>
      <c r="D77" s="7">
        <v>1780</v>
      </c>
      <c r="E77" s="2">
        <v>10.7</v>
      </c>
      <c r="F77" s="2">
        <v>0</v>
      </c>
      <c r="G77" s="2">
        <v>10.7</v>
      </c>
      <c r="H77" s="2">
        <v>0</v>
      </c>
      <c r="I77" s="2"/>
      <c r="J77" s="2" t="str">
        <f>IFERROR(VLOOKUP(C77,'23-24'!$C$4:$E$88,4,FALSE),"")</f>
        <v/>
      </c>
      <c r="K77" s="2"/>
      <c r="L77" s="2"/>
      <c r="M77" s="3">
        <v>19040</v>
      </c>
      <c r="N77" s="2">
        <v>0</v>
      </c>
      <c r="O77" s="2">
        <v>19040</v>
      </c>
      <c r="P77" s="2">
        <v>0</v>
      </c>
      <c r="Q77" s="2" t="s">
        <v>91</v>
      </c>
      <c r="R77" s="5">
        <v>2022</v>
      </c>
      <c r="S77" s="1" t="s">
        <v>8</v>
      </c>
      <c r="T77" s="1" t="s">
        <v>27</v>
      </c>
      <c r="U77" s="1" t="s">
        <v>53</v>
      </c>
    </row>
    <row r="78" spans="1:21" x14ac:dyDescent="0.3">
      <c r="A78" s="10" t="s">
        <v>113</v>
      </c>
      <c r="B78" s="10" t="s">
        <v>93</v>
      </c>
      <c r="C78" s="10" t="str">
        <f t="shared" si="2"/>
        <v>AUTUMN CRIPSC01</v>
      </c>
      <c r="D78" s="7">
        <v>1905</v>
      </c>
      <c r="E78" s="2">
        <v>15</v>
      </c>
      <c r="F78" s="2">
        <v>0</v>
      </c>
      <c r="G78" s="2">
        <v>15</v>
      </c>
      <c r="H78" s="2">
        <v>0</v>
      </c>
      <c r="I78" s="2"/>
      <c r="J78" s="2" t="str">
        <f>IFERROR(VLOOKUP(C78,'23-24'!$C$4:$E$88,4,FALSE),"")</f>
        <v/>
      </c>
      <c r="K78" s="2"/>
      <c r="L78" s="2"/>
      <c r="M78" s="3">
        <v>28376</v>
      </c>
      <c r="N78" s="2">
        <v>0</v>
      </c>
      <c r="O78" s="2">
        <v>28376</v>
      </c>
      <c r="P78" s="2">
        <v>0</v>
      </c>
      <c r="Q78" s="2" t="s">
        <v>91</v>
      </c>
      <c r="R78" s="5">
        <v>2022</v>
      </c>
      <c r="S78" s="1" t="s">
        <v>8</v>
      </c>
      <c r="T78" s="1" t="s">
        <v>9</v>
      </c>
      <c r="U78" s="1" t="s">
        <v>133</v>
      </c>
    </row>
    <row r="79" spans="1:21" x14ac:dyDescent="0.3">
      <c r="A79" s="10" t="s">
        <v>113</v>
      </c>
      <c r="B79" s="10" t="s">
        <v>94</v>
      </c>
      <c r="C79" s="10" t="str">
        <f t="shared" si="2"/>
        <v>AUTUMN CRIPSC02</v>
      </c>
      <c r="D79" s="7">
        <v>1905</v>
      </c>
      <c r="E79" s="2">
        <v>15</v>
      </c>
      <c r="F79" s="2">
        <v>0</v>
      </c>
      <c r="G79" s="2">
        <v>15</v>
      </c>
      <c r="H79" s="2">
        <v>0</v>
      </c>
      <c r="I79" s="2"/>
      <c r="J79" s="2" t="str">
        <f>IFERROR(VLOOKUP(C79,'23-24'!$C$4:$E$88,4,FALSE),"")</f>
        <v/>
      </c>
      <c r="K79" s="2"/>
      <c r="L79" s="2"/>
      <c r="M79" s="3">
        <v>28376</v>
      </c>
      <c r="N79" s="2">
        <v>0</v>
      </c>
      <c r="O79" s="2">
        <v>28376</v>
      </c>
      <c r="P79" s="2">
        <v>0</v>
      </c>
      <c r="Q79" s="2" t="s">
        <v>91</v>
      </c>
      <c r="R79" s="5">
        <v>2022</v>
      </c>
      <c r="S79" s="1" t="s">
        <v>8</v>
      </c>
      <c r="T79" s="1" t="s">
        <v>9</v>
      </c>
      <c r="U79" s="1" t="s">
        <v>133</v>
      </c>
    </row>
    <row r="80" spans="1:21" x14ac:dyDescent="0.3">
      <c r="A80" s="10" t="s">
        <v>113</v>
      </c>
      <c r="B80" s="10" t="s">
        <v>95</v>
      </c>
      <c r="C80" s="10" t="str">
        <f t="shared" si="2"/>
        <v>AUTUMN CRIPSC03</v>
      </c>
      <c r="D80" s="7">
        <v>1905</v>
      </c>
      <c r="E80" s="2">
        <v>15</v>
      </c>
      <c r="F80" s="2">
        <v>0</v>
      </c>
      <c r="G80" s="2">
        <v>15</v>
      </c>
      <c r="H80" s="2">
        <v>0</v>
      </c>
      <c r="I80" s="2"/>
      <c r="J80" s="2" t="str">
        <f>IFERROR(VLOOKUP(C80,'23-24'!$C$4:$E$88,4,FALSE),"")</f>
        <v/>
      </c>
      <c r="K80" s="2"/>
      <c r="L80" s="2"/>
      <c r="M80" s="3">
        <v>28376</v>
      </c>
      <c r="N80" s="2">
        <v>0</v>
      </c>
      <c r="O80" s="2">
        <v>28376</v>
      </c>
      <c r="P80" s="2">
        <v>0</v>
      </c>
      <c r="Q80" s="2" t="s">
        <v>91</v>
      </c>
      <c r="R80" s="5">
        <v>2022</v>
      </c>
      <c r="S80" s="1" t="s">
        <v>8</v>
      </c>
      <c r="T80" s="1" t="s">
        <v>9</v>
      </c>
      <c r="U80" s="1" t="s">
        <v>133</v>
      </c>
    </row>
    <row r="81" spans="1:21" x14ac:dyDescent="0.3">
      <c r="A81" s="10" t="s">
        <v>113</v>
      </c>
      <c r="B81" s="10" t="s">
        <v>96</v>
      </c>
      <c r="C81" s="10" t="str">
        <f t="shared" si="2"/>
        <v>AUTUMN CRIPSD14</v>
      </c>
      <c r="D81" s="7">
        <v>1905</v>
      </c>
      <c r="E81" s="2">
        <v>12.07</v>
      </c>
      <c r="F81" s="2">
        <v>0</v>
      </c>
      <c r="G81" s="2">
        <v>12.07</v>
      </c>
      <c r="H81" s="2">
        <v>0</v>
      </c>
      <c r="I81" s="2"/>
      <c r="J81" s="2" t="str">
        <f>IFERROR(VLOOKUP(C81,'23-24'!$C$4:$E$88,4,FALSE),"")</f>
        <v/>
      </c>
      <c r="K81" s="2"/>
      <c r="L81" s="2"/>
      <c r="M81" s="3">
        <v>22986</v>
      </c>
      <c r="N81" s="2">
        <v>0</v>
      </c>
      <c r="O81" s="2">
        <v>22986</v>
      </c>
      <c r="P81" s="2">
        <v>0</v>
      </c>
      <c r="Q81" s="2" t="s">
        <v>91</v>
      </c>
      <c r="R81" s="5">
        <v>2022</v>
      </c>
      <c r="S81" s="1" t="s">
        <v>12</v>
      </c>
      <c r="T81" s="1" t="s">
        <v>27</v>
      </c>
      <c r="U81" s="1" t="s">
        <v>136</v>
      </c>
    </row>
    <row r="82" spans="1:21" x14ac:dyDescent="0.3">
      <c r="A82" s="10" t="s">
        <v>113</v>
      </c>
      <c r="B82" s="10" t="s">
        <v>97</v>
      </c>
      <c r="C82" s="10" t="str">
        <f t="shared" si="2"/>
        <v>AUTUMN CRIPSD15</v>
      </c>
      <c r="D82" s="7">
        <v>1905</v>
      </c>
      <c r="E82" s="2">
        <v>16.93</v>
      </c>
      <c r="F82" s="2">
        <v>0</v>
      </c>
      <c r="G82" s="2">
        <v>16.93</v>
      </c>
      <c r="H82" s="2">
        <v>0</v>
      </c>
      <c r="I82" s="2"/>
      <c r="J82" s="2" t="str">
        <f>IFERROR(VLOOKUP(C82,'23-24'!$C$4:$E$88,4,FALSE),"")</f>
        <v/>
      </c>
      <c r="K82" s="2"/>
      <c r="L82" s="2"/>
      <c r="M82" s="3">
        <v>32260</v>
      </c>
      <c r="N82" s="2">
        <v>0</v>
      </c>
      <c r="O82" s="2">
        <v>32260</v>
      </c>
      <c r="P82" s="2">
        <v>0</v>
      </c>
      <c r="Q82" s="2" t="s">
        <v>91</v>
      </c>
      <c r="R82" s="5">
        <v>2022</v>
      </c>
      <c r="S82" s="1" t="s">
        <v>12</v>
      </c>
      <c r="T82" s="1" t="s">
        <v>27</v>
      </c>
      <c r="U82" s="1" t="s">
        <v>136</v>
      </c>
    </row>
    <row r="83" spans="1:21" x14ac:dyDescent="0.3">
      <c r="A83" s="10" t="s">
        <v>113</v>
      </c>
      <c r="B83" s="10" t="s">
        <v>98</v>
      </c>
      <c r="C83" s="10" t="str">
        <f t="shared" si="2"/>
        <v>AUTUMN CRIPSE15</v>
      </c>
      <c r="D83" s="7">
        <v>1905</v>
      </c>
      <c r="E83" s="2">
        <v>7.51</v>
      </c>
      <c r="F83" s="2">
        <v>0</v>
      </c>
      <c r="G83" s="2">
        <v>7.51</v>
      </c>
      <c r="H83" s="2">
        <v>0</v>
      </c>
      <c r="I83" s="2"/>
      <c r="J83" s="2" t="str">
        <f>IFERROR(VLOOKUP(C83,'23-24'!$C$4:$E$88,4,FALSE),"")</f>
        <v/>
      </c>
      <c r="K83" s="2"/>
      <c r="L83" s="2"/>
      <c r="M83" s="3">
        <v>14314</v>
      </c>
      <c r="N83" s="2">
        <v>0</v>
      </c>
      <c r="O83" s="2">
        <v>14314</v>
      </c>
      <c r="P83" s="2">
        <v>0</v>
      </c>
      <c r="Q83" s="2" t="s">
        <v>91</v>
      </c>
      <c r="R83" s="5">
        <v>2022</v>
      </c>
      <c r="S83" s="1" t="s">
        <v>12</v>
      </c>
      <c r="T83" s="1" t="s">
        <v>27</v>
      </c>
      <c r="U83" s="1" t="s">
        <v>136</v>
      </c>
    </row>
    <row r="84" spans="1:21" x14ac:dyDescent="0.3">
      <c r="A84" s="10" t="s">
        <v>113</v>
      </c>
      <c r="B84" s="10" t="s">
        <v>99</v>
      </c>
      <c r="C84" s="10" t="str">
        <f t="shared" si="2"/>
        <v>AUTUMN CRIPSA12</v>
      </c>
      <c r="D84" s="8">
        <v>1754</v>
      </c>
      <c r="E84" s="2">
        <v>19.73</v>
      </c>
      <c r="F84" s="2">
        <v>0</v>
      </c>
      <c r="G84" s="2">
        <v>19.73</v>
      </c>
      <c r="H84" s="2">
        <v>0</v>
      </c>
      <c r="I84" s="2"/>
      <c r="J84" s="2" t="str">
        <f>IFERROR(VLOOKUP(C84,'23-24'!$C$4:$E$88,4,FALSE),"")</f>
        <v/>
      </c>
      <c r="K84" s="2"/>
      <c r="L84" s="2"/>
      <c r="M84" s="3">
        <v>34606</v>
      </c>
      <c r="N84" s="2">
        <v>0</v>
      </c>
      <c r="O84" s="2">
        <v>34606</v>
      </c>
      <c r="P84" s="2">
        <v>0</v>
      </c>
      <c r="Q84" s="2" t="s">
        <v>91</v>
      </c>
      <c r="R84" s="5">
        <v>2022</v>
      </c>
      <c r="S84" s="1" t="s">
        <v>8</v>
      </c>
      <c r="T84" s="1" t="s">
        <v>27</v>
      </c>
      <c r="U84" s="1" t="s">
        <v>134</v>
      </c>
    </row>
    <row r="85" spans="1:21" x14ac:dyDescent="0.3">
      <c r="A85" s="10" t="s">
        <v>113</v>
      </c>
      <c r="B85" s="10" t="s">
        <v>100</v>
      </c>
      <c r="C85" s="10" t="str">
        <f t="shared" si="2"/>
        <v>AUTUMN CRIPSA13</v>
      </c>
      <c r="D85" s="8">
        <v>1754</v>
      </c>
      <c r="E85" s="2">
        <v>6.72</v>
      </c>
      <c r="F85" s="2">
        <v>0</v>
      </c>
      <c r="G85" s="2">
        <v>6.72</v>
      </c>
      <c r="H85" s="2">
        <v>0</v>
      </c>
      <c r="I85" s="2"/>
      <c r="J85" s="2" t="str">
        <f>IFERROR(VLOOKUP(C85,'23-24'!$C$4:$E$88,4,FALSE),"")</f>
        <v/>
      </c>
      <c r="K85" s="2"/>
      <c r="L85" s="2"/>
      <c r="M85" s="3">
        <v>11785</v>
      </c>
      <c r="N85" s="2">
        <v>0</v>
      </c>
      <c r="O85" s="2">
        <v>11785</v>
      </c>
      <c r="P85" s="2">
        <v>0</v>
      </c>
      <c r="Q85" s="2" t="s">
        <v>91</v>
      </c>
      <c r="R85" s="5">
        <v>2022</v>
      </c>
      <c r="S85" s="1" t="s">
        <v>8</v>
      </c>
      <c r="T85" s="1" t="s">
        <v>27</v>
      </c>
      <c r="U85" s="1" t="s">
        <v>134</v>
      </c>
    </row>
    <row r="88" spans="1:21" x14ac:dyDescent="0.3">
      <c r="A88" t="s">
        <v>253</v>
      </c>
      <c r="R88" s="97" t="s">
        <v>251</v>
      </c>
    </row>
    <row r="89" spans="1:21" ht="15.6" x14ac:dyDescent="0.3">
      <c r="A89" s="16" t="s">
        <v>114</v>
      </c>
      <c r="B89" s="16" t="s">
        <v>115</v>
      </c>
      <c r="C89" s="16" t="s">
        <v>118</v>
      </c>
      <c r="D89" s="16" t="s">
        <v>2</v>
      </c>
      <c r="E89" s="16" t="s">
        <v>249</v>
      </c>
      <c r="F89" s="22" t="s">
        <v>254</v>
      </c>
      <c r="G89" s="22" t="s">
        <v>255</v>
      </c>
    </row>
    <row r="90" spans="1:21" x14ac:dyDescent="0.3">
      <c r="A90" s="10" t="s">
        <v>107</v>
      </c>
      <c r="B90" s="10" t="s">
        <v>48</v>
      </c>
      <c r="C90" s="2">
        <v>15.88</v>
      </c>
      <c r="D90" s="5">
        <v>2012</v>
      </c>
      <c r="E90" s="5" t="s">
        <v>252</v>
      </c>
      <c r="F90" s="98">
        <v>35780.723024389998</v>
      </c>
      <c r="G90" s="98">
        <f>F90/F36</f>
        <v>2391.7595604538769</v>
      </c>
    </row>
    <row r="91" spans="1:21" x14ac:dyDescent="0.3">
      <c r="A91" s="10" t="s">
        <v>107</v>
      </c>
      <c r="B91" s="10" t="s">
        <v>50</v>
      </c>
      <c r="C91" s="2">
        <v>18.329999999999998</v>
      </c>
      <c r="D91" s="5">
        <v>2012</v>
      </c>
      <c r="E91" s="5" t="s">
        <v>252</v>
      </c>
      <c r="F91" s="98">
        <v>40309.736121960006</v>
      </c>
      <c r="G91" s="98">
        <f>F91/F37</f>
        <v>2336.7962969252176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2"/>
  <dimension ref="A1:P88"/>
  <sheetViews>
    <sheetView workbookViewId="0"/>
  </sheetViews>
  <sheetFormatPr baseColWidth="10" defaultRowHeight="14.4" x14ac:dyDescent="0.3"/>
  <sheetData>
    <row r="1" spans="1:16" ht="25.8" x14ac:dyDescent="0.5">
      <c r="A1" s="17" t="s">
        <v>128</v>
      </c>
    </row>
    <row r="3" spans="1:16" ht="15.6" x14ac:dyDescent="0.3">
      <c r="A3" s="16" t="s">
        <v>114</v>
      </c>
      <c r="B3" s="16" t="s">
        <v>115</v>
      </c>
      <c r="C3" s="16" t="s">
        <v>129</v>
      </c>
      <c r="D3" s="16" t="s">
        <v>118</v>
      </c>
      <c r="E3" s="16" t="s">
        <v>123</v>
      </c>
      <c r="F3" s="16" t="s">
        <v>124</v>
      </c>
      <c r="G3" s="16" t="s">
        <v>125</v>
      </c>
      <c r="H3" s="16" t="s">
        <v>119</v>
      </c>
      <c r="I3" s="16" t="s">
        <v>120</v>
      </c>
      <c r="J3" s="16" t="s">
        <v>121</v>
      </c>
      <c r="K3" s="16" t="s">
        <v>122</v>
      </c>
      <c r="L3" s="16" t="s">
        <v>1</v>
      </c>
      <c r="M3" s="16" t="s">
        <v>2</v>
      </c>
      <c r="N3" s="16" t="s">
        <v>3</v>
      </c>
      <c r="O3" s="16" t="s">
        <v>4</v>
      </c>
      <c r="P3" s="16" t="s">
        <v>5</v>
      </c>
    </row>
    <row r="4" spans="1:16" x14ac:dyDescent="0.3">
      <c r="A4" s="10" t="s">
        <v>105</v>
      </c>
      <c r="B4" s="10" t="s">
        <v>14</v>
      </c>
      <c r="C4" s="4">
        <v>2132</v>
      </c>
      <c r="D4" s="2">
        <v>14.76</v>
      </c>
      <c r="E4" s="2">
        <f>14.67+0.07</f>
        <v>14.74</v>
      </c>
      <c r="F4" s="2">
        <v>0</v>
      </c>
      <c r="G4" s="2">
        <v>1.9999999999999574E-2</v>
      </c>
      <c r="H4" s="3">
        <v>31475</v>
      </c>
      <c r="I4" s="11">
        <f>31272+151</f>
        <v>31423</v>
      </c>
      <c r="J4" s="11">
        <v>0</v>
      </c>
      <c r="K4" s="11">
        <v>52</v>
      </c>
      <c r="L4" s="2" t="s">
        <v>7</v>
      </c>
      <c r="M4" s="5">
        <v>2016</v>
      </c>
      <c r="N4" s="1" t="s">
        <v>12</v>
      </c>
      <c r="O4" s="1" t="s">
        <v>9</v>
      </c>
      <c r="P4" s="1" t="s">
        <v>10</v>
      </c>
    </row>
    <row r="5" spans="1:16" x14ac:dyDescent="0.3">
      <c r="A5" s="10" t="s">
        <v>105</v>
      </c>
      <c r="B5" s="10" t="s">
        <v>15</v>
      </c>
      <c r="C5" s="4">
        <v>2132</v>
      </c>
      <c r="D5" s="2">
        <v>14.85</v>
      </c>
      <c r="E5" s="2">
        <f>14.73+0.1</f>
        <v>14.83</v>
      </c>
      <c r="F5" s="2">
        <v>0</v>
      </c>
      <c r="G5" s="2">
        <v>1.9999999999999574E-2</v>
      </c>
      <c r="H5" s="3">
        <v>31659</v>
      </c>
      <c r="I5" s="11">
        <f>31403+223</f>
        <v>31626</v>
      </c>
      <c r="J5" s="11">
        <v>0</v>
      </c>
      <c r="K5" s="11">
        <v>33</v>
      </c>
      <c r="L5" s="2" t="s">
        <v>7</v>
      </c>
      <c r="M5" s="5">
        <v>2017</v>
      </c>
      <c r="N5" s="1" t="s">
        <v>12</v>
      </c>
      <c r="O5" s="1" t="s">
        <v>9</v>
      </c>
      <c r="P5" s="1" t="s">
        <v>10</v>
      </c>
    </row>
    <row r="6" spans="1:16" x14ac:dyDescent="0.3">
      <c r="A6" s="10" t="s">
        <v>105</v>
      </c>
      <c r="B6" s="10" t="s">
        <v>16</v>
      </c>
      <c r="C6" s="4">
        <v>2070</v>
      </c>
      <c r="D6" s="2">
        <v>14.99</v>
      </c>
      <c r="E6" s="2">
        <f>14.97+0.01</f>
        <v>14.98</v>
      </c>
      <c r="F6" s="2">
        <v>0</v>
      </c>
      <c r="G6" s="2">
        <v>9.9999999999997868E-3</v>
      </c>
      <c r="H6" s="3">
        <v>31036</v>
      </c>
      <c r="I6" s="11">
        <f>30998+25</f>
        <v>31023</v>
      </c>
      <c r="J6" s="11">
        <v>0</v>
      </c>
      <c r="K6" s="11">
        <v>13</v>
      </c>
      <c r="L6" s="2" t="s">
        <v>7</v>
      </c>
      <c r="M6" s="5">
        <v>2017</v>
      </c>
      <c r="N6" s="1" t="s">
        <v>12</v>
      </c>
      <c r="O6" s="1" t="s">
        <v>9</v>
      </c>
      <c r="P6" s="1" t="s">
        <v>17</v>
      </c>
    </row>
    <row r="7" spans="1:16" x14ac:dyDescent="0.3">
      <c r="A7" s="10" t="s">
        <v>105</v>
      </c>
      <c r="B7" s="10" t="s">
        <v>18</v>
      </c>
      <c r="C7" s="4">
        <v>2070</v>
      </c>
      <c r="D7" s="2">
        <v>14.99</v>
      </c>
      <c r="E7" s="2">
        <f>14.98+0.01</f>
        <v>14.99</v>
      </c>
      <c r="F7" s="2">
        <v>0</v>
      </c>
      <c r="G7" s="2">
        <v>0</v>
      </c>
      <c r="H7" s="3">
        <v>31038</v>
      </c>
      <c r="I7" s="11">
        <f>31006+15</f>
        <v>31021</v>
      </c>
      <c r="J7" s="11">
        <v>0</v>
      </c>
      <c r="K7" s="11">
        <v>17</v>
      </c>
      <c r="L7" s="2" t="s">
        <v>7</v>
      </c>
      <c r="M7" s="5">
        <v>2017</v>
      </c>
      <c r="N7" s="1" t="s">
        <v>12</v>
      </c>
      <c r="O7" s="1" t="s">
        <v>9</v>
      </c>
      <c r="P7" s="1" t="s">
        <v>17</v>
      </c>
    </row>
    <row r="8" spans="1:16" x14ac:dyDescent="0.3">
      <c r="A8" s="10" t="s">
        <v>105</v>
      </c>
      <c r="B8" s="10" t="s">
        <v>19</v>
      </c>
      <c r="C8" s="4">
        <v>2070</v>
      </c>
      <c r="D8" s="2">
        <v>12.8</v>
      </c>
      <c r="E8" s="2">
        <f>12.71+0.06</f>
        <v>12.770000000000001</v>
      </c>
      <c r="F8" s="2">
        <v>0</v>
      </c>
      <c r="G8" s="2">
        <v>2.9999999999999361E-2</v>
      </c>
      <c r="H8" s="3">
        <v>26486</v>
      </c>
      <c r="I8" s="11">
        <f>26310+125</f>
        <v>26435</v>
      </c>
      <c r="J8" s="11">
        <v>0</v>
      </c>
      <c r="K8" s="11">
        <v>51</v>
      </c>
      <c r="L8" s="2" t="s">
        <v>7</v>
      </c>
      <c r="M8" s="5">
        <v>2017</v>
      </c>
      <c r="N8" s="1" t="s">
        <v>12</v>
      </c>
      <c r="O8" s="1" t="s">
        <v>9</v>
      </c>
      <c r="P8" s="1" t="s">
        <v>17</v>
      </c>
    </row>
    <row r="9" spans="1:16" x14ac:dyDescent="0.3">
      <c r="A9" s="10" t="s">
        <v>105</v>
      </c>
      <c r="B9" s="10" t="s">
        <v>20</v>
      </c>
      <c r="C9" s="4">
        <v>2132</v>
      </c>
      <c r="D9" s="2">
        <v>14.4</v>
      </c>
      <c r="E9" s="2">
        <f>14.35+0.05</f>
        <v>14.4</v>
      </c>
      <c r="F9" s="2">
        <v>0</v>
      </c>
      <c r="G9" s="2">
        <v>0</v>
      </c>
      <c r="H9" s="3">
        <v>30692</v>
      </c>
      <c r="I9" s="11">
        <f>30586+100</f>
        <v>30686</v>
      </c>
      <c r="J9" s="11">
        <v>0</v>
      </c>
      <c r="K9" s="11">
        <v>6</v>
      </c>
      <c r="L9" s="2" t="s">
        <v>7</v>
      </c>
      <c r="M9" s="5">
        <v>2015</v>
      </c>
      <c r="N9" s="1" t="s">
        <v>12</v>
      </c>
      <c r="O9" s="1" t="s">
        <v>9</v>
      </c>
      <c r="P9" s="1" t="s">
        <v>17</v>
      </c>
    </row>
    <row r="10" spans="1:16" x14ac:dyDescent="0.3">
      <c r="A10" s="10" t="s">
        <v>105</v>
      </c>
      <c r="B10" s="10" t="s">
        <v>21</v>
      </c>
      <c r="C10" s="4">
        <v>2132</v>
      </c>
      <c r="D10" s="2">
        <v>11.04</v>
      </c>
      <c r="E10" s="2">
        <f>10.89+0.14</f>
        <v>11.030000000000001</v>
      </c>
      <c r="F10" s="2">
        <v>0</v>
      </c>
      <c r="G10" s="2">
        <v>9.9999999999980105E-3</v>
      </c>
      <c r="H10" s="3">
        <v>23531</v>
      </c>
      <c r="I10" s="11">
        <f>23225+297</f>
        <v>23522</v>
      </c>
      <c r="J10" s="11">
        <v>0</v>
      </c>
      <c r="K10" s="11">
        <v>9</v>
      </c>
      <c r="L10" s="2" t="s">
        <v>7</v>
      </c>
      <c r="M10" s="5">
        <v>2015</v>
      </c>
      <c r="N10" s="1" t="s">
        <v>12</v>
      </c>
      <c r="O10" s="1" t="s">
        <v>9</v>
      </c>
      <c r="P10" s="1" t="s">
        <v>17</v>
      </c>
    </row>
    <row r="11" spans="1:16" x14ac:dyDescent="0.3">
      <c r="A11" s="10" t="s">
        <v>105</v>
      </c>
      <c r="B11" s="10" t="s">
        <v>22</v>
      </c>
      <c r="C11" s="4">
        <v>2132</v>
      </c>
      <c r="D11" s="2">
        <v>14.87</v>
      </c>
      <c r="E11" s="2">
        <f>14.54+0.12</f>
        <v>14.659999999999998</v>
      </c>
      <c r="F11" s="2">
        <v>0</v>
      </c>
      <c r="G11" s="2">
        <v>0.21000000000000085</v>
      </c>
      <c r="H11" s="3">
        <v>31708</v>
      </c>
      <c r="I11" s="11">
        <f>30998+263</f>
        <v>31261</v>
      </c>
      <c r="J11" s="11">
        <v>0</v>
      </c>
      <c r="K11" s="11">
        <v>447</v>
      </c>
      <c r="L11" s="2" t="s">
        <v>7</v>
      </c>
      <c r="M11" s="5">
        <v>2015</v>
      </c>
      <c r="N11" s="1" t="s">
        <v>12</v>
      </c>
      <c r="O11" s="1" t="s">
        <v>9</v>
      </c>
      <c r="P11" s="1" t="s">
        <v>17</v>
      </c>
    </row>
    <row r="12" spans="1:16" x14ac:dyDescent="0.3">
      <c r="A12" s="10" t="s">
        <v>105</v>
      </c>
      <c r="B12" s="10" t="s">
        <v>23</v>
      </c>
      <c r="C12" s="4">
        <v>2070</v>
      </c>
      <c r="D12" s="2">
        <v>14.03</v>
      </c>
      <c r="E12" s="2">
        <f>14+0.03</f>
        <v>14.03</v>
      </c>
      <c r="F12" s="2">
        <v>0</v>
      </c>
      <c r="G12" s="2">
        <v>0</v>
      </c>
      <c r="H12" s="3">
        <v>29040</v>
      </c>
      <c r="I12" s="11">
        <f>28979+61</f>
        <v>29040</v>
      </c>
      <c r="J12" s="11">
        <v>0</v>
      </c>
      <c r="K12" s="11">
        <v>0</v>
      </c>
      <c r="L12" s="2" t="s">
        <v>7</v>
      </c>
      <c r="M12" s="5">
        <v>2016</v>
      </c>
      <c r="N12" s="1" t="s">
        <v>12</v>
      </c>
      <c r="O12" s="1" t="s">
        <v>9</v>
      </c>
      <c r="P12" s="1" t="s">
        <v>17</v>
      </c>
    </row>
    <row r="13" spans="1:16" x14ac:dyDescent="0.3">
      <c r="A13" s="10" t="s">
        <v>105</v>
      </c>
      <c r="B13" s="10" t="s">
        <v>24</v>
      </c>
      <c r="C13" s="4">
        <v>2070</v>
      </c>
      <c r="D13" s="2">
        <v>13.17</v>
      </c>
      <c r="E13" s="2">
        <f>13.1+0.07</f>
        <v>13.17</v>
      </c>
      <c r="F13" s="2">
        <v>0</v>
      </c>
      <c r="G13" s="2">
        <v>0</v>
      </c>
      <c r="H13" s="3">
        <v>27272</v>
      </c>
      <c r="I13" s="11">
        <f>27115+151</f>
        <v>27266</v>
      </c>
      <c r="J13" s="11">
        <v>0</v>
      </c>
      <c r="K13" s="11">
        <v>6</v>
      </c>
      <c r="L13" s="2" t="s">
        <v>7</v>
      </c>
      <c r="M13" s="5">
        <v>2017</v>
      </c>
      <c r="N13" s="1" t="s">
        <v>12</v>
      </c>
      <c r="O13" s="1" t="s">
        <v>9</v>
      </c>
      <c r="P13" s="1" t="s">
        <v>17</v>
      </c>
    </row>
    <row r="14" spans="1:16" x14ac:dyDescent="0.3">
      <c r="A14" s="10" t="s">
        <v>105</v>
      </c>
      <c r="B14" s="10" t="s">
        <v>25</v>
      </c>
      <c r="C14" s="4">
        <v>2070</v>
      </c>
      <c r="D14" s="2">
        <v>14.88</v>
      </c>
      <c r="E14" s="2">
        <f>14.81+0.05</f>
        <v>14.860000000000001</v>
      </c>
      <c r="F14" s="2">
        <v>0</v>
      </c>
      <c r="G14" s="2">
        <v>1.9999999999999574E-2</v>
      </c>
      <c r="H14" s="3">
        <v>30810</v>
      </c>
      <c r="I14" s="11">
        <f>30661+107</f>
        <v>30768</v>
      </c>
      <c r="J14" s="11">
        <v>0</v>
      </c>
      <c r="K14" s="11">
        <v>42</v>
      </c>
      <c r="L14" s="2" t="s">
        <v>7</v>
      </c>
      <c r="M14" s="5">
        <v>2016</v>
      </c>
      <c r="N14" s="1" t="s">
        <v>12</v>
      </c>
      <c r="O14" s="1" t="s">
        <v>9</v>
      </c>
      <c r="P14" s="1" t="s">
        <v>17</v>
      </c>
    </row>
    <row r="15" spans="1:16" x14ac:dyDescent="0.3">
      <c r="A15" s="10" t="s">
        <v>105</v>
      </c>
      <c r="B15" s="10" t="s">
        <v>26</v>
      </c>
      <c r="C15" s="4">
        <v>1905</v>
      </c>
      <c r="D15" s="2">
        <v>12.63</v>
      </c>
      <c r="E15" s="2">
        <f>12.36+0.03</f>
        <v>12.389999999999999</v>
      </c>
      <c r="F15" s="2">
        <v>0</v>
      </c>
      <c r="G15" s="2">
        <v>0.24000000000000199</v>
      </c>
      <c r="H15" s="3">
        <v>24054</v>
      </c>
      <c r="I15" s="11">
        <f>23555+52</f>
        <v>23607</v>
      </c>
      <c r="J15" s="11">
        <v>0</v>
      </c>
      <c r="K15" s="11">
        <v>447</v>
      </c>
      <c r="L15" s="2" t="s">
        <v>7</v>
      </c>
      <c r="M15" s="5">
        <v>2015</v>
      </c>
      <c r="N15" s="1" t="s">
        <v>8</v>
      </c>
      <c r="O15" s="1" t="s">
        <v>27</v>
      </c>
      <c r="P15" s="1" t="s">
        <v>28</v>
      </c>
    </row>
    <row r="16" spans="1:16" x14ac:dyDescent="0.3">
      <c r="A16" s="10" t="s">
        <v>105</v>
      </c>
      <c r="B16" s="10" t="s">
        <v>29</v>
      </c>
      <c r="C16" s="4">
        <v>1905</v>
      </c>
      <c r="D16" s="2">
        <v>11.78</v>
      </c>
      <c r="E16" s="2">
        <f>10.79+0.17</f>
        <v>10.959999999999999</v>
      </c>
      <c r="F16" s="2">
        <v>0</v>
      </c>
      <c r="G16" s="2">
        <v>0.82000000000000028</v>
      </c>
      <c r="H16" s="3">
        <v>22435</v>
      </c>
      <c r="I16" s="11">
        <f>20553+333</f>
        <v>20886</v>
      </c>
      <c r="J16" s="11">
        <v>0</v>
      </c>
      <c r="K16" s="11">
        <v>1549</v>
      </c>
      <c r="L16" s="2" t="s">
        <v>7</v>
      </c>
      <c r="M16" s="5">
        <v>2017</v>
      </c>
      <c r="N16" s="1" t="s">
        <v>12</v>
      </c>
      <c r="O16" s="1" t="s">
        <v>27</v>
      </c>
      <c r="P16" s="1" t="s">
        <v>28</v>
      </c>
    </row>
    <row r="17" spans="1:16" x14ac:dyDescent="0.3">
      <c r="A17" s="10" t="s">
        <v>105</v>
      </c>
      <c r="B17" s="10" t="s">
        <v>30</v>
      </c>
      <c r="C17" s="4">
        <v>1953</v>
      </c>
      <c r="D17" s="2">
        <v>16.3</v>
      </c>
      <c r="E17" s="2">
        <f>16.19+0.07</f>
        <v>16.260000000000002</v>
      </c>
      <c r="F17" s="2">
        <v>0</v>
      </c>
      <c r="G17" s="2">
        <v>3.9999999999999147E-2</v>
      </c>
      <c r="H17" s="3">
        <v>31843</v>
      </c>
      <c r="I17" s="11">
        <f>31624+127</f>
        <v>31751</v>
      </c>
      <c r="J17" s="11">
        <v>0</v>
      </c>
      <c r="K17" s="11">
        <v>92</v>
      </c>
      <c r="L17" s="2" t="s">
        <v>7</v>
      </c>
      <c r="M17" s="5">
        <v>2018</v>
      </c>
      <c r="N17" s="1" t="s">
        <v>8</v>
      </c>
      <c r="O17" s="1" t="s">
        <v>27</v>
      </c>
      <c r="P17" s="1" t="s">
        <v>28</v>
      </c>
    </row>
    <row r="18" spans="1:16" x14ac:dyDescent="0.3">
      <c r="A18" s="10" t="s">
        <v>105</v>
      </c>
      <c r="B18" s="10" t="s">
        <v>31</v>
      </c>
      <c r="C18" s="4">
        <v>1905.1398337112623</v>
      </c>
      <c r="D18" s="2">
        <v>13.23</v>
      </c>
      <c r="E18" s="2">
        <f>13.13+0.04</f>
        <v>13.17</v>
      </c>
      <c r="F18" s="2">
        <v>0</v>
      </c>
      <c r="G18" s="2">
        <v>6.0000000000000497E-2</v>
      </c>
      <c r="H18" s="3">
        <v>25205</v>
      </c>
      <c r="I18" s="11">
        <f>25012+84</f>
        <v>25096</v>
      </c>
      <c r="J18" s="11">
        <v>0</v>
      </c>
      <c r="K18" s="11">
        <v>109</v>
      </c>
      <c r="L18" s="2" t="s">
        <v>7</v>
      </c>
      <c r="M18" s="5">
        <v>2016</v>
      </c>
      <c r="N18" s="1" t="s">
        <v>8</v>
      </c>
      <c r="O18" s="1" t="s">
        <v>27</v>
      </c>
      <c r="P18" s="1" t="s">
        <v>28</v>
      </c>
    </row>
    <row r="19" spans="1:16" x14ac:dyDescent="0.3">
      <c r="A19" s="10" t="s">
        <v>105</v>
      </c>
      <c r="B19" s="10" t="s">
        <v>32</v>
      </c>
      <c r="C19" s="4">
        <v>1953</v>
      </c>
      <c r="D19" s="2">
        <v>13.99</v>
      </c>
      <c r="E19" s="2">
        <v>13.99</v>
      </c>
      <c r="F19" s="2">
        <v>0</v>
      </c>
      <c r="G19" s="2">
        <v>0</v>
      </c>
      <c r="H19" s="3">
        <v>27332</v>
      </c>
      <c r="I19" s="11">
        <f>27325+4</f>
        <v>27329</v>
      </c>
      <c r="J19" s="11">
        <v>0</v>
      </c>
      <c r="K19" s="11">
        <v>3</v>
      </c>
      <c r="L19" s="2" t="s">
        <v>7</v>
      </c>
      <c r="M19" s="5">
        <v>2014</v>
      </c>
      <c r="N19" s="1" t="s">
        <v>8</v>
      </c>
      <c r="O19" s="1" t="s">
        <v>27</v>
      </c>
      <c r="P19" s="1" t="s">
        <v>28</v>
      </c>
    </row>
    <row r="20" spans="1:16" x14ac:dyDescent="0.3">
      <c r="A20" s="10" t="s">
        <v>105</v>
      </c>
      <c r="B20" s="10" t="s">
        <v>33</v>
      </c>
      <c r="C20" s="4">
        <v>1953</v>
      </c>
      <c r="D20" s="2">
        <v>14.41</v>
      </c>
      <c r="E20" s="2">
        <f>14.37+0.02</f>
        <v>14.389999999999999</v>
      </c>
      <c r="F20" s="2">
        <v>0</v>
      </c>
      <c r="G20" s="2">
        <v>2.000000000000135E-2</v>
      </c>
      <c r="H20" s="3">
        <v>28152</v>
      </c>
      <c r="I20" s="11">
        <f>28067+32</f>
        <v>28099</v>
      </c>
      <c r="J20" s="11">
        <v>0</v>
      </c>
      <c r="K20" s="11">
        <v>53</v>
      </c>
      <c r="L20" s="2" t="s">
        <v>7</v>
      </c>
      <c r="M20" s="5">
        <v>2019</v>
      </c>
      <c r="N20" s="1" t="s">
        <v>12</v>
      </c>
      <c r="O20" s="1" t="s">
        <v>9</v>
      </c>
      <c r="P20" s="1" t="s">
        <v>34</v>
      </c>
    </row>
    <row r="21" spans="1:16" x14ac:dyDescent="0.3">
      <c r="A21" s="10" t="s">
        <v>105</v>
      </c>
      <c r="B21" s="10" t="s">
        <v>35</v>
      </c>
      <c r="C21" s="4">
        <v>1953</v>
      </c>
      <c r="D21" s="2">
        <v>14.27</v>
      </c>
      <c r="E21" s="2">
        <v>14.26</v>
      </c>
      <c r="F21" s="2">
        <v>0</v>
      </c>
      <c r="G21" s="2">
        <v>9.9999999999997868E-3</v>
      </c>
      <c r="H21" s="3">
        <v>27869</v>
      </c>
      <c r="I21" s="11">
        <f>27845+9</f>
        <v>27854</v>
      </c>
      <c r="J21" s="11">
        <v>0</v>
      </c>
      <c r="K21" s="11">
        <v>15</v>
      </c>
      <c r="L21" s="2" t="s">
        <v>7</v>
      </c>
      <c r="M21" s="5">
        <v>2019</v>
      </c>
      <c r="N21" s="1" t="s">
        <v>12</v>
      </c>
      <c r="O21" s="1" t="s">
        <v>9</v>
      </c>
      <c r="P21" s="1" t="s">
        <v>34</v>
      </c>
    </row>
    <row r="22" spans="1:16" x14ac:dyDescent="0.3">
      <c r="A22" s="10" t="s">
        <v>105</v>
      </c>
      <c r="B22" s="10" t="s">
        <v>36</v>
      </c>
      <c r="C22" s="4">
        <v>1953</v>
      </c>
      <c r="D22" s="2">
        <v>14.65</v>
      </c>
      <c r="E22" s="2">
        <f>14.63+0.01</f>
        <v>14.64</v>
      </c>
      <c r="F22" s="2">
        <v>0</v>
      </c>
      <c r="G22" s="2">
        <v>9.9999999999997868E-3</v>
      </c>
      <c r="H22" s="3">
        <v>28615</v>
      </c>
      <c r="I22" s="11">
        <f>28573+16</f>
        <v>28589</v>
      </c>
      <c r="J22" s="11">
        <v>0</v>
      </c>
      <c r="K22" s="11">
        <v>26</v>
      </c>
      <c r="L22" s="2" t="s">
        <v>7</v>
      </c>
      <c r="M22" s="5">
        <v>2019</v>
      </c>
      <c r="N22" s="1" t="s">
        <v>12</v>
      </c>
      <c r="O22" s="1" t="s">
        <v>9</v>
      </c>
      <c r="P22" s="1" t="s">
        <v>34</v>
      </c>
    </row>
    <row r="23" spans="1:16" x14ac:dyDescent="0.3">
      <c r="A23" s="10" t="s">
        <v>105</v>
      </c>
      <c r="B23" s="10" t="s">
        <v>37</v>
      </c>
      <c r="C23" s="4">
        <v>1780</v>
      </c>
      <c r="D23" s="2">
        <v>14.87</v>
      </c>
      <c r="E23" s="2">
        <f>14.58+0.09</f>
        <v>14.67</v>
      </c>
      <c r="F23" s="2">
        <v>0</v>
      </c>
      <c r="G23" s="2">
        <v>0.19999999999999929</v>
      </c>
      <c r="H23" s="3">
        <v>26460</v>
      </c>
      <c r="I23" s="11">
        <f>25948+156</f>
        <v>26104</v>
      </c>
      <c r="J23" s="11">
        <v>0</v>
      </c>
      <c r="K23" s="11">
        <v>356</v>
      </c>
      <c r="L23" s="2" t="s">
        <v>7</v>
      </c>
      <c r="M23" s="5">
        <v>2020</v>
      </c>
      <c r="N23" s="1" t="s">
        <v>12</v>
      </c>
      <c r="O23" s="1" t="s">
        <v>9</v>
      </c>
      <c r="P23" s="1" t="s">
        <v>34</v>
      </c>
    </row>
    <row r="24" spans="1:16" x14ac:dyDescent="0.3">
      <c r="A24" s="10" t="s">
        <v>105</v>
      </c>
      <c r="B24" s="10" t="s">
        <v>38</v>
      </c>
      <c r="C24" s="4">
        <v>1780</v>
      </c>
      <c r="D24" s="2">
        <v>14.74</v>
      </c>
      <c r="E24" s="2">
        <f>14.67+0.02</f>
        <v>14.69</v>
      </c>
      <c r="F24" s="2">
        <v>0</v>
      </c>
      <c r="G24" s="2">
        <v>5.0000000000000711E-2</v>
      </c>
      <c r="H24" s="3">
        <v>26240</v>
      </c>
      <c r="I24" s="11">
        <f>26121+35</f>
        <v>26156</v>
      </c>
      <c r="J24" s="11">
        <v>0</v>
      </c>
      <c r="K24" s="11">
        <v>84</v>
      </c>
      <c r="L24" s="2" t="s">
        <v>7</v>
      </c>
      <c r="M24" s="5">
        <v>2020</v>
      </c>
      <c r="N24" s="1" t="s">
        <v>12</v>
      </c>
      <c r="O24" s="1" t="s">
        <v>9</v>
      </c>
      <c r="P24" s="1" t="s">
        <v>34</v>
      </c>
    </row>
    <row r="25" spans="1:16" x14ac:dyDescent="0.3">
      <c r="A25" s="10" t="s">
        <v>105</v>
      </c>
      <c r="B25" s="10" t="s">
        <v>39</v>
      </c>
      <c r="C25" s="4">
        <v>1780</v>
      </c>
      <c r="D25" s="2">
        <v>14.96</v>
      </c>
      <c r="E25" s="2">
        <f>14.88+0.02</f>
        <v>14.9</v>
      </c>
      <c r="F25" s="2">
        <v>0</v>
      </c>
      <c r="G25" s="2">
        <v>6.0000000000000497E-2</v>
      </c>
      <c r="H25" s="3">
        <v>26634</v>
      </c>
      <c r="I25" s="11">
        <f>26482+40</f>
        <v>26522</v>
      </c>
      <c r="J25" s="11">
        <v>0</v>
      </c>
      <c r="K25" s="11">
        <v>112</v>
      </c>
      <c r="L25" s="2" t="s">
        <v>7</v>
      </c>
      <c r="M25" s="5">
        <v>2020</v>
      </c>
      <c r="N25" s="1" t="s">
        <v>12</v>
      </c>
      <c r="O25" s="1" t="s">
        <v>9</v>
      </c>
      <c r="P25" s="1" t="s">
        <v>34</v>
      </c>
    </row>
    <row r="26" spans="1:16" x14ac:dyDescent="0.3">
      <c r="A26" s="10" t="s">
        <v>105</v>
      </c>
      <c r="B26" s="10" t="s">
        <v>40</v>
      </c>
      <c r="C26" s="4">
        <v>1780</v>
      </c>
      <c r="D26" s="2">
        <v>13.73</v>
      </c>
      <c r="E26" s="2">
        <f>13.55+0.11</f>
        <v>13.66</v>
      </c>
      <c r="F26" s="2">
        <v>0</v>
      </c>
      <c r="G26" s="2">
        <v>7.0000000000000284E-2</v>
      </c>
      <c r="H26" s="3">
        <v>24434</v>
      </c>
      <c r="I26" s="11">
        <f>24120+203</f>
        <v>24323</v>
      </c>
      <c r="J26" s="11">
        <v>0</v>
      </c>
      <c r="K26" s="11">
        <v>111</v>
      </c>
      <c r="L26" s="2" t="s">
        <v>7</v>
      </c>
      <c r="M26" s="5">
        <v>2020</v>
      </c>
      <c r="N26" s="1" t="s">
        <v>12</v>
      </c>
      <c r="O26" s="1" t="s">
        <v>27</v>
      </c>
      <c r="P26" s="1" t="s">
        <v>34</v>
      </c>
    </row>
    <row r="27" spans="1:16" x14ac:dyDescent="0.3">
      <c r="A27" s="10" t="s">
        <v>105</v>
      </c>
      <c r="B27" s="10" t="s">
        <v>41</v>
      </c>
      <c r="C27" s="4">
        <v>1780</v>
      </c>
      <c r="D27" s="2">
        <v>12.29</v>
      </c>
      <c r="E27" s="2">
        <f>12.14+0.06</f>
        <v>12.200000000000001</v>
      </c>
      <c r="F27" s="2">
        <v>0</v>
      </c>
      <c r="G27" s="2">
        <v>8.9999999999998082E-2</v>
      </c>
      <c r="H27" s="3">
        <v>21876</v>
      </c>
      <c r="I27" s="11">
        <f>21604+107</f>
        <v>21711</v>
      </c>
      <c r="J27" s="11">
        <v>0</v>
      </c>
      <c r="K27" s="11">
        <v>165</v>
      </c>
      <c r="L27" s="2" t="s">
        <v>7</v>
      </c>
      <c r="M27" s="5">
        <v>2020</v>
      </c>
      <c r="N27" s="1" t="s">
        <v>12</v>
      </c>
      <c r="O27" s="1" t="s">
        <v>27</v>
      </c>
      <c r="P27" s="1" t="s">
        <v>34</v>
      </c>
    </row>
    <row r="28" spans="1:16" x14ac:dyDescent="0.3">
      <c r="A28" s="10" t="s">
        <v>105</v>
      </c>
      <c r="B28" s="10" t="s">
        <v>42</v>
      </c>
      <c r="C28" s="4">
        <v>1780</v>
      </c>
      <c r="D28" s="2">
        <v>15</v>
      </c>
      <c r="E28" s="2">
        <f>14.78+0.05</f>
        <v>14.83</v>
      </c>
      <c r="F28" s="2">
        <v>0</v>
      </c>
      <c r="G28" s="2">
        <v>0.16999999999999993</v>
      </c>
      <c r="H28" s="3">
        <v>26703</v>
      </c>
      <c r="I28" s="11">
        <f>26310+82</f>
        <v>26392</v>
      </c>
      <c r="J28" s="11">
        <v>0</v>
      </c>
      <c r="K28" s="11">
        <v>311</v>
      </c>
      <c r="L28" s="2" t="s">
        <v>7</v>
      </c>
      <c r="M28" s="5">
        <v>2020</v>
      </c>
      <c r="N28" s="1" t="s">
        <v>12</v>
      </c>
      <c r="O28" s="1" t="s">
        <v>27</v>
      </c>
      <c r="P28" s="1" t="s">
        <v>34</v>
      </c>
    </row>
    <row r="29" spans="1:16" x14ac:dyDescent="0.3">
      <c r="A29" s="10" t="s">
        <v>105</v>
      </c>
      <c r="B29" s="10" t="s">
        <v>43</v>
      </c>
      <c r="C29" s="4">
        <v>1780</v>
      </c>
      <c r="D29" s="2">
        <v>15</v>
      </c>
      <c r="E29" s="2">
        <f>14.67+0.07</f>
        <v>14.74</v>
      </c>
      <c r="F29" s="2">
        <v>0</v>
      </c>
      <c r="G29" s="2">
        <v>0.25999999999999979</v>
      </c>
      <c r="H29" s="3">
        <v>26703</v>
      </c>
      <c r="I29" s="11">
        <f>26119+133</f>
        <v>26252</v>
      </c>
      <c r="J29" s="11">
        <v>0</v>
      </c>
      <c r="K29" s="11">
        <v>451</v>
      </c>
      <c r="L29" s="2" t="s">
        <v>7</v>
      </c>
      <c r="M29" s="5">
        <v>2020</v>
      </c>
      <c r="N29" s="1" t="s">
        <v>12</v>
      </c>
      <c r="O29" s="1" t="s">
        <v>27</v>
      </c>
      <c r="P29" s="1" t="s">
        <v>34</v>
      </c>
    </row>
    <row r="30" spans="1:16" x14ac:dyDescent="0.3">
      <c r="A30" s="10" t="s">
        <v>105</v>
      </c>
      <c r="B30" s="10" t="s">
        <v>44</v>
      </c>
      <c r="C30" s="4">
        <v>1780</v>
      </c>
      <c r="D30" s="2">
        <v>14.77</v>
      </c>
      <c r="E30" s="2">
        <v>14.77</v>
      </c>
      <c r="F30" s="2">
        <v>0</v>
      </c>
      <c r="G30" s="2">
        <v>0</v>
      </c>
      <c r="H30" s="3">
        <v>26147</v>
      </c>
      <c r="I30" s="11">
        <v>26147</v>
      </c>
      <c r="J30" s="11">
        <v>0</v>
      </c>
      <c r="K30" s="11">
        <v>0</v>
      </c>
      <c r="L30" s="1" t="s">
        <v>7</v>
      </c>
      <c r="M30" s="5">
        <v>2022</v>
      </c>
      <c r="N30" s="1" t="s">
        <v>12</v>
      </c>
      <c r="O30" s="1" t="s">
        <v>9</v>
      </c>
      <c r="P30" s="1" t="s">
        <v>34</v>
      </c>
    </row>
    <row r="31" spans="1:16" x14ac:dyDescent="0.3">
      <c r="A31" s="10" t="s">
        <v>108</v>
      </c>
      <c r="B31" s="10" t="s">
        <v>51</v>
      </c>
      <c r="C31" s="4">
        <v>1780</v>
      </c>
      <c r="D31" s="2">
        <v>7.44</v>
      </c>
      <c r="E31" s="2">
        <f>7.39+0.05</f>
        <v>7.4399999999999995</v>
      </c>
      <c r="F31" s="2">
        <v>0</v>
      </c>
      <c r="G31" s="2">
        <v>0</v>
      </c>
      <c r="H31" s="3">
        <v>13248</v>
      </c>
      <c r="I31" s="3">
        <f>13155+93</f>
        <v>13248</v>
      </c>
      <c r="J31" s="3">
        <v>0</v>
      </c>
      <c r="K31" s="3">
        <v>0</v>
      </c>
      <c r="L31" s="1" t="s">
        <v>7</v>
      </c>
      <c r="M31" s="1">
        <v>2018</v>
      </c>
      <c r="N31" s="1" t="s">
        <v>12</v>
      </c>
      <c r="O31" s="1" t="s">
        <v>27</v>
      </c>
      <c r="P31" s="1" t="s">
        <v>46</v>
      </c>
    </row>
    <row r="32" spans="1:16" x14ac:dyDescent="0.3">
      <c r="A32" s="10" t="s">
        <v>108</v>
      </c>
      <c r="B32" s="10" t="s">
        <v>52</v>
      </c>
      <c r="C32" s="4">
        <v>1905</v>
      </c>
      <c r="D32" s="2">
        <v>2.29</v>
      </c>
      <c r="E32" s="2">
        <f>2.25+0.04</f>
        <v>2.29</v>
      </c>
      <c r="F32" s="2">
        <v>0</v>
      </c>
      <c r="G32" s="2">
        <v>0</v>
      </c>
      <c r="H32" s="3">
        <v>4371</v>
      </c>
      <c r="I32" s="3">
        <f>4278+89</f>
        <v>4367</v>
      </c>
      <c r="J32" s="3">
        <v>0</v>
      </c>
      <c r="K32" s="3">
        <v>4</v>
      </c>
      <c r="L32" s="1" t="s">
        <v>7</v>
      </c>
      <c r="M32" s="1">
        <v>2018</v>
      </c>
      <c r="N32" s="1" t="s">
        <v>8</v>
      </c>
      <c r="O32" s="1" t="s">
        <v>27</v>
      </c>
      <c r="P32" s="1" t="s">
        <v>53</v>
      </c>
    </row>
    <row r="33" spans="1:16" x14ac:dyDescent="0.3">
      <c r="A33" s="10" t="s">
        <v>108</v>
      </c>
      <c r="B33" s="10" t="s">
        <v>54</v>
      </c>
      <c r="C33" s="4">
        <v>1905</v>
      </c>
      <c r="D33" s="2">
        <v>13.61</v>
      </c>
      <c r="E33" s="2">
        <f>13.27+0.34</f>
        <v>13.61</v>
      </c>
      <c r="F33" s="2">
        <v>0</v>
      </c>
      <c r="G33" s="2">
        <v>0</v>
      </c>
      <c r="H33" s="3">
        <v>25923</v>
      </c>
      <c r="I33" s="3">
        <f>25285+619</f>
        <v>25904</v>
      </c>
      <c r="J33" s="3">
        <v>0</v>
      </c>
      <c r="K33" s="3">
        <v>19</v>
      </c>
      <c r="L33" s="1" t="s">
        <v>7</v>
      </c>
      <c r="M33" s="1">
        <v>2017</v>
      </c>
      <c r="N33" s="1" t="s">
        <v>8</v>
      </c>
      <c r="O33" s="1" t="s">
        <v>27</v>
      </c>
      <c r="P33" s="1" t="s">
        <v>53</v>
      </c>
    </row>
    <row r="34" spans="1:16" x14ac:dyDescent="0.3">
      <c r="A34" s="10" t="s">
        <v>108</v>
      </c>
      <c r="B34" s="10" t="s">
        <v>55</v>
      </c>
      <c r="C34" s="4">
        <v>1905</v>
      </c>
      <c r="D34" s="2">
        <v>11.9</v>
      </c>
      <c r="E34" s="2">
        <f>11.34+0.56</f>
        <v>11.9</v>
      </c>
      <c r="F34" s="2">
        <v>0</v>
      </c>
      <c r="G34" s="2">
        <v>0</v>
      </c>
      <c r="H34" s="3">
        <v>22673</v>
      </c>
      <c r="I34" s="3">
        <f>21608+1065</f>
        <v>22673</v>
      </c>
      <c r="J34" s="3">
        <v>0</v>
      </c>
      <c r="K34" s="3">
        <v>111</v>
      </c>
      <c r="L34" s="1" t="s">
        <v>7</v>
      </c>
      <c r="M34" s="1">
        <v>2017</v>
      </c>
      <c r="N34" s="1" t="s">
        <v>8</v>
      </c>
      <c r="O34" s="1" t="s">
        <v>27</v>
      </c>
      <c r="P34" s="1" t="s">
        <v>53</v>
      </c>
    </row>
    <row r="35" spans="1:16" x14ac:dyDescent="0.3">
      <c r="A35" s="10" t="s">
        <v>108</v>
      </c>
      <c r="B35" s="10" t="s">
        <v>56</v>
      </c>
      <c r="C35" s="4">
        <v>1905</v>
      </c>
      <c r="D35" s="2">
        <v>13.82</v>
      </c>
      <c r="E35" s="2">
        <f>13.7+0.07</f>
        <v>13.77</v>
      </c>
      <c r="F35" s="2">
        <v>0</v>
      </c>
      <c r="G35" s="2">
        <v>5.0000000000000711E-2</v>
      </c>
      <c r="H35" s="3">
        <v>26318</v>
      </c>
      <c r="I35" s="3">
        <f>26103+138</f>
        <v>26241</v>
      </c>
      <c r="J35" s="3">
        <v>0</v>
      </c>
      <c r="K35" s="3">
        <v>77</v>
      </c>
      <c r="L35" s="1" t="s">
        <v>7</v>
      </c>
      <c r="M35" s="1">
        <v>2016</v>
      </c>
      <c r="N35" s="1" t="s">
        <v>8</v>
      </c>
      <c r="O35" s="1" t="s">
        <v>27</v>
      </c>
      <c r="P35" s="1" t="s">
        <v>53</v>
      </c>
    </row>
    <row r="36" spans="1:16" x14ac:dyDescent="0.3">
      <c r="A36" s="10" t="s">
        <v>108</v>
      </c>
      <c r="B36" s="10" t="s">
        <v>57</v>
      </c>
      <c r="C36" s="4">
        <v>1905</v>
      </c>
      <c r="D36" s="2">
        <v>14.16</v>
      </c>
      <c r="E36" s="2">
        <f>13.96+0.13</f>
        <v>14.090000000000002</v>
      </c>
      <c r="F36" s="2">
        <v>0</v>
      </c>
      <c r="G36" s="2">
        <v>6.9999999999998508E-2</v>
      </c>
      <c r="H36" s="3">
        <v>26967</v>
      </c>
      <c r="I36" s="3">
        <f>26601+251</f>
        <v>26852</v>
      </c>
      <c r="J36" s="3">
        <v>0</v>
      </c>
      <c r="K36" s="3">
        <v>115</v>
      </c>
      <c r="L36" s="1" t="s">
        <v>7</v>
      </c>
      <c r="M36" s="1">
        <v>2016</v>
      </c>
      <c r="N36" s="1" t="s">
        <v>8</v>
      </c>
      <c r="O36" s="1" t="s">
        <v>27</v>
      </c>
      <c r="P36" s="1" t="s">
        <v>53</v>
      </c>
    </row>
    <row r="37" spans="1:16" x14ac:dyDescent="0.3">
      <c r="A37" s="10" t="s">
        <v>108</v>
      </c>
      <c r="B37" s="10" t="s">
        <v>58</v>
      </c>
      <c r="C37" s="4">
        <v>1905</v>
      </c>
      <c r="D37" s="2">
        <v>7.22</v>
      </c>
      <c r="E37" s="2">
        <f>6.94+0.27</f>
        <v>7.2100000000000009</v>
      </c>
      <c r="F37" s="2">
        <v>0</v>
      </c>
      <c r="G37" s="2">
        <v>9.9999999999988987E-3</v>
      </c>
      <c r="H37" s="3">
        <v>13755</v>
      </c>
      <c r="I37" s="3">
        <f>13227+505</f>
        <v>13732</v>
      </c>
      <c r="J37" s="3">
        <v>0</v>
      </c>
      <c r="K37" s="3">
        <v>23</v>
      </c>
      <c r="L37" s="1" t="s">
        <v>7</v>
      </c>
      <c r="M37" s="1">
        <v>2016</v>
      </c>
      <c r="N37" s="1" t="s">
        <v>8</v>
      </c>
      <c r="O37" s="1" t="s">
        <v>27</v>
      </c>
      <c r="P37" s="1" t="s">
        <v>53</v>
      </c>
    </row>
    <row r="38" spans="1:16" x14ac:dyDescent="0.3">
      <c r="A38" s="9" t="s">
        <v>105</v>
      </c>
      <c r="B38" s="66" t="s">
        <v>6</v>
      </c>
      <c r="C38" s="14"/>
      <c r="D38" s="2">
        <v>15.06</v>
      </c>
      <c r="E38" s="2">
        <v>15.03</v>
      </c>
      <c r="F38" s="2">
        <v>0</v>
      </c>
      <c r="G38" s="2">
        <f>D38-E38</f>
        <v>3.0000000000001137E-2</v>
      </c>
      <c r="H38" s="3">
        <v>28689</v>
      </c>
      <c r="I38" s="3">
        <v>0</v>
      </c>
      <c r="J38" s="3">
        <v>28689</v>
      </c>
      <c r="K38" s="3">
        <v>0</v>
      </c>
      <c r="L38" s="1" t="s">
        <v>7</v>
      </c>
      <c r="M38" s="1">
        <v>2023</v>
      </c>
      <c r="N38" s="1"/>
      <c r="O38" s="1"/>
      <c r="P38" s="1"/>
    </row>
    <row r="39" spans="1:16" x14ac:dyDescent="0.3">
      <c r="A39" s="9" t="s">
        <v>105</v>
      </c>
      <c r="B39" s="66" t="s">
        <v>11</v>
      </c>
      <c r="C39" s="14"/>
      <c r="D39" s="2">
        <v>14.99</v>
      </c>
      <c r="E39" s="2">
        <v>14.86</v>
      </c>
      <c r="F39" s="2">
        <v>0</v>
      </c>
      <c r="G39" s="2">
        <f>D39-E39</f>
        <v>0.13000000000000078</v>
      </c>
      <c r="H39" s="3">
        <v>28556</v>
      </c>
      <c r="I39" s="3">
        <v>0</v>
      </c>
      <c r="J39" s="3">
        <v>28556</v>
      </c>
      <c r="K39" s="3">
        <v>0</v>
      </c>
      <c r="L39" s="1" t="s">
        <v>7</v>
      </c>
      <c r="M39" s="1">
        <v>2023</v>
      </c>
      <c r="N39" s="1"/>
      <c r="O39" s="1"/>
      <c r="P39" s="1"/>
    </row>
    <row r="40" spans="1:16" x14ac:dyDescent="0.3">
      <c r="A40" s="9" t="s">
        <v>105</v>
      </c>
      <c r="B40" s="66" t="s">
        <v>13</v>
      </c>
      <c r="C40" s="14"/>
      <c r="D40" s="2">
        <v>14.28</v>
      </c>
      <c r="E40" s="2">
        <v>14.03</v>
      </c>
      <c r="F40" s="2">
        <v>0</v>
      </c>
      <c r="G40" s="2">
        <f>D40-E40</f>
        <v>0.25</v>
      </c>
      <c r="H40" s="3">
        <v>27203</v>
      </c>
      <c r="I40" s="3">
        <v>0</v>
      </c>
      <c r="J40" s="3">
        <v>27203</v>
      </c>
      <c r="K40" s="3">
        <v>0</v>
      </c>
      <c r="L40" s="1" t="s">
        <v>7</v>
      </c>
      <c r="M40" s="1">
        <v>2023</v>
      </c>
      <c r="N40" s="1"/>
      <c r="O40" s="1"/>
      <c r="P40" s="1"/>
    </row>
    <row r="41" spans="1:16" x14ac:dyDescent="0.3">
      <c r="A41" s="10" t="s">
        <v>113</v>
      </c>
      <c r="B41" s="10" t="s">
        <v>88</v>
      </c>
      <c r="C41" s="4">
        <v>1838</v>
      </c>
      <c r="D41" s="2">
        <v>15.46</v>
      </c>
      <c r="E41" s="2">
        <f>13.18+2.03</f>
        <v>15.209999999999999</v>
      </c>
      <c r="F41" s="2">
        <v>0</v>
      </c>
      <c r="G41" s="2">
        <v>0.25000000000000178</v>
      </c>
      <c r="H41" s="3">
        <v>28415</v>
      </c>
      <c r="I41" s="3">
        <v>28415</v>
      </c>
      <c r="J41" s="3">
        <v>0</v>
      </c>
      <c r="K41" s="3">
        <v>0</v>
      </c>
      <c r="L41" s="1" t="s">
        <v>7</v>
      </c>
      <c r="M41" s="1">
        <v>2021</v>
      </c>
      <c r="N41" s="1" t="s">
        <v>8</v>
      </c>
      <c r="O41" s="1" t="s">
        <v>27</v>
      </c>
      <c r="P41" s="1" t="s">
        <v>28</v>
      </c>
    </row>
    <row r="42" spans="1:16" x14ac:dyDescent="0.3">
      <c r="A42" s="10" t="s">
        <v>113</v>
      </c>
      <c r="B42" s="10" t="s">
        <v>89</v>
      </c>
      <c r="C42" s="4">
        <v>1838</v>
      </c>
      <c r="D42" s="2">
        <v>11.38</v>
      </c>
      <c r="E42" s="2">
        <f>9.33+1.85</f>
        <v>11.18</v>
      </c>
      <c r="F42" s="2">
        <v>0</v>
      </c>
      <c r="G42" s="2">
        <v>0.20000000000000107</v>
      </c>
      <c r="H42" s="3">
        <v>20843</v>
      </c>
      <c r="I42" s="3">
        <v>20843</v>
      </c>
      <c r="J42" s="3">
        <v>0</v>
      </c>
      <c r="K42" s="3">
        <v>0</v>
      </c>
      <c r="L42" s="1" t="s">
        <v>7</v>
      </c>
      <c r="M42" s="1">
        <v>2021</v>
      </c>
      <c r="N42" s="1" t="s">
        <v>8</v>
      </c>
      <c r="O42" s="1" t="s">
        <v>27</v>
      </c>
      <c r="P42" s="1" t="s">
        <v>28</v>
      </c>
    </row>
    <row r="43" spans="1:16" x14ac:dyDescent="0.3">
      <c r="A43" s="10" t="s">
        <v>113</v>
      </c>
      <c r="B43" s="10" t="s">
        <v>90</v>
      </c>
      <c r="C43" s="7">
        <v>1905</v>
      </c>
      <c r="D43" s="2">
        <v>11.87</v>
      </c>
      <c r="E43" s="2">
        <v>11.87</v>
      </c>
      <c r="F43" s="2">
        <v>0</v>
      </c>
      <c r="G43" s="2">
        <v>0</v>
      </c>
      <c r="H43" s="3">
        <v>22374</v>
      </c>
      <c r="I43" s="3">
        <v>22374</v>
      </c>
      <c r="J43" s="3">
        <v>0</v>
      </c>
      <c r="K43" s="3">
        <v>0</v>
      </c>
      <c r="L43" s="1" t="s">
        <v>7</v>
      </c>
      <c r="M43" s="1">
        <v>2022</v>
      </c>
      <c r="N43" s="1" t="s">
        <v>8</v>
      </c>
      <c r="O43" s="1" t="s">
        <v>27</v>
      </c>
      <c r="P43" s="1" t="s">
        <v>28</v>
      </c>
    </row>
    <row r="44" spans="1:16" x14ac:dyDescent="0.3">
      <c r="A44" s="10" t="s">
        <v>113</v>
      </c>
      <c r="B44" s="10" t="s">
        <v>92</v>
      </c>
      <c r="C44" s="7">
        <v>1905</v>
      </c>
      <c r="D44" s="2">
        <v>15</v>
      </c>
      <c r="E44" s="2">
        <v>15</v>
      </c>
      <c r="F44" s="2">
        <v>0</v>
      </c>
      <c r="G44" s="2">
        <v>0</v>
      </c>
      <c r="H44" s="3">
        <v>28372</v>
      </c>
      <c r="I44" s="3">
        <v>28372</v>
      </c>
      <c r="J44" s="3">
        <v>0</v>
      </c>
      <c r="K44" s="3">
        <v>0</v>
      </c>
      <c r="L44" s="1" t="s">
        <v>7</v>
      </c>
      <c r="M44" s="1">
        <v>2022</v>
      </c>
      <c r="N44" s="1" t="s">
        <v>8</v>
      </c>
      <c r="O44" s="1" t="s">
        <v>27</v>
      </c>
      <c r="P44" s="1" t="s">
        <v>28</v>
      </c>
    </row>
    <row r="45" spans="1:16" x14ac:dyDescent="0.3">
      <c r="A45" s="10" t="s">
        <v>113</v>
      </c>
      <c r="B45" s="10" t="s">
        <v>80</v>
      </c>
      <c r="C45" s="7">
        <v>1905</v>
      </c>
      <c r="D45" s="2">
        <v>10.34</v>
      </c>
      <c r="E45" s="2">
        <v>10.34</v>
      </c>
      <c r="F45" s="2">
        <v>0</v>
      </c>
      <c r="G45" s="2">
        <v>0</v>
      </c>
      <c r="H45" s="3">
        <v>19040</v>
      </c>
      <c r="I45" s="3">
        <v>19040</v>
      </c>
      <c r="J45" s="3">
        <v>0</v>
      </c>
      <c r="K45" s="3">
        <v>0</v>
      </c>
      <c r="L45" s="1" t="s">
        <v>7</v>
      </c>
      <c r="M45" s="1">
        <v>2022</v>
      </c>
      <c r="N45" s="1" t="s">
        <v>8</v>
      </c>
      <c r="O45" s="1" t="s">
        <v>27</v>
      </c>
      <c r="P45" s="1" t="s">
        <v>28</v>
      </c>
    </row>
    <row r="46" spans="1:16" x14ac:dyDescent="0.3">
      <c r="A46" s="10" t="s">
        <v>113</v>
      </c>
      <c r="B46" s="10" t="s">
        <v>93</v>
      </c>
      <c r="C46" s="7">
        <v>1905</v>
      </c>
      <c r="D46" s="2">
        <v>15</v>
      </c>
      <c r="E46" s="2">
        <v>15</v>
      </c>
      <c r="F46" s="2">
        <v>0</v>
      </c>
      <c r="G46" s="2">
        <v>0</v>
      </c>
      <c r="H46" s="3">
        <v>28376</v>
      </c>
      <c r="I46" s="3">
        <v>28376</v>
      </c>
      <c r="J46" s="3">
        <v>0</v>
      </c>
      <c r="K46" s="3">
        <v>0</v>
      </c>
      <c r="L46" s="1" t="s">
        <v>7</v>
      </c>
      <c r="M46" s="1">
        <v>2022</v>
      </c>
      <c r="N46" s="1" t="s">
        <v>8</v>
      </c>
      <c r="O46" s="1" t="s">
        <v>27</v>
      </c>
      <c r="P46" s="1" t="s">
        <v>28</v>
      </c>
    </row>
    <row r="47" spans="1:16" x14ac:dyDescent="0.3">
      <c r="A47" s="10" t="s">
        <v>113</v>
      </c>
      <c r="B47" s="10" t="s">
        <v>94</v>
      </c>
      <c r="C47" s="7">
        <v>1905</v>
      </c>
      <c r="D47" s="2">
        <v>15</v>
      </c>
      <c r="E47" s="2">
        <v>15</v>
      </c>
      <c r="F47" s="2">
        <v>0</v>
      </c>
      <c r="G47" s="2">
        <v>0</v>
      </c>
      <c r="H47" s="3">
        <v>27537</v>
      </c>
      <c r="I47" s="3">
        <v>27537</v>
      </c>
      <c r="J47" s="3">
        <v>0</v>
      </c>
      <c r="K47" s="3">
        <v>0</v>
      </c>
      <c r="L47" s="1" t="s">
        <v>7</v>
      </c>
      <c r="M47" s="1">
        <v>2022</v>
      </c>
      <c r="N47" s="1" t="s">
        <v>8</v>
      </c>
      <c r="O47" s="1" t="s">
        <v>27</v>
      </c>
      <c r="P47" s="1" t="s">
        <v>28</v>
      </c>
    </row>
    <row r="48" spans="1:16" x14ac:dyDescent="0.3">
      <c r="A48" s="10" t="s">
        <v>113</v>
      </c>
      <c r="B48" s="10" t="s">
        <v>95</v>
      </c>
      <c r="C48" s="7">
        <v>1905</v>
      </c>
      <c r="D48" s="2">
        <v>15</v>
      </c>
      <c r="E48" s="2">
        <v>15</v>
      </c>
      <c r="F48" s="2">
        <v>0</v>
      </c>
      <c r="G48" s="2">
        <v>0</v>
      </c>
      <c r="H48" s="3">
        <v>28209</v>
      </c>
      <c r="I48" s="3">
        <v>28209</v>
      </c>
      <c r="J48" s="3">
        <v>0</v>
      </c>
      <c r="K48" s="3">
        <v>0</v>
      </c>
      <c r="L48" s="1" t="s">
        <v>7</v>
      </c>
      <c r="M48" s="1">
        <v>2022</v>
      </c>
      <c r="N48" s="1" t="s">
        <v>8</v>
      </c>
      <c r="O48" s="1" t="s">
        <v>27</v>
      </c>
      <c r="P48" s="1" t="s">
        <v>28</v>
      </c>
    </row>
    <row r="49" spans="1:16" x14ac:dyDescent="0.3">
      <c r="A49" s="10" t="s">
        <v>113</v>
      </c>
      <c r="B49" s="10" t="s">
        <v>96</v>
      </c>
      <c r="C49" s="7">
        <v>1905</v>
      </c>
      <c r="D49" s="2">
        <v>12.04</v>
      </c>
      <c r="E49" s="2">
        <v>12.04</v>
      </c>
      <c r="F49" s="2">
        <v>0</v>
      </c>
      <c r="G49" s="2">
        <v>0</v>
      </c>
      <c r="H49" s="3">
        <v>22986</v>
      </c>
      <c r="I49" s="3">
        <v>22986</v>
      </c>
      <c r="J49" s="3">
        <v>0</v>
      </c>
      <c r="K49" s="3">
        <v>0</v>
      </c>
      <c r="L49" s="1" t="s">
        <v>7</v>
      </c>
      <c r="M49" s="1">
        <v>2022</v>
      </c>
      <c r="N49" s="1" t="s">
        <v>12</v>
      </c>
      <c r="O49" s="1" t="s">
        <v>27</v>
      </c>
      <c r="P49" s="1" t="s">
        <v>28</v>
      </c>
    </row>
    <row r="50" spans="1:16" x14ac:dyDescent="0.3">
      <c r="A50" s="10" t="s">
        <v>113</v>
      </c>
      <c r="B50" s="10" t="s">
        <v>97</v>
      </c>
      <c r="C50" s="7">
        <v>1905</v>
      </c>
      <c r="D50" s="2">
        <v>16.8</v>
      </c>
      <c r="E50" s="2">
        <v>16.8</v>
      </c>
      <c r="F50" s="2">
        <v>0</v>
      </c>
      <c r="G50" s="2">
        <v>0</v>
      </c>
      <c r="H50" s="3">
        <v>32260</v>
      </c>
      <c r="I50" s="3">
        <v>32260</v>
      </c>
      <c r="J50" s="3">
        <v>0</v>
      </c>
      <c r="K50" s="3">
        <v>0</v>
      </c>
      <c r="L50" s="1" t="s">
        <v>7</v>
      </c>
      <c r="M50" s="1">
        <v>2022</v>
      </c>
      <c r="N50" s="1" t="s">
        <v>12</v>
      </c>
      <c r="O50" s="1" t="s">
        <v>27</v>
      </c>
      <c r="P50" s="1" t="s">
        <v>28</v>
      </c>
    </row>
    <row r="51" spans="1:16" x14ac:dyDescent="0.3">
      <c r="A51" s="10" t="s">
        <v>113</v>
      </c>
      <c r="B51" s="10" t="s">
        <v>98</v>
      </c>
      <c r="C51" s="7">
        <v>1905</v>
      </c>
      <c r="D51" s="2">
        <v>7.5</v>
      </c>
      <c r="E51" s="2">
        <v>7.5</v>
      </c>
      <c r="F51" s="2">
        <v>0</v>
      </c>
      <c r="G51" s="2">
        <v>0</v>
      </c>
      <c r="H51" s="3">
        <v>14314</v>
      </c>
      <c r="I51" s="3">
        <v>14314</v>
      </c>
      <c r="J51" s="3">
        <v>0</v>
      </c>
      <c r="K51" s="3">
        <v>0</v>
      </c>
      <c r="L51" s="1" t="s">
        <v>7</v>
      </c>
      <c r="M51" s="1">
        <v>2022</v>
      </c>
      <c r="N51" s="1" t="s">
        <v>12</v>
      </c>
      <c r="O51" s="1" t="s">
        <v>27</v>
      </c>
      <c r="P51" s="1" t="s">
        <v>28</v>
      </c>
    </row>
    <row r="52" spans="1:16" x14ac:dyDescent="0.3">
      <c r="A52" s="10" t="s">
        <v>113</v>
      </c>
      <c r="B52" s="10" t="s">
        <v>99</v>
      </c>
      <c r="C52" s="8">
        <v>1754</v>
      </c>
      <c r="D52" s="2">
        <v>18.510000000000002</v>
      </c>
      <c r="E52" s="2">
        <v>18.510000000000002</v>
      </c>
      <c r="F52" s="2">
        <v>0</v>
      </c>
      <c r="G52" s="2">
        <v>0</v>
      </c>
      <c r="H52" s="3">
        <v>34606</v>
      </c>
      <c r="I52" s="3">
        <v>34606</v>
      </c>
      <c r="J52" s="3">
        <v>0</v>
      </c>
      <c r="K52" s="3">
        <v>0</v>
      </c>
      <c r="L52" s="1" t="s">
        <v>7</v>
      </c>
      <c r="M52" s="1">
        <v>2022</v>
      </c>
      <c r="N52" s="1" t="s">
        <v>8</v>
      </c>
      <c r="O52" s="1" t="s">
        <v>27</v>
      </c>
      <c r="P52" s="1"/>
    </row>
    <row r="53" spans="1:16" x14ac:dyDescent="0.3">
      <c r="A53" s="10" t="s">
        <v>113</v>
      </c>
      <c r="B53" s="10" t="s">
        <v>100</v>
      </c>
      <c r="C53" s="8">
        <v>1754</v>
      </c>
      <c r="D53" s="2">
        <v>8.33</v>
      </c>
      <c r="E53" s="2">
        <v>8.33</v>
      </c>
      <c r="F53" s="2">
        <v>0</v>
      </c>
      <c r="G53" s="2">
        <v>0</v>
      </c>
      <c r="H53" s="3">
        <v>11785</v>
      </c>
      <c r="I53" s="3">
        <v>11785</v>
      </c>
      <c r="J53" s="3">
        <v>0</v>
      </c>
      <c r="K53" s="3">
        <v>0</v>
      </c>
      <c r="L53" s="1" t="s">
        <v>7</v>
      </c>
      <c r="M53" s="1">
        <v>2022</v>
      </c>
      <c r="N53" s="1" t="s">
        <v>8</v>
      </c>
      <c r="O53" s="1" t="s">
        <v>27</v>
      </c>
      <c r="P53" s="1"/>
    </row>
    <row r="54" spans="1:16" x14ac:dyDescent="0.3">
      <c r="A54" s="12" t="s">
        <v>116</v>
      </c>
      <c r="B54" s="12" t="s">
        <v>45</v>
      </c>
      <c r="C54" s="12"/>
      <c r="D54" s="2">
        <v>8.08</v>
      </c>
      <c r="E54" s="2">
        <v>0</v>
      </c>
      <c r="F54" s="2">
        <v>8.08</v>
      </c>
      <c r="G54" s="2">
        <v>0</v>
      </c>
      <c r="H54" s="3">
        <v>15392</v>
      </c>
      <c r="I54" s="3">
        <v>0</v>
      </c>
      <c r="J54" s="3">
        <v>15392</v>
      </c>
      <c r="K54" s="3">
        <v>0</v>
      </c>
      <c r="L54" s="10" t="s">
        <v>91</v>
      </c>
      <c r="M54" s="1">
        <v>2023</v>
      </c>
      <c r="N54" s="1"/>
      <c r="O54" s="1"/>
      <c r="P54" s="1"/>
    </row>
    <row r="55" spans="1:16" x14ac:dyDescent="0.3">
      <c r="A55" s="12" t="s">
        <v>116</v>
      </c>
      <c r="B55" s="12" t="s">
        <v>47</v>
      </c>
      <c r="C55" s="12"/>
      <c r="D55" s="2">
        <v>8.77</v>
      </c>
      <c r="E55" s="2">
        <v>0</v>
      </c>
      <c r="F55" s="2">
        <v>8.77</v>
      </c>
      <c r="G55" s="2">
        <v>0</v>
      </c>
      <c r="H55" s="3">
        <v>16707</v>
      </c>
      <c r="I55" s="3">
        <v>0</v>
      </c>
      <c r="J55" s="3">
        <v>16707</v>
      </c>
      <c r="K55" s="3">
        <v>0</v>
      </c>
      <c r="L55" s="10" t="s">
        <v>91</v>
      </c>
      <c r="M55" s="1">
        <v>2023</v>
      </c>
      <c r="N55" s="1"/>
      <c r="O55" s="1"/>
      <c r="P55" s="1"/>
    </row>
    <row r="56" spans="1:16" x14ac:dyDescent="0.3">
      <c r="A56" s="9" t="s">
        <v>112</v>
      </c>
      <c r="B56" s="9" t="s">
        <v>83</v>
      </c>
      <c r="C56" s="12"/>
      <c r="D56" s="2">
        <v>11.6</v>
      </c>
      <c r="E56" s="2">
        <v>10.68</v>
      </c>
      <c r="F56" s="2">
        <v>0</v>
      </c>
      <c r="G56" s="2">
        <f>D56-E56</f>
        <v>0.91999999999999993</v>
      </c>
      <c r="H56" s="3">
        <v>22098</v>
      </c>
      <c r="I56" s="3">
        <v>0</v>
      </c>
      <c r="J56" s="3">
        <v>22098</v>
      </c>
      <c r="K56" s="3">
        <v>0</v>
      </c>
      <c r="L56" s="1" t="s">
        <v>7</v>
      </c>
      <c r="M56" s="1">
        <v>2023</v>
      </c>
      <c r="N56" s="1"/>
      <c r="O56" s="1"/>
      <c r="P56" s="1"/>
    </row>
    <row r="57" spans="1:16" x14ac:dyDescent="0.3">
      <c r="A57" s="12" t="s">
        <v>117</v>
      </c>
      <c r="B57" s="12" t="s">
        <v>101</v>
      </c>
      <c r="C57" s="12"/>
      <c r="D57" s="2">
        <v>10</v>
      </c>
      <c r="E57" s="2">
        <v>0</v>
      </c>
      <c r="F57" s="2">
        <v>10</v>
      </c>
      <c r="G57" s="2">
        <v>0</v>
      </c>
      <c r="H57" s="3">
        <v>19050</v>
      </c>
      <c r="I57" s="3">
        <v>0</v>
      </c>
      <c r="J57" s="3">
        <v>19050</v>
      </c>
      <c r="K57" s="3">
        <v>0</v>
      </c>
      <c r="L57" s="10" t="s">
        <v>91</v>
      </c>
      <c r="M57" s="1">
        <v>2023</v>
      </c>
      <c r="N57" s="1"/>
      <c r="O57" s="1"/>
      <c r="P57" s="1"/>
    </row>
    <row r="58" spans="1:16" x14ac:dyDescent="0.3">
      <c r="A58" s="12" t="s">
        <v>117</v>
      </c>
      <c r="B58" s="12" t="s">
        <v>103</v>
      </c>
      <c r="C58" s="12"/>
      <c r="D58" s="2">
        <v>10</v>
      </c>
      <c r="E58" s="2">
        <v>0</v>
      </c>
      <c r="F58" s="2">
        <v>10</v>
      </c>
      <c r="G58" s="2">
        <v>0</v>
      </c>
      <c r="H58" s="3">
        <v>19050</v>
      </c>
      <c r="I58" s="3">
        <v>0</v>
      </c>
      <c r="J58" s="3">
        <v>19050</v>
      </c>
      <c r="K58" s="3">
        <v>0</v>
      </c>
      <c r="L58" s="10" t="s">
        <v>91</v>
      </c>
      <c r="M58" s="1">
        <v>2023</v>
      </c>
      <c r="N58" s="1"/>
      <c r="O58" s="1"/>
      <c r="P58" s="1"/>
    </row>
    <row r="59" spans="1:16" x14ac:dyDescent="0.3">
      <c r="A59" s="10" t="s">
        <v>109</v>
      </c>
      <c r="B59" s="10" t="s">
        <v>59</v>
      </c>
      <c r="C59" s="4">
        <v>1905</v>
      </c>
      <c r="D59" s="2">
        <v>7.21</v>
      </c>
      <c r="E59" s="2">
        <v>6.91</v>
      </c>
      <c r="F59" s="2">
        <v>0</v>
      </c>
      <c r="G59" s="2">
        <v>0.29999999999999982</v>
      </c>
      <c r="H59" s="3">
        <v>13740</v>
      </c>
      <c r="I59" s="11">
        <v>13164</v>
      </c>
      <c r="J59" s="11">
        <v>0</v>
      </c>
      <c r="K59" s="11">
        <v>576</v>
      </c>
      <c r="L59" s="1" t="s">
        <v>7</v>
      </c>
      <c r="M59" s="1">
        <v>2018</v>
      </c>
      <c r="N59" s="1" t="s">
        <v>8</v>
      </c>
      <c r="O59" s="1"/>
      <c r="P59" s="1" t="s">
        <v>34</v>
      </c>
    </row>
    <row r="60" spans="1:16" x14ac:dyDescent="0.3">
      <c r="A60" s="10" t="s">
        <v>109</v>
      </c>
      <c r="B60" s="10" t="s">
        <v>60</v>
      </c>
      <c r="C60" s="4">
        <v>1905</v>
      </c>
      <c r="D60" s="2">
        <v>3.77</v>
      </c>
      <c r="E60" s="2">
        <f>3.3+0.34</f>
        <v>3.6399999999999997</v>
      </c>
      <c r="F60" s="2">
        <v>0</v>
      </c>
      <c r="G60" s="2">
        <v>0.13000000000000034</v>
      </c>
      <c r="H60" s="3">
        <v>7176</v>
      </c>
      <c r="I60" s="11">
        <f>6291+652</f>
        <v>6943</v>
      </c>
      <c r="J60" s="11">
        <v>0</v>
      </c>
      <c r="K60" s="11">
        <v>233</v>
      </c>
      <c r="L60" s="1" t="s">
        <v>7</v>
      </c>
      <c r="M60" s="1" t="s">
        <v>61</v>
      </c>
      <c r="N60" s="1" t="s">
        <v>8</v>
      </c>
      <c r="O60" s="1"/>
      <c r="P60" s="1" t="s">
        <v>34</v>
      </c>
    </row>
    <row r="61" spans="1:16" x14ac:dyDescent="0.3">
      <c r="A61" s="10" t="s">
        <v>109</v>
      </c>
      <c r="B61" s="10" t="s">
        <v>62</v>
      </c>
      <c r="C61" s="4">
        <v>1780</v>
      </c>
      <c r="D61" s="2">
        <v>10.67</v>
      </c>
      <c r="E61" s="2">
        <f>10.44+0.09</f>
        <v>10.53</v>
      </c>
      <c r="F61" s="2">
        <v>0</v>
      </c>
      <c r="G61" s="2">
        <v>0.14000000000000057</v>
      </c>
      <c r="H61" s="3">
        <v>18993</v>
      </c>
      <c r="I61" s="11">
        <f>18587+152</f>
        <v>18739</v>
      </c>
      <c r="J61" s="11">
        <v>0</v>
      </c>
      <c r="K61" s="11">
        <v>254</v>
      </c>
      <c r="L61" s="1" t="s">
        <v>7</v>
      </c>
      <c r="M61" s="1">
        <v>2020</v>
      </c>
      <c r="N61" s="1" t="s">
        <v>12</v>
      </c>
      <c r="O61" s="1" t="s">
        <v>27</v>
      </c>
      <c r="P61" s="1" t="s">
        <v>34</v>
      </c>
    </row>
    <row r="62" spans="1:16" x14ac:dyDescent="0.3">
      <c r="A62" s="10" t="s">
        <v>109</v>
      </c>
      <c r="B62" s="10" t="s">
        <v>63</v>
      </c>
      <c r="C62" s="4">
        <v>1780</v>
      </c>
      <c r="D62" s="2">
        <v>14.68</v>
      </c>
      <c r="E62" s="2">
        <f>14.18+0.33</f>
        <v>14.51</v>
      </c>
      <c r="F62" s="2">
        <v>0</v>
      </c>
      <c r="G62" s="2">
        <v>0.16999999999999993</v>
      </c>
      <c r="H62" s="3">
        <v>26134</v>
      </c>
      <c r="I62" s="11">
        <f>25242+594</f>
        <v>25836</v>
      </c>
      <c r="J62" s="11">
        <v>0</v>
      </c>
      <c r="K62" s="11">
        <v>298</v>
      </c>
      <c r="L62" s="1" t="s">
        <v>7</v>
      </c>
      <c r="M62" s="1">
        <v>2020</v>
      </c>
      <c r="N62" s="1" t="s">
        <v>12</v>
      </c>
      <c r="O62" s="1" t="s">
        <v>27</v>
      </c>
      <c r="P62" s="1" t="s">
        <v>34</v>
      </c>
    </row>
    <row r="63" spans="1:16" x14ac:dyDescent="0.3">
      <c r="A63" s="10" t="s">
        <v>109</v>
      </c>
      <c r="B63" s="10" t="s">
        <v>64</v>
      </c>
      <c r="C63" s="4">
        <v>1780</v>
      </c>
      <c r="D63" s="2">
        <v>13.64</v>
      </c>
      <c r="E63" s="2">
        <f>13.57+0.07</f>
        <v>13.64</v>
      </c>
      <c r="F63" s="2">
        <v>0</v>
      </c>
      <c r="G63" s="2">
        <v>0</v>
      </c>
      <c r="H63" s="3">
        <v>24277</v>
      </c>
      <c r="I63" s="11">
        <f>24149+116</f>
        <v>24265</v>
      </c>
      <c r="J63" s="11">
        <v>0</v>
      </c>
      <c r="K63" s="11">
        <v>12</v>
      </c>
      <c r="L63" s="1" t="s">
        <v>7</v>
      </c>
      <c r="M63" s="1">
        <v>2020</v>
      </c>
      <c r="N63" s="1" t="s">
        <v>12</v>
      </c>
      <c r="O63" s="1" t="s">
        <v>27</v>
      </c>
      <c r="P63" s="1" t="s">
        <v>34</v>
      </c>
    </row>
    <row r="64" spans="1:16" x14ac:dyDescent="0.3">
      <c r="A64" s="10" t="s">
        <v>109</v>
      </c>
      <c r="B64" s="10" t="s">
        <v>65</v>
      </c>
      <c r="C64" s="7">
        <v>1838</v>
      </c>
      <c r="D64" s="2">
        <v>13.12</v>
      </c>
      <c r="E64" s="2">
        <f>12.43+0.64</f>
        <v>13.07</v>
      </c>
      <c r="F64" s="2">
        <v>0</v>
      </c>
      <c r="G64" s="2">
        <v>4.9999999999998934E-2</v>
      </c>
      <c r="H64" s="3">
        <v>24115</v>
      </c>
      <c r="I64" s="11">
        <f>22841+1182</f>
        <v>24023</v>
      </c>
      <c r="J64" s="11">
        <v>0</v>
      </c>
      <c r="K64" s="11">
        <v>92</v>
      </c>
      <c r="L64" s="1" t="s">
        <v>7</v>
      </c>
      <c r="M64" s="1">
        <v>2021</v>
      </c>
      <c r="N64" s="1" t="s">
        <v>12</v>
      </c>
      <c r="O64" s="1" t="s">
        <v>27</v>
      </c>
      <c r="P64" s="1" t="s">
        <v>28</v>
      </c>
    </row>
    <row r="65" spans="1:16" x14ac:dyDescent="0.3">
      <c r="A65" s="10" t="s">
        <v>109</v>
      </c>
      <c r="B65" s="10" t="s">
        <v>66</v>
      </c>
      <c r="C65" s="7">
        <v>1838</v>
      </c>
      <c r="D65" s="2">
        <v>12.71</v>
      </c>
      <c r="E65" s="2">
        <f>11.94+0.71</f>
        <v>12.649999999999999</v>
      </c>
      <c r="F65" s="2">
        <v>0</v>
      </c>
      <c r="G65" s="2">
        <v>6.0000000000002274E-2</v>
      </c>
      <c r="H65" s="3">
        <v>23370</v>
      </c>
      <c r="I65" s="11">
        <f>21952+1311</f>
        <v>23263</v>
      </c>
      <c r="J65" s="11">
        <v>0</v>
      </c>
      <c r="K65" s="11">
        <v>107</v>
      </c>
      <c r="L65" s="1" t="s">
        <v>7</v>
      </c>
      <c r="M65" s="1">
        <v>2021</v>
      </c>
      <c r="N65" s="1" t="s">
        <v>12</v>
      </c>
      <c r="O65" s="1" t="s">
        <v>27</v>
      </c>
      <c r="P65" s="1" t="s">
        <v>28</v>
      </c>
    </row>
    <row r="66" spans="1:16" x14ac:dyDescent="0.3">
      <c r="A66" s="13" t="s">
        <v>109</v>
      </c>
      <c r="B66" s="13" t="s">
        <v>104</v>
      </c>
      <c r="C66" s="13"/>
      <c r="D66" s="2">
        <v>10</v>
      </c>
      <c r="E66" s="2">
        <v>0</v>
      </c>
      <c r="F66" s="2">
        <v>10</v>
      </c>
      <c r="G66" s="2">
        <v>0</v>
      </c>
      <c r="H66" s="3">
        <v>19050</v>
      </c>
      <c r="I66" s="3">
        <v>0</v>
      </c>
      <c r="J66" s="3">
        <v>19050</v>
      </c>
      <c r="K66" s="3">
        <v>0</v>
      </c>
      <c r="L66" s="10" t="s">
        <v>91</v>
      </c>
      <c r="M66" s="1">
        <v>2023</v>
      </c>
      <c r="N66" s="1"/>
      <c r="O66" s="1"/>
      <c r="P66" s="1"/>
    </row>
    <row r="67" spans="1:16" x14ac:dyDescent="0.3">
      <c r="A67" s="13" t="s">
        <v>109</v>
      </c>
      <c r="B67" s="13" t="s">
        <v>102</v>
      </c>
      <c r="C67" s="13"/>
      <c r="D67" s="2">
        <v>10</v>
      </c>
      <c r="E67" s="2">
        <v>0</v>
      </c>
      <c r="F67" s="2">
        <v>10</v>
      </c>
      <c r="G67" s="2">
        <v>0</v>
      </c>
      <c r="H67" s="3">
        <v>19050</v>
      </c>
      <c r="I67" s="3">
        <v>0</v>
      </c>
      <c r="J67" s="3">
        <v>19050</v>
      </c>
      <c r="K67" s="3">
        <v>0</v>
      </c>
      <c r="L67" s="10" t="s">
        <v>91</v>
      </c>
      <c r="M67" s="1">
        <v>2023</v>
      </c>
      <c r="N67" s="1"/>
      <c r="O67" s="1"/>
      <c r="P67" s="1"/>
    </row>
    <row r="68" spans="1:16" x14ac:dyDescent="0.3">
      <c r="A68" s="12" t="s">
        <v>110</v>
      </c>
      <c r="B68" s="12" t="s">
        <v>48</v>
      </c>
      <c r="C68" s="12"/>
      <c r="D68" s="2">
        <v>15.88</v>
      </c>
      <c r="E68" s="2">
        <v>0</v>
      </c>
      <c r="F68" s="2">
        <v>15.88</v>
      </c>
      <c r="G68" s="2">
        <v>0</v>
      </c>
      <c r="H68" s="3">
        <v>30251</v>
      </c>
      <c r="I68" s="3">
        <v>0</v>
      </c>
      <c r="J68" s="3">
        <v>30251</v>
      </c>
      <c r="K68" s="3">
        <v>0</v>
      </c>
      <c r="L68" s="10" t="s">
        <v>91</v>
      </c>
      <c r="M68" s="1">
        <v>2023</v>
      </c>
      <c r="N68" s="1"/>
      <c r="O68" s="1"/>
      <c r="P68" s="1"/>
    </row>
    <row r="69" spans="1:16" x14ac:dyDescent="0.3">
      <c r="A69" s="12" t="s">
        <v>110</v>
      </c>
      <c r="B69" s="12" t="s">
        <v>50</v>
      </c>
      <c r="C69" s="12"/>
      <c r="D69" s="2">
        <v>18.329999999999998</v>
      </c>
      <c r="E69" s="2">
        <v>0</v>
      </c>
      <c r="F69" s="2">
        <v>18.329999999999998</v>
      </c>
      <c r="G69" s="2">
        <v>0</v>
      </c>
      <c r="H69" s="3">
        <v>34919</v>
      </c>
      <c r="I69" s="3">
        <v>0</v>
      </c>
      <c r="J69" s="3">
        <v>34919</v>
      </c>
      <c r="K69" s="3">
        <v>0</v>
      </c>
      <c r="L69" s="10" t="s">
        <v>91</v>
      </c>
      <c r="M69" s="1">
        <v>2023</v>
      </c>
      <c r="N69" s="1"/>
      <c r="O69" s="1"/>
      <c r="P69" s="1"/>
    </row>
    <row r="70" spans="1:16" x14ac:dyDescent="0.3">
      <c r="A70" s="10" t="s">
        <v>110</v>
      </c>
      <c r="B70" s="10" t="s">
        <v>67</v>
      </c>
      <c r="C70" s="4">
        <v>1684</v>
      </c>
      <c r="D70" s="2">
        <v>10.24</v>
      </c>
      <c r="E70" s="2">
        <f>10+0.16</f>
        <v>10.16</v>
      </c>
      <c r="F70" s="2">
        <v>0</v>
      </c>
      <c r="G70" s="2">
        <v>8.0000000000000071E-2</v>
      </c>
      <c r="H70" s="3">
        <v>17244</v>
      </c>
      <c r="I70" s="11">
        <f>16836+262</f>
        <v>17098</v>
      </c>
      <c r="J70" s="11">
        <v>0</v>
      </c>
      <c r="K70" s="11">
        <v>146</v>
      </c>
      <c r="L70" s="2" t="s">
        <v>7</v>
      </c>
      <c r="M70" s="5">
        <v>2018</v>
      </c>
      <c r="N70" s="1" t="s">
        <v>12</v>
      </c>
      <c r="O70" s="1"/>
      <c r="P70" s="1" t="s">
        <v>53</v>
      </c>
    </row>
    <row r="71" spans="1:16" x14ac:dyDescent="0.3">
      <c r="A71" s="10" t="s">
        <v>110</v>
      </c>
      <c r="B71" s="10" t="s">
        <v>68</v>
      </c>
      <c r="C71" s="4">
        <v>1684</v>
      </c>
      <c r="D71" s="2">
        <v>13.54</v>
      </c>
      <c r="E71" s="2">
        <f>13.27+0.13</f>
        <v>13.4</v>
      </c>
      <c r="F71" s="2">
        <v>0</v>
      </c>
      <c r="G71" s="2">
        <v>0.13999999999999879</v>
      </c>
      <c r="H71" s="3">
        <v>22805</v>
      </c>
      <c r="I71" s="11">
        <f>22351+217</f>
        <v>22568</v>
      </c>
      <c r="J71" s="11">
        <v>0</v>
      </c>
      <c r="K71" s="11">
        <v>237</v>
      </c>
      <c r="L71" s="2" t="s">
        <v>7</v>
      </c>
      <c r="M71" s="5">
        <v>2018</v>
      </c>
      <c r="N71" s="1" t="s">
        <v>12</v>
      </c>
      <c r="O71" s="1"/>
      <c r="P71" s="1" t="s">
        <v>53</v>
      </c>
    </row>
    <row r="72" spans="1:16" x14ac:dyDescent="0.3">
      <c r="A72" s="10" t="s">
        <v>110</v>
      </c>
      <c r="B72" s="10" t="s">
        <v>69</v>
      </c>
      <c r="C72" s="4">
        <v>1684</v>
      </c>
      <c r="D72" s="2">
        <v>14.81</v>
      </c>
      <c r="E72" s="2">
        <f>14.54+0.07</f>
        <v>14.61</v>
      </c>
      <c r="F72" s="2">
        <v>0</v>
      </c>
      <c r="G72" s="2">
        <v>0.20000000000000107</v>
      </c>
      <c r="H72" s="3">
        <v>24934</v>
      </c>
      <c r="I72" s="11">
        <f>24478+111</f>
        <v>24589</v>
      </c>
      <c r="J72" s="11">
        <v>0</v>
      </c>
      <c r="K72" s="11">
        <v>345</v>
      </c>
      <c r="L72" s="2" t="s">
        <v>7</v>
      </c>
      <c r="M72" s="5">
        <v>2018</v>
      </c>
      <c r="N72" s="1" t="s">
        <v>12</v>
      </c>
      <c r="O72" s="1"/>
      <c r="P72" s="1" t="s">
        <v>53</v>
      </c>
    </row>
    <row r="73" spans="1:16" x14ac:dyDescent="0.3">
      <c r="A73" s="10" t="s">
        <v>110</v>
      </c>
      <c r="B73" s="10" t="s">
        <v>70</v>
      </c>
      <c r="C73" s="4">
        <v>1262</v>
      </c>
      <c r="D73" s="2">
        <v>12.26</v>
      </c>
      <c r="E73" s="2">
        <f>11.89+0.12</f>
        <v>12.01</v>
      </c>
      <c r="F73" s="2">
        <v>0</v>
      </c>
      <c r="G73" s="2">
        <v>0.25</v>
      </c>
      <c r="H73" s="3">
        <v>15472</v>
      </c>
      <c r="I73" s="11">
        <f>15004+153</f>
        <v>15157</v>
      </c>
      <c r="J73" s="11">
        <v>0</v>
      </c>
      <c r="K73" s="11">
        <v>315</v>
      </c>
      <c r="L73" s="2" t="s">
        <v>7</v>
      </c>
      <c r="M73" s="5">
        <v>2018</v>
      </c>
      <c r="N73" s="1" t="s">
        <v>12</v>
      </c>
      <c r="O73" s="1"/>
      <c r="P73" s="1" t="s">
        <v>53</v>
      </c>
    </row>
    <row r="74" spans="1:16" x14ac:dyDescent="0.3">
      <c r="A74" s="10" t="s">
        <v>110</v>
      </c>
      <c r="B74" s="10" t="s">
        <v>71</v>
      </c>
      <c r="C74" s="4">
        <v>1780.2</v>
      </c>
      <c r="D74" s="2">
        <v>15</v>
      </c>
      <c r="E74" s="2">
        <f>10.97+3.84</f>
        <v>14.81</v>
      </c>
      <c r="F74" s="2">
        <v>0</v>
      </c>
      <c r="G74" s="2">
        <v>0.1899999999999995</v>
      </c>
      <c r="H74" s="3">
        <v>26703</v>
      </c>
      <c r="I74" s="11">
        <f>19530+6834</f>
        <v>26364</v>
      </c>
      <c r="J74" s="11">
        <v>0</v>
      </c>
      <c r="K74" s="11">
        <v>339</v>
      </c>
      <c r="L74" s="2" t="s">
        <v>7</v>
      </c>
      <c r="M74" s="5">
        <v>2020</v>
      </c>
      <c r="N74" s="1" t="s">
        <v>12</v>
      </c>
      <c r="O74" s="1"/>
      <c r="P74" s="1" t="s">
        <v>46</v>
      </c>
    </row>
    <row r="75" spans="1:16" x14ac:dyDescent="0.3">
      <c r="A75" s="10" t="s">
        <v>110</v>
      </c>
      <c r="B75" s="10" t="s">
        <v>72</v>
      </c>
      <c r="C75" s="4">
        <v>1780.2</v>
      </c>
      <c r="D75" s="2">
        <v>14.99</v>
      </c>
      <c r="E75" s="2">
        <f>12.22+2.59</f>
        <v>14.81</v>
      </c>
      <c r="F75" s="2">
        <v>0</v>
      </c>
      <c r="G75" s="2">
        <v>0.17999999999999972</v>
      </c>
      <c r="H75" s="3">
        <v>26688</v>
      </c>
      <c r="I75" s="11">
        <f>21753+4615</f>
        <v>26368</v>
      </c>
      <c r="J75" s="11">
        <v>0</v>
      </c>
      <c r="K75" s="11">
        <v>320</v>
      </c>
      <c r="L75" s="2" t="s">
        <v>7</v>
      </c>
      <c r="M75" s="5">
        <v>2020</v>
      </c>
      <c r="N75" s="1" t="s">
        <v>12</v>
      </c>
      <c r="O75" s="1"/>
      <c r="P75" s="1" t="s">
        <v>46</v>
      </c>
    </row>
    <row r="76" spans="1:16" x14ac:dyDescent="0.3">
      <c r="A76" s="10" t="s">
        <v>110</v>
      </c>
      <c r="B76" s="10" t="s">
        <v>73</v>
      </c>
      <c r="C76" s="4">
        <v>1779.3333333333333</v>
      </c>
      <c r="D76" s="2">
        <v>14.99</v>
      </c>
      <c r="E76" s="2">
        <f>13.54+0.52</f>
        <v>14.059999999999999</v>
      </c>
      <c r="F76" s="2">
        <v>0</v>
      </c>
      <c r="G76" s="2">
        <v>0.93000000000000149</v>
      </c>
      <c r="H76" s="3">
        <v>26690</v>
      </c>
      <c r="I76" s="11">
        <f>24106+929</f>
        <v>25035</v>
      </c>
      <c r="J76" s="11">
        <v>0</v>
      </c>
      <c r="K76" s="11">
        <v>1655</v>
      </c>
      <c r="L76" s="2" t="s">
        <v>7</v>
      </c>
      <c r="M76" s="5">
        <v>2020</v>
      </c>
      <c r="N76" s="1" t="s">
        <v>12</v>
      </c>
      <c r="O76" s="1"/>
      <c r="P76" s="1" t="s">
        <v>46</v>
      </c>
    </row>
    <row r="77" spans="1:16" x14ac:dyDescent="0.3">
      <c r="A77" s="10" t="s">
        <v>110</v>
      </c>
      <c r="B77" s="10" t="s">
        <v>74</v>
      </c>
      <c r="C77" s="8">
        <v>1894</v>
      </c>
      <c r="D77" s="2">
        <v>14.96</v>
      </c>
      <c r="E77" s="2">
        <f>14.05+0.73</f>
        <v>14.780000000000001</v>
      </c>
      <c r="F77" s="2">
        <v>0</v>
      </c>
      <c r="G77" s="2">
        <v>0.17999999999999972</v>
      </c>
      <c r="H77" s="3">
        <v>28343</v>
      </c>
      <c r="I77" s="11">
        <f>26609+1383</f>
        <v>27992</v>
      </c>
      <c r="J77" s="11">
        <v>0</v>
      </c>
      <c r="K77" s="11">
        <v>351</v>
      </c>
      <c r="L77" s="2" t="s">
        <v>7</v>
      </c>
      <c r="M77" s="5">
        <v>2021</v>
      </c>
      <c r="N77" s="1" t="s">
        <v>12</v>
      </c>
      <c r="O77" s="1"/>
      <c r="P77" s="1" t="s">
        <v>53</v>
      </c>
    </row>
    <row r="78" spans="1:16" x14ac:dyDescent="0.3">
      <c r="A78" s="10" t="s">
        <v>110</v>
      </c>
      <c r="B78" s="10" t="s">
        <v>75</v>
      </c>
      <c r="C78" s="8">
        <v>1894</v>
      </c>
      <c r="D78" s="2">
        <v>4.3600000000000003</v>
      </c>
      <c r="E78" s="2">
        <f>4.17+0.12</f>
        <v>4.29</v>
      </c>
      <c r="F78" s="2">
        <v>0</v>
      </c>
      <c r="G78" s="2">
        <v>7.0000000000000284E-2</v>
      </c>
      <c r="H78" s="3">
        <v>8256</v>
      </c>
      <c r="I78" s="11">
        <f>7897+220</f>
        <v>8117</v>
      </c>
      <c r="J78" s="11">
        <v>0</v>
      </c>
      <c r="K78" s="11">
        <v>139</v>
      </c>
      <c r="L78" s="2" t="s">
        <v>7</v>
      </c>
      <c r="M78" s="5">
        <v>2021</v>
      </c>
      <c r="N78" s="1" t="s">
        <v>12</v>
      </c>
      <c r="O78" s="1"/>
      <c r="P78" s="1" t="s">
        <v>53</v>
      </c>
    </row>
    <row r="79" spans="1:16" x14ac:dyDescent="0.3">
      <c r="A79" s="10" t="s">
        <v>110</v>
      </c>
      <c r="B79" s="10" t="s">
        <v>76</v>
      </c>
      <c r="C79" s="8">
        <v>1894</v>
      </c>
      <c r="D79" s="2">
        <v>7.85</v>
      </c>
      <c r="E79" s="2">
        <f>7.57+0.24</f>
        <v>7.8100000000000005</v>
      </c>
      <c r="F79" s="2">
        <v>0</v>
      </c>
      <c r="G79" s="2">
        <v>3.9999999999999147E-2</v>
      </c>
      <c r="H79" s="3">
        <v>14869</v>
      </c>
      <c r="I79" s="11">
        <f>14333+463</f>
        <v>14796</v>
      </c>
      <c r="J79" s="11">
        <v>0</v>
      </c>
      <c r="K79" s="11">
        <v>73</v>
      </c>
      <c r="L79" s="2" t="s">
        <v>7</v>
      </c>
      <c r="M79" s="5">
        <v>2021</v>
      </c>
      <c r="N79" s="1" t="s">
        <v>12</v>
      </c>
      <c r="O79" s="1"/>
      <c r="P79" s="1" t="s">
        <v>53</v>
      </c>
    </row>
    <row r="80" spans="1:16" x14ac:dyDescent="0.3">
      <c r="A80" s="10" t="s">
        <v>110</v>
      </c>
      <c r="B80" s="10" t="s">
        <v>77</v>
      </c>
      <c r="C80" s="8">
        <v>1905</v>
      </c>
      <c r="D80" s="2">
        <v>13.08</v>
      </c>
      <c r="E80" s="2">
        <f>11.76+0.88</f>
        <v>12.64</v>
      </c>
      <c r="F80" s="2">
        <v>0</v>
      </c>
      <c r="G80" s="2">
        <v>0.4399999999999995</v>
      </c>
      <c r="H80" s="3">
        <v>24926</v>
      </c>
      <c r="I80" s="11">
        <f>22407+1670</f>
        <v>24077</v>
      </c>
      <c r="J80" s="11">
        <v>0</v>
      </c>
      <c r="K80" s="11">
        <v>849</v>
      </c>
      <c r="L80" s="2" t="s">
        <v>7</v>
      </c>
      <c r="M80" s="5">
        <v>2021</v>
      </c>
      <c r="N80" s="1" t="s">
        <v>12</v>
      </c>
      <c r="O80" s="1"/>
      <c r="P80" s="1" t="s">
        <v>53</v>
      </c>
    </row>
    <row r="81" spans="1:16" x14ac:dyDescent="0.3">
      <c r="A81" s="10" t="s">
        <v>135</v>
      </c>
      <c r="B81" s="10" t="s">
        <v>80</v>
      </c>
      <c r="C81" s="4">
        <v>1780</v>
      </c>
      <c r="D81" s="2">
        <v>2.56</v>
      </c>
      <c r="E81" s="2">
        <v>2.56</v>
      </c>
      <c r="F81" s="2">
        <v>0</v>
      </c>
      <c r="G81" s="2">
        <v>0</v>
      </c>
      <c r="H81" s="3">
        <v>4556.8</v>
      </c>
      <c r="I81" s="3">
        <v>4556.8</v>
      </c>
      <c r="J81" s="3">
        <v>0</v>
      </c>
      <c r="K81" s="3">
        <v>0</v>
      </c>
      <c r="L81" s="2" t="s">
        <v>7</v>
      </c>
      <c r="M81" s="5">
        <v>2021</v>
      </c>
      <c r="N81" s="1" t="s">
        <v>12</v>
      </c>
      <c r="O81" s="1" t="s">
        <v>27</v>
      </c>
      <c r="P81" s="1" t="s">
        <v>34</v>
      </c>
    </row>
    <row r="82" spans="1:16" x14ac:dyDescent="0.3">
      <c r="A82" s="10" t="s">
        <v>112</v>
      </c>
      <c r="B82" s="10" t="s">
        <v>81</v>
      </c>
      <c r="C82" s="4">
        <v>1780</v>
      </c>
      <c r="D82" s="2">
        <v>14.77</v>
      </c>
      <c r="E82" s="2">
        <f>14.51+0.07</f>
        <v>14.58</v>
      </c>
      <c r="F82" s="2">
        <v>0</v>
      </c>
      <c r="G82" s="2">
        <v>0.1899999999999995</v>
      </c>
      <c r="H82" s="3">
        <v>26289</v>
      </c>
      <c r="I82" s="6">
        <f>25831+116</f>
        <v>25947</v>
      </c>
      <c r="J82" s="6">
        <v>0</v>
      </c>
      <c r="K82" s="6">
        <v>342</v>
      </c>
      <c r="L82" s="1" t="s">
        <v>7</v>
      </c>
      <c r="M82" s="1">
        <v>2020</v>
      </c>
      <c r="N82" s="1" t="s">
        <v>12</v>
      </c>
      <c r="O82" s="1"/>
      <c r="P82" s="1" t="s">
        <v>46</v>
      </c>
    </row>
    <row r="83" spans="1:16" x14ac:dyDescent="0.3">
      <c r="A83" s="10" t="s">
        <v>112</v>
      </c>
      <c r="B83" s="10" t="s">
        <v>82</v>
      </c>
      <c r="C83" s="4">
        <v>1780</v>
      </c>
      <c r="D83" s="2">
        <v>14.77</v>
      </c>
      <c r="E83" s="2">
        <f>14.53+0.22</f>
        <v>14.75</v>
      </c>
      <c r="F83" s="2">
        <v>0</v>
      </c>
      <c r="G83" s="2">
        <v>1.9999999999999574E-2</v>
      </c>
      <c r="H83" s="3">
        <v>26289</v>
      </c>
      <c r="I83" s="6">
        <f>25867+384</f>
        <v>26251</v>
      </c>
      <c r="J83" s="6">
        <v>0</v>
      </c>
      <c r="K83" s="6">
        <v>38</v>
      </c>
      <c r="L83" s="1" t="s">
        <v>7</v>
      </c>
      <c r="M83" s="1">
        <v>2020</v>
      </c>
      <c r="N83" s="1" t="s">
        <v>12</v>
      </c>
      <c r="O83" s="1"/>
      <c r="P83" s="1" t="s">
        <v>46</v>
      </c>
    </row>
    <row r="84" spans="1:16" x14ac:dyDescent="0.3">
      <c r="A84" s="10" t="s">
        <v>112</v>
      </c>
      <c r="B84" s="10" t="s">
        <v>51</v>
      </c>
      <c r="C84" s="4">
        <v>1780</v>
      </c>
      <c r="D84" s="2">
        <v>7.3</v>
      </c>
      <c r="E84" s="2">
        <f>6.74+0.5</f>
        <v>7.24</v>
      </c>
      <c r="F84" s="2">
        <v>0</v>
      </c>
      <c r="G84" s="2">
        <v>5.9999999999999609E-2</v>
      </c>
      <c r="H84" s="3">
        <v>12999</v>
      </c>
      <c r="I84" s="6">
        <f>12003+885</f>
        <v>12888</v>
      </c>
      <c r="J84" s="6">
        <v>0</v>
      </c>
      <c r="K84" s="6">
        <v>111</v>
      </c>
      <c r="L84" s="1" t="s">
        <v>7</v>
      </c>
      <c r="M84" s="1">
        <v>2021</v>
      </c>
      <c r="N84" s="1" t="s">
        <v>12</v>
      </c>
      <c r="O84" s="1"/>
      <c r="P84" s="1" t="s">
        <v>46</v>
      </c>
    </row>
    <row r="85" spans="1:16" x14ac:dyDescent="0.3">
      <c r="A85" s="10" t="s">
        <v>112</v>
      </c>
      <c r="B85" s="10" t="s">
        <v>84</v>
      </c>
      <c r="C85" s="4">
        <v>1632</v>
      </c>
      <c r="D85" s="2">
        <v>15.24</v>
      </c>
      <c r="E85" s="2">
        <f>13.8+0.35</f>
        <v>14.15</v>
      </c>
      <c r="F85" s="2">
        <v>0</v>
      </c>
      <c r="G85" s="2">
        <v>1.0899999999999999</v>
      </c>
      <c r="H85" s="3">
        <v>24864</v>
      </c>
      <c r="I85" s="6">
        <f>22312+2317</f>
        <v>24629</v>
      </c>
      <c r="J85" s="6">
        <v>0</v>
      </c>
      <c r="K85" s="6">
        <v>235</v>
      </c>
      <c r="L85" s="1" t="s">
        <v>7</v>
      </c>
      <c r="M85" s="1">
        <v>2016</v>
      </c>
      <c r="N85" s="1" t="s">
        <v>12</v>
      </c>
      <c r="O85" s="1" t="s">
        <v>27</v>
      </c>
      <c r="P85" s="1" t="s">
        <v>46</v>
      </c>
    </row>
    <row r="86" spans="1:16" x14ac:dyDescent="0.3">
      <c r="A86" s="10" t="s">
        <v>112</v>
      </c>
      <c r="B86" s="10" t="s">
        <v>85</v>
      </c>
      <c r="C86" s="4">
        <v>1632</v>
      </c>
      <c r="D86" s="2">
        <v>15.17</v>
      </c>
      <c r="E86" s="2">
        <f>14.25+0.39</f>
        <v>14.64</v>
      </c>
      <c r="F86" s="2">
        <v>0</v>
      </c>
      <c r="G86" s="2">
        <v>0.52999999999999936</v>
      </c>
      <c r="H86" s="3">
        <v>24753</v>
      </c>
      <c r="I86" s="6">
        <f>22817+1572</f>
        <v>24389</v>
      </c>
      <c r="J86" s="6">
        <v>0</v>
      </c>
      <c r="K86" s="6">
        <v>364</v>
      </c>
      <c r="L86" s="1" t="s">
        <v>7</v>
      </c>
      <c r="M86" s="1">
        <v>2016</v>
      </c>
      <c r="N86" s="1" t="s">
        <v>12</v>
      </c>
      <c r="O86" s="1" t="s">
        <v>27</v>
      </c>
      <c r="P86" s="1" t="s">
        <v>46</v>
      </c>
    </row>
    <row r="87" spans="1:16" x14ac:dyDescent="0.3">
      <c r="A87" s="10" t="s">
        <v>112</v>
      </c>
      <c r="B87" s="10" t="s">
        <v>86</v>
      </c>
      <c r="C87" s="4">
        <v>1632</v>
      </c>
      <c r="D87" s="2">
        <v>13.7</v>
      </c>
      <c r="E87" s="2">
        <f>13.13+0.38</f>
        <v>13.510000000000002</v>
      </c>
      <c r="F87" s="2">
        <v>0</v>
      </c>
      <c r="G87" s="2">
        <v>0.18999999999999773</v>
      </c>
      <c r="H87" s="3">
        <v>22360</v>
      </c>
      <c r="I87" s="6">
        <f>21786+422</f>
        <v>22208</v>
      </c>
      <c r="J87" s="6">
        <v>0</v>
      </c>
      <c r="K87" s="6">
        <v>152</v>
      </c>
      <c r="L87" s="1" t="s">
        <v>7</v>
      </c>
      <c r="M87" s="1">
        <v>2016</v>
      </c>
      <c r="N87" s="1" t="s">
        <v>12</v>
      </c>
      <c r="O87" s="1" t="s">
        <v>27</v>
      </c>
      <c r="P87" s="1" t="s">
        <v>46</v>
      </c>
    </row>
    <row r="88" spans="1:16" x14ac:dyDescent="0.3">
      <c r="A88" s="10" t="s">
        <v>112</v>
      </c>
      <c r="B88" s="10" t="s">
        <v>87</v>
      </c>
      <c r="C88" s="4">
        <v>1587</v>
      </c>
      <c r="D88" s="2">
        <v>6.4</v>
      </c>
      <c r="E88" s="2">
        <f>6.15+0.14</f>
        <v>6.29</v>
      </c>
      <c r="F88" s="2">
        <v>0</v>
      </c>
      <c r="G88" s="2">
        <v>0.11000000000000032</v>
      </c>
      <c r="H88" s="3">
        <v>10150</v>
      </c>
      <c r="I88" s="6">
        <f>9725+391</f>
        <v>10116</v>
      </c>
      <c r="J88" s="6">
        <v>0</v>
      </c>
      <c r="K88" s="6">
        <v>34</v>
      </c>
      <c r="L88" s="1" t="s">
        <v>7</v>
      </c>
      <c r="M88" s="1">
        <v>2019</v>
      </c>
      <c r="N88" s="1" t="s">
        <v>12</v>
      </c>
      <c r="O88" s="1" t="s">
        <v>27</v>
      </c>
      <c r="P88" s="1" t="s">
        <v>46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3"/>
  <dimension ref="A1:E78"/>
  <sheetViews>
    <sheetView workbookViewId="0"/>
  </sheetViews>
  <sheetFormatPr baseColWidth="10" defaultRowHeight="14.4" x14ac:dyDescent="0.3"/>
  <sheetData>
    <row r="1" spans="1:5" x14ac:dyDescent="0.3">
      <c r="A1" s="67" t="s">
        <v>167</v>
      </c>
      <c r="B1" s="68" t="s">
        <v>70</v>
      </c>
      <c r="D1" s="10" t="s">
        <v>105</v>
      </c>
      <c r="E1" s="10" t="s">
        <v>14</v>
      </c>
    </row>
    <row r="2" spans="1:5" x14ac:dyDescent="0.3">
      <c r="A2" s="67" t="s">
        <v>167</v>
      </c>
      <c r="B2" s="68" t="s">
        <v>69</v>
      </c>
      <c r="D2" s="10" t="s">
        <v>105</v>
      </c>
      <c r="E2" s="10" t="s">
        <v>15</v>
      </c>
    </row>
    <row r="3" spans="1:5" x14ac:dyDescent="0.3">
      <c r="A3" s="67" t="s">
        <v>167</v>
      </c>
      <c r="B3" s="68" t="s">
        <v>68</v>
      </c>
      <c r="D3" s="10" t="s">
        <v>105</v>
      </c>
      <c r="E3" s="10" t="s">
        <v>16</v>
      </c>
    </row>
    <row r="4" spans="1:5" x14ac:dyDescent="0.3">
      <c r="A4" s="67" t="s">
        <v>167</v>
      </c>
      <c r="B4" s="68" t="s">
        <v>67</v>
      </c>
      <c r="D4" s="10" t="s">
        <v>105</v>
      </c>
      <c r="E4" s="10" t="s">
        <v>18</v>
      </c>
    </row>
    <row r="5" spans="1:5" x14ac:dyDescent="0.3">
      <c r="A5" s="67" t="s">
        <v>167</v>
      </c>
      <c r="B5" s="68" t="s">
        <v>74</v>
      </c>
      <c r="D5" s="10" t="s">
        <v>105</v>
      </c>
      <c r="E5" s="10" t="s">
        <v>19</v>
      </c>
    </row>
    <row r="6" spans="1:5" x14ac:dyDescent="0.3">
      <c r="A6" s="67" t="s">
        <v>167</v>
      </c>
      <c r="B6" s="68" t="s">
        <v>75</v>
      </c>
      <c r="D6" s="10" t="s">
        <v>105</v>
      </c>
      <c r="E6" s="10" t="s">
        <v>20</v>
      </c>
    </row>
    <row r="7" spans="1:5" x14ac:dyDescent="0.3">
      <c r="A7" s="67" t="s">
        <v>167</v>
      </c>
      <c r="B7" s="68" t="s">
        <v>76</v>
      </c>
      <c r="D7" s="10" t="s">
        <v>105</v>
      </c>
      <c r="E7" s="10" t="s">
        <v>21</v>
      </c>
    </row>
    <row r="8" spans="1:5" x14ac:dyDescent="0.3">
      <c r="A8" s="67" t="s">
        <v>167</v>
      </c>
      <c r="B8" s="68" t="s">
        <v>77</v>
      </c>
      <c r="D8" s="10" t="s">
        <v>105</v>
      </c>
      <c r="E8" s="10" t="s">
        <v>22</v>
      </c>
    </row>
    <row r="9" spans="1:5" x14ac:dyDescent="0.3">
      <c r="A9" s="67" t="s">
        <v>163</v>
      </c>
      <c r="B9" s="69" t="s">
        <v>93</v>
      </c>
      <c r="D9" s="10" t="s">
        <v>105</v>
      </c>
      <c r="E9" s="10" t="s">
        <v>23</v>
      </c>
    </row>
    <row r="10" spans="1:5" x14ac:dyDescent="0.3">
      <c r="A10" s="67" t="s">
        <v>163</v>
      </c>
      <c r="B10" s="69" t="s">
        <v>94</v>
      </c>
      <c r="D10" s="10" t="s">
        <v>105</v>
      </c>
      <c r="E10" s="10" t="s">
        <v>24</v>
      </c>
    </row>
    <row r="11" spans="1:5" x14ac:dyDescent="0.3">
      <c r="A11" s="67" t="s">
        <v>163</v>
      </c>
      <c r="B11" s="70" t="s">
        <v>95</v>
      </c>
      <c r="D11" s="10" t="s">
        <v>105</v>
      </c>
      <c r="E11" s="10" t="s">
        <v>25</v>
      </c>
    </row>
    <row r="12" spans="1:5" x14ac:dyDescent="0.3">
      <c r="A12" s="67" t="s">
        <v>108</v>
      </c>
      <c r="B12" s="71" t="s">
        <v>51</v>
      </c>
      <c r="D12" s="10" t="s">
        <v>105</v>
      </c>
      <c r="E12" s="10" t="s">
        <v>26</v>
      </c>
    </row>
    <row r="13" spans="1:5" x14ac:dyDescent="0.3">
      <c r="A13" s="67" t="s">
        <v>112</v>
      </c>
      <c r="B13" s="71" t="s">
        <v>51</v>
      </c>
      <c r="D13" s="10" t="s">
        <v>105</v>
      </c>
      <c r="E13" s="10" t="s">
        <v>29</v>
      </c>
    </row>
    <row r="14" spans="1:5" x14ac:dyDescent="0.3">
      <c r="A14" s="67" t="s">
        <v>112</v>
      </c>
      <c r="B14" s="71" t="s">
        <v>82</v>
      </c>
      <c r="D14" s="10" t="s">
        <v>105</v>
      </c>
      <c r="E14" s="10" t="s">
        <v>30</v>
      </c>
    </row>
    <row r="15" spans="1:5" x14ac:dyDescent="0.3">
      <c r="A15" s="67" t="s">
        <v>112</v>
      </c>
      <c r="B15" s="71" t="s">
        <v>81</v>
      </c>
      <c r="D15" s="10" t="s">
        <v>105</v>
      </c>
      <c r="E15" s="10" t="s">
        <v>31</v>
      </c>
    </row>
    <row r="16" spans="1:5" x14ac:dyDescent="0.3">
      <c r="A16" s="67" t="s">
        <v>167</v>
      </c>
      <c r="B16" s="71" t="s">
        <v>71</v>
      </c>
      <c r="D16" s="10" t="s">
        <v>105</v>
      </c>
      <c r="E16" s="10" t="s">
        <v>32</v>
      </c>
    </row>
    <row r="17" spans="1:5" x14ac:dyDescent="0.3">
      <c r="A17" s="67" t="s">
        <v>167</v>
      </c>
      <c r="B17" s="71" t="s">
        <v>72</v>
      </c>
      <c r="D17" s="10" t="s">
        <v>105</v>
      </c>
      <c r="E17" s="10" t="s">
        <v>33</v>
      </c>
    </row>
    <row r="18" spans="1:5" x14ac:dyDescent="0.3">
      <c r="A18" s="67" t="s">
        <v>167</v>
      </c>
      <c r="B18" s="71" t="s">
        <v>73</v>
      </c>
      <c r="D18" s="10" t="s">
        <v>105</v>
      </c>
      <c r="E18" s="10" t="s">
        <v>35</v>
      </c>
    </row>
    <row r="19" spans="1:5" x14ac:dyDescent="0.3">
      <c r="A19" s="67" t="s">
        <v>105</v>
      </c>
      <c r="B19" s="70" t="s">
        <v>33</v>
      </c>
      <c r="D19" s="10" t="s">
        <v>105</v>
      </c>
      <c r="E19" s="10" t="s">
        <v>36</v>
      </c>
    </row>
    <row r="20" spans="1:5" x14ac:dyDescent="0.3">
      <c r="A20" s="67" t="s">
        <v>105</v>
      </c>
      <c r="B20" s="70" t="s">
        <v>35</v>
      </c>
      <c r="D20" s="10" t="s">
        <v>105</v>
      </c>
      <c r="E20" s="10" t="s">
        <v>37</v>
      </c>
    </row>
    <row r="21" spans="1:5" x14ac:dyDescent="0.3">
      <c r="A21" s="67" t="s">
        <v>105</v>
      </c>
      <c r="B21" s="70" t="s">
        <v>36</v>
      </c>
      <c r="D21" s="10" t="s">
        <v>105</v>
      </c>
      <c r="E21" s="10" t="s">
        <v>38</v>
      </c>
    </row>
    <row r="22" spans="1:5" x14ac:dyDescent="0.3">
      <c r="A22" s="67" t="s">
        <v>105</v>
      </c>
      <c r="B22" s="70" t="s">
        <v>39</v>
      </c>
      <c r="D22" s="10" t="s">
        <v>105</v>
      </c>
      <c r="E22" s="10" t="s">
        <v>39</v>
      </c>
    </row>
    <row r="23" spans="1:5" x14ac:dyDescent="0.3">
      <c r="A23" s="67" t="s">
        <v>105</v>
      </c>
      <c r="B23" s="70" t="s">
        <v>38</v>
      </c>
      <c r="D23" s="10" t="s">
        <v>105</v>
      </c>
      <c r="E23" s="10" t="s">
        <v>40</v>
      </c>
    </row>
    <row r="24" spans="1:5" x14ac:dyDescent="0.3">
      <c r="A24" s="67" t="s">
        <v>105</v>
      </c>
      <c r="B24" s="70" t="s">
        <v>37</v>
      </c>
      <c r="D24" s="10" t="s">
        <v>105</v>
      </c>
      <c r="E24" s="10" t="s">
        <v>41</v>
      </c>
    </row>
    <row r="25" spans="1:5" x14ac:dyDescent="0.3">
      <c r="A25" s="67" t="s">
        <v>105</v>
      </c>
      <c r="B25" s="70" t="s">
        <v>25</v>
      </c>
      <c r="D25" s="10" t="s">
        <v>105</v>
      </c>
      <c r="E25" s="10" t="s">
        <v>42</v>
      </c>
    </row>
    <row r="26" spans="1:5" x14ac:dyDescent="0.3">
      <c r="A26" s="67" t="s">
        <v>105</v>
      </c>
      <c r="B26" s="70" t="s">
        <v>24</v>
      </c>
      <c r="D26" s="10" t="s">
        <v>105</v>
      </c>
      <c r="E26" s="10" t="s">
        <v>43</v>
      </c>
    </row>
    <row r="27" spans="1:5" x14ac:dyDescent="0.3">
      <c r="A27" s="67" t="s">
        <v>105</v>
      </c>
      <c r="B27" s="70" t="s">
        <v>23</v>
      </c>
      <c r="D27" s="10" t="s">
        <v>105</v>
      </c>
      <c r="E27" s="10" t="s">
        <v>44</v>
      </c>
    </row>
    <row r="28" spans="1:5" x14ac:dyDescent="0.3">
      <c r="A28" s="67" t="s">
        <v>105</v>
      </c>
      <c r="B28" s="70" t="s">
        <v>22</v>
      </c>
      <c r="D28" s="10" t="s">
        <v>108</v>
      </c>
      <c r="E28" s="10" t="s">
        <v>51</v>
      </c>
    </row>
    <row r="29" spans="1:5" x14ac:dyDescent="0.3">
      <c r="A29" s="67" t="s">
        <v>105</v>
      </c>
      <c r="B29" s="70" t="s">
        <v>21</v>
      </c>
      <c r="D29" s="10" t="s">
        <v>108</v>
      </c>
      <c r="E29" s="10" t="s">
        <v>52</v>
      </c>
    </row>
    <row r="30" spans="1:5" x14ac:dyDescent="0.3">
      <c r="A30" s="67" t="s">
        <v>105</v>
      </c>
      <c r="B30" s="70" t="s">
        <v>20</v>
      </c>
      <c r="D30" s="10" t="s">
        <v>108</v>
      </c>
      <c r="E30" s="10" t="s">
        <v>54</v>
      </c>
    </row>
    <row r="31" spans="1:5" x14ac:dyDescent="0.3">
      <c r="A31" s="67" t="s">
        <v>105</v>
      </c>
      <c r="B31" s="70" t="s">
        <v>16</v>
      </c>
      <c r="D31" s="10" t="s">
        <v>108</v>
      </c>
      <c r="E31" s="10" t="s">
        <v>55</v>
      </c>
    </row>
    <row r="32" spans="1:5" x14ac:dyDescent="0.3">
      <c r="A32" s="67" t="s">
        <v>105</v>
      </c>
      <c r="B32" s="70" t="s">
        <v>18</v>
      </c>
      <c r="D32" s="10" t="s">
        <v>108</v>
      </c>
      <c r="E32" s="10" t="s">
        <v>56</v>
      </c>
    </row>
    <row r="33" spans="1:5" x14ac:dyDescent="0.3">
      <c r="A33" s="67" t="s">
        <v>105</v>
      </c>
      <c r="B33" s="70" t="s">
        <v>19</v>
      </c>
      <c r="D33" s="10" t="s">
        <v>108</v>
      </c>
      <c r="E33" s="10" t="s">
        <v>57</v>
      </c>
    </row>
    <row r="34" spans="1:5" x14ac:dyDescent="0.3">
      <c r="A34" s="67" t="s">
        <v>109</v>
      </c>
      <c r="B34" s="70" t="s">
        <v>60</v>
      </c>
      <c r="D34" s="10" t="s">
        <v>108</v>
      </c>
      <c r="E34" s="10" t="s">
        <v>58</v>
      </c>
    </row>
    <row r="35" spans="1:5" x14ac:dyDescent="0.3">
      <c r="A35" s="67" t="s">
        <v>109</v>
      </c>
      <c r="B35" s="70" t="s">
        <v>59</v>
      </c>
      <c r="D35" s="9" t="s">
        <v>105</v>
      </c>
      <c r="E35" s="66" t="s">
        <v>6</v>
      </c>
    </row>
    <row r="36" spans="1:5" x14ac:dyDescent="0.3">
      <c r="A36" s="67" t="s">
        <v>105</v>
      </c>
      <c r="B36" s="70" t="s">
        <v>15</v>
      </c>
      <c r="D36" s="9" t="s">
        <v>105</v>
      </c>
      <c r="E36" s="66" t="s">
        <v>11</v>
      </c>
    </row>
    <row r="37" spans="1:5" x14ac:dyDescent="0.3">
      <c r="A37" s="67" t="s">
        <v>105</v>
      </c>
      <c r="B37" s="70" t="s">
        <v>14</v>
      </c>
      <c r="D37" s="9" t="s">
        <v>105</v>
      </c>
      <c r="E37" s="66" t="s">
        <v>13</v>
      </c>
    </row>
    <row r="38" spans="1:5" x14ac:dyDescent="0.3">
      <c r="A38" s="67" t="s">
        <v>105</v>
      </c>
      <c r="B38" s="70" t="s">
        <v>44</v>
      </c>
      <c r="D38" s="10" t="s">
        <v>113</v>
      </c>
      <c r="E38" s="10" t="s">
        <v>88</v>
      </c>
    </row>
    <row r="39" spans="1:5" x14ac:dyDescent="0.3">
      <c r="A39" s="67" t="s">
        <v>105</v>
      </c>
      <c r="B39" s="72" t="s">
        <v>6</v>
      </c>
      <c r="D39" s="10" t="s">
        <v>113</v>
      </c>
      <c r="E39" s="10" t="s">
        <v>89</v>
      </c>
    </row>
    <row r="40" spans="1:5" x14ac:dyDescent="0.3">
      <c r="A40" s="67" t="s">
        <v>105</v>
      </c>
      <c r="B40" s="72" t="s">
        <v>11</v>
      </c>
      <c r="D40" s="10" t="s">
        <v>113</v>
      </c>
      <c r="E40" s="10" t="s">
        <v>90</v>
      </c>
    </row>
    <row r="41" spans="1:5" x14ac:dyDescent="0.3">
      <c r="A41" s="67" t="s">
        <v>105</v>
      </c>
      <c r="B41" s="72" t="s">
        <v>13</v>
      </c>
      <c r="D41" s="10" t="s">
        <v>113</v>
      </c>
      <c r="E41" s="10" t="s">
        <v>92</v>
      </c>
    </row>
    <row r="42" spans="1:5" x14ac:dyDescent="0.3">
      <c r="A42" s="67" t="s">
        <v>105</v>
      </c>
      <c r="B42" s="70" t="s">
        <v>41</v>
      </c>
      <c r="D42" s="10" t="s">
        <v>113</v>
      </c>
      <c r="E42" s="10" t="s">
        <v>80</v>
      </c>
    </row>
    <row r="43" spans="1:5" x14ac:dyDescent="0.3">
      <c r="A43" s="67" t="s">
        <v>105</v>
      </c>
      <c r="B43" s="70" t="s">
        <v>40</v>
      </c>
      <c r="D43" s="10" t="s">
        <v>113</v>
      </c>
      <c r="E43" s="10" t="s">
        <v>93</v>
      </c>
    </row>
    <row r="44" spans="1:5" x14ac:dyDescent="0.3">
      <c r="A44" s="67" t="s">
        <v>105</v>
      </c>
      <c r="B44" s="70" t="s">
        <v>42</v>
      </c>
      <c r="D44" s="10" t="s">
        <v>113</v>
      </c>
      <c r="E44" s="10" t="s">
        <v>94</v>
      </c>
    </row>
    <row r="45" spans="1:5" x14ac:dyDescent="0.3">
      <c r="A45" s="67" t="s">
        <v>105</v>
      </c>
      <c r="B45" s="70" t="s">
        <v>43</v>
      </c>
      <c r="D45" s="10" t="s">
        <v>113</v>
      </c>
      <c r="E45" s="10" t="s">
        <v>95</v>
      </c>
    </row>
    <row r="46" spans="1:5" x14ac:dyDescent="0.3">
      <c r="A46" s="67" t="s">
        <v>163</v>
      </c>
      <c r="B46" s="70" t="s">
        <v>90</v>
      </c>
      <c r="D46" s="10" t="s">
        <v>113</v>
      </c>
      <c r="E46" s="10" t="s">
        <v>96</v>
      </c>
    </row>
    <row r="47" spans="1:5" x14ac:dyDescent="0.3">
      <c r="A47" s="67" t="s">
        <v>163</v>
      </c>
      <c r="B47" s="70" t="s">
        <v>92</v>
      </c>
      <c r="D47" s="10" t="s">
        <v>113</v>
      </c>
      <c r="E47" s="10" t="s">
        <v>97</v>
      </c>
    </row>
    <row r="48" spans="1:5" x14ac:dyDescent="0.3">
      <c r="A48" s="67" t="s">
        <v>135</v>
      </c>
      <c r="B48" s="70" t="s">
        <v>80</v>
      </c>
      <c r="D48" s="10" t="s">
        <v>113</v>
      </c>
      <c r="E48" s="10" t="s">
        <v>98</v>
      </c>
    </row>
    <row r="49" spans="1:5" x14ac:dyDescent="0.3">
      <c r="A49" s="67" t="s">
        <v>163</v>
      </c>
      <c r="B49" s="70" t="s">
        <v>80</v>
      </c>
      <c r="D49" s="10" t="s">
        <v>113</v>
      </c>
      <c r="E49" s="10" t="s">
        <v>99</v>
      </c>
    </row>
    <row r="50" spans="1:5" x14ac:dyDescent="0.3">
      <c r="A50" s="67" t="s">
        <v>109</v>
      </c>
      <c r="B50" s="70" t="s">
        <v>64</v>
      </c>
      <c r="D50" s="10" t="s">
        <v>113</v>
      </c>
      <c r="E50" s="10" t="s">
        <v>100</v>
      </c>
    </row>
    <row r="51" spans="1:5" x14ac:dyDescent="0.3">
      <c r="A51" s="67" t="s">
        <v>109</v>
      </c>
      <c r="B51" s="70" t="s">
        <v>63</v>
      </c>
      <c r="D51" s="10" t="s">
        <v>116</v>
      </c>
      <c r="E51" s="10" t="s">
        <v>78</v>
      </c>
    </row>
    <row r="52" spans="1:5" x14ac:dyDescent="0.3">
      <c r="A52" s="67" t="s">
        <v>109</v>
      </c>
      <c r="B52" s="70" t="s">
        <v>130</v>
      </c>
      <c r="D52" s="10" t="s">
        <v>109</v>
      </c>
      <c r="E52" s="10" t="s">
        <v>59</v>
      </c>
    </row>
    <row r="53" spans="1:5" x14ac:dyDescent="0.3">
      <c r="A53" s="67" t="s">
        <v>163</v>
      </c>
      <c r="B53" s="70" t="s">
        <v>89</v>
      </c>
      <c r="D53" s="10" t="s">
        <v>109</v>
      </c>
      <c r="E53" s="10" t="s">
        <v>60</v>
      </c>
    </row>
    <row r="54" spans="1:5" x14ac:dyDescent="0.3">
      <c r="A54" s="67" t="s">
        <v>163</v>
      </c>
      <c r="B54" s="70" t="s">
        <v>88</v>
      </c>
      <c r="D54" s="10" t="s">
        <v>109</v>
      </c>
      <c r="E54" s="10" t="s">
        <v>62</v>
      </c>
    </row>
    <row r="55" spans="1:5" x14ac:dyDescent="0.3">
      <c r="A55" s="67" t="s">
        <v>109</v>
      </c>
      <c r="B55" s="70" t="s">
        <v>66</v>
      </c>
      <c r="D55" s="10" t="s">
        <v>109</v>
      </c>
      <c r="E55" s="10" t="s">
        <v>63</v>
      </c>
    </row>
    <row r="56" spans="1:5" x14ac:dyDescent="0.3">
      <c r="A56" s="67" t="s">
        <v>109</v>
      </c>
      <c r="B56" s="70" t="s">
        <v>65</v>
      </c>
      <c r="D56" s="10" t="s">
        <v>109</v>
      </c>
      <c r="E56" s="10" t="s">
        <v>64</v>
      </c>
    </row>
    <row r="57" spans="1:5" x14ac:dyDescent="0.3">
      <c r="A57" s="67" t="s">
        <v>105</v>
      </c>
      <c r="B57" s="70" t="s">
        <v>32</v>
      </c>
      <c r="D57" s="10" t="s">
        <v>109</v>
      </c>
      <c r="E57" s="10" t="s">
        <v>65</v>
      </c>
    </row>
    <row r="58" spans="1:5" x14ac:dyDescent="0.3">
      <c r="A58" s="67" t="s">
        <v>105</v>
      </c>
      <c r="B58" s="70" t="s">
        <v>30</v>
      </c>
      <c r="D58" s="10" t="s">
        <v>109</v>
      </c>
      <c r="E58" s="10" t="s">
        <v>66</v>
      </c>
    </row>
    <row r="59" spans="1:5" x14ac:dyDescent="0.3">
      <c r="A59" s="67" t="s">
        <v>105</v>
      </c>
      <c r="B59" s="69" t="s">
        <v>31</v>
      </c>
      <c r="D59" s="10" t="s">
        <v>110</v>
      </c>
      <c r="E59" s="10" t="s">
        <v>67</v>
      </c>
    </row>
    <row r="60" spans="1:5" x14ac:dyDescent="0.3">
      <c r="A60" s="67" t="s">
        <v>105</v>
      </c>
      <c r="B60" s="69" t="s">
        <v>29</v>
      </c>
      <c r="D60" s="10" t="s">
        <v>110</v>
      </c>
      <c r="E60" s="10" t="s">
        <v>68</v>
      </c>
    </row>
    <row r="61" spans="1:5" x14ac:dyDescent="0.3">
      <c r="A61" s="67" t="s">
        <v>105</v>
      </c>
      <c r="B61" s="69" t="s">
        <v>26</v>
      </c>
      <c r="D61" s="10" t="s">
        <v>110</v>
      </c>
      <c r="E61" s="10" t="s">
        <v>69</v>
      </c>
    </row>
    <row r="62" spans="1:5" x14ac:dyDescent="0.3">
      <c r="A62" s="67" t="s">
        <v>108</v>
      </c>
      <c r="B62" s="73" t="s">
        <v>58</v>
      </c>
      <c r="D62" s="10" t="s">
        <v>110</v>
      </c>
      <c r="E62" s="10" t="s">
        <v>70</v>
      </c>
    </row>
    <row r="63" spans="1:5" x14ac:dyDescent="0.3">
      <c r="A63" s="67" t="s">
        <v>108</v>
      </c>
      <c r="B63" s="73" t="s">
        <v>57</v>
      </c>
      <c r="D63" s="10" t="s">
        <v>110</v>
      </c>
      <c r="E63" s="10" t="s">
        <v>71</v>
      </c>
    </row>
    <row r="64" spans="1:5" x14ac:dyDescent="0.3">
      <c r="A64" s="67" t="s">
        <v>108</v>
      </c>
      <c r="B64" s="73" t="s">
        <v>56</v>
      </c>
      <c r="D64" s="10" t="s">
        <v>110</v>
      </c>
      <c r="E64" s="10" t="s">
        <v>72</v>
      </c>
    </row>
    <row r="65" spans="1:5" x14ac:dyDescent="0.3">
      <c r="A65" s="67" t="s">
        <v>108</v>
      </c>
      <c r="B65" s="73" t="s">
        <v>55</v>
      </c>
      <c r="D65" s="10" t="s">
        <v>110</v>
      </c>
      <c r="E65" s="10" t="s">
        <v>73</v>
      </c>
    </row>
    <row r="66" spans="1:5" x14ac:dyDescent="0.3">
      <c r="A66" s="67" t="s">
        <v>108</v>
      </c>
      <c r="B66" s="73" t="s">
        <v>54</v>
      </c>
      <c r="D66" s="10" t="s">
        <v>110</v>
      </c>
      <c r="E66" s="10" t="s">
        <v>74</v>
      </c>
    </row>
    <row r="67" spans="1:5" x14ac:dyDescent="0.3">
      <c r="A67" s="67" t="s">
        <v>108</v>
      </c>
      <c r="B67" s="74" t="s">
        <v>52</v>
      </c>
      <c r="D67" s="10" t="s">
        <v>110</v>
      </c>
      <c r="E67" s="10" t="s">
        <v>75</v>
      </c>
    </row>
    <row r="68" spans="1:5" x14ac:dyDescent="0.3">
      <c r="A68" s="67" t="s">
        <v>112</v>
      </c>
      <c r="B68" s="74" t="s">
        <v>86</v>
      </c>
      <c r="D68" s="10" t="s">
        <v>110</v>
      </c>
      <c r="E68" s="10" t="s">
        <v>76</v>
      </c>
    </row>
    <row r="69" spans="1:5" x14ac:dyDescent="0.3">
      <c r="A69" s="67" t="s">
        <v>112</v>
      </c>
      <c r="B69" s="74" t="s">
        <v>85</v>
      </c>
      <c r="D69" s="10" t="s">
        <v>110</v>
      </c>
      <c r="E69" s="10" t="s">
        <v>77</v>
      </c>
    </row>
    <row r="70" spans="1:5" x14ac:dyDescent="0.3">
      <c r="A70" s="67" t="s">
        <v>112</v>
      </c>
      <c r="B70" s="74" t="s">
        <v>84</v>
      </c>
      <c r="D70" s="10" t="s">
        <v>79</v>
      </c>
      <c r="E70" s="10" t="s">
        <v>80</v>
      </c>
    </row>
    <row r="71" spans="1:5" x14ac:dyDescent="0.3">
      <c r="A71" s="67" t="s">
        <v>112</v>
      </c>
      <c r="B71" s="73" t="s">
        <v>83</v>
      </c>
      <c r="D71" s="10" t="s">
        <v>112</v>
      </c>
      <c r="E71" s="10" t="s">
        <v>81</v>
      </c>
    </row>
    <row r="72" spans="1:5" x14ac:dyDescent="0.3">
      <c r="A72" s="67" t="s">
        <v>112</v>
      </c>
      <c r="B72" s="73" t="s">
        <v>87</v>
      </c>
      <c r="D72" s="10" t="s">
        <v>112</v>
      </c>
      <c r="E72" s="10" t="s">
        <v>82</v>
      </c>
    </row>
    <row r="73" spans="1:5" x14ac:dyDescent="0.3">
      <c r="A73" s="67" t="s">
        <v>163</v>
      </c>
      <c r="B73" s="69" t="s">
        <v>96</v>
      </c>
      <c r="D73" s="10" t="s">
        <v>112</v>
      </c>
      <c r="E73" s="10" t="s">
        <v>51</v>
      </c>
    </row>
    <row r="74" spans="1:5" x14ac:dyDescent="0.3">
      <c r="A74" s="67" t="s">
        <v>163</v>
      </c>
      <c r="B74" s="69" t="s">
        <v>97</v>
      </c>
      <c r="D74" s="10" t="s">
        <v>112</v>
      </c>
      <c r="E74" s="10" t="s">
        <v>84</v>
      </c>
    </row>
    <row r="75" spans="1:5" x14ac:dyDescent="0.3">
      <c r="A75" s="67" t="s">
        <v>163</v>
      </c>
      <c r="B75" s="69" t="s">
        <v>98</v>
      </c>
      <c r="D75" s="10" t="s">
        <v>112</v>
      </c>
      <c r="E75" s="10" t="s">
        <v>85</v>
      </c>
    </row>
    <row r="76" spans="1:5" x14ac:dyDescent="0.3">
      <c r="A76" s="67" t="s">
        <v>163</v>
      </c>
      <c r="B76" s="69" t="s">
        <v>99</v>
      </c>
      <c r="D76" s="10" t="s">
        <v>112</v>
      </c>
      <c r="E76" s="10" t="s">
        <v>86</v>
      </c>
    </row>
    <row r="77" spans="1:5" x14ac:dyDescent="0.3">
      <c r="A77" s="67" t="s">
        <v>163</v>
      </c>
      <c r="B77" s="69" t="s">
        <v>100</v>
      </c>
      <c r="D77" s="10" t="s">
        <v>112</v>
      </c>
      <c r="E77" s="10" t="s">
        <v>87</v>
      </c>
    </row>
    <row r="78" spans="1:5" x14ac:dyDescent="0.3">
      <c r="D78" s="10" t="s">
        <v>111</v>
      </c>
      <c r="E78" s="10" t="s">
        <v>78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24"/>
  <dimension ref="A3:I23"/>
  <sheetViews>
    <sheetView workbookViewId="0"/>
  </sheetViews>
  <sheetFormatPr baseColWidth="10" defaultRowHeight="14.4" x14ac:dyDescent="0.3"/>
  <sheetData>
    <row r="3" spans="1:9" x14ac:dyDescent="0.3">
      <c r="B3" s="19" t="s">
        <v>146</v>
      </c>
    </row>
    <row r="4" spans="1:9" x14ac:dyDescent="0.3">
      <c r="B4">
        <v>2022</v>
      </c>
      <c r="F4">
        <v>2023</v>
      </c>
    </row>
    <row r="5" spans="1:9" x14ac:dyDescent="0.3">
      <c r="B5" t="s">
        <v>91</v>
      </c>
      <c r="D5" t="s">
        <v>7</v>
      </c>
      <c r="F5" t="s">
        <v>91</v>
      </c>
      <c r="H5" t="s">
        <v>7</v>
      </c>
    </row>
    <row r="6" spans="1:9" x14ac:dyDescent="0.3">
      <c r="A6" s="19" t="s">
        <v>138</v>
      </c>
      <c r="B6" t="s">
        <v>139</v>
      </c>
      <c r="C6" t="s">
        <v>147</v>
      </c>
      <c r="D6" t="s">
        <v>139</v>
      </c>
      <c r="E6" t="s">
        <v>147</v>
      </c>
      <c r="F6" t="s">
        <v>139</v>
      </c>
      <c r="G6" t="s">
        <v>147</v>
      </c>
      <c r="H6" t="s">
        <v>139</v>
      </c>
      <c r="I6" t="s">
        <v>147</v>
      </c>
    </row>
    <row r="7" spans="1:9" x14ac:dyDescent="0.3">
      <c r="A7" s="20" t="s">
        <v>108</v>
      </c>
      <c r="B7" s="21"/>
      <c r="D7" s="21">
        <v>68.850000000000009</v>
      </c>
      <c r="E7">
        <v>5.2247191011235955E-2</v>
      </c>
      <c r="F7" s="21"/>
      <c r="H7" s="21">
        <v>70.31</v>
      </c>
      <c r="I7">
        <v>0</v>
      </c>
    </row>
    <row r="8" spans="1:9" x14ac:dyDescent="0.3">
      <c r="A8" s="20" t="s">
        <v>113</v>
      </c>
      <c r="B8" s="21">
        <v>0</v>
      </c>
      <c r="C8">
        <v>144.98468800373985</v>
      </c>
      <c r="D8" s="21">
        <v>22.509999999999998</v>
      </c>
      <c r="E8">
        <v>3.881936887921654</v>
      </c>
      <c r="F8" s="21"/>
      <c r="H8" s="21">
        <v>171.78</v>
      </c>
      <c r="I8">
        <v>0</v>
      </c>
    </row>
    <row r="9" spans="1:9" x14ac:dyDescent="0.3">
      <c r="A9" s="20" t="s">
        <v>116</v>
      </c>
      <c r="B9" s="21"/>
      <c r="D9" s="21"/>
      <c r="F9" s="21">
        <v>0</v>
      </c>
      <c r="G9">
        <v>28.450000000000003</v>
      </c>
      <c r="H9" s="21">
        <v>0.68083989501312336</v>
      </c>
      <c r="I9">
        <v>0</v>
      </c>
    </row>
    <row r="10" spans="1:9" x14ac:dyDescent="0.3">
      <c r="A10" s="20" t="s">
        <v>117</v>
      </c>
      <c r="B10" s="21"/>
      <c r="D10" s="21"/>
      <c r="F10" s="21">
        <v>0</v>
      </c>
      <c r="G10">
        <v>20</v>
      </c>
      <c r="H10" s="21"/>
    </row>
    <row r="11" spans="1:9" x14ac:dyDescent="0.3">
      <c r="A11" s="20" t="s">
        <v>109</v>
      </c>
      <c r="B11" s="21"/>
      <c r="D11" s="21">
        <v>72.77</v>
      </c>
      <c r="E11">
        <v>2.0710947427588229</v>
      </c>
      <c r="F11" s="21">
        <v>0</v>
      </c>
      <c r="G11">
        <v>20</v>
      </c>
      <c r="H11" s="21">
        <v>74.949999999999989</v>
      </c>
      <c r="I11">
        <v>0</v>
      </c>
    </row>
    <row r="12" spans="1:9" x14ac:dyDescent="0.3">
      <c r="A12" s="20" t="s">
        <v>110</v>
      </c>
      <c r="B12" s="21"/>
      <c r="D12" s="21">
        <v>130.39999999999998</v>
      </c>
      <c r="E12">
        <v>3.4978694709991096</v>
      </c>
      <c r="F12" s="21">
        <v>0</v>
      </c>
      <c r="G12">
        <v>34.21</v>
      </c>
      <c r="H12" s="21">
        <v>133.38</v>
      </c>
      <c r="I12">
        <v>0</v>
      </c>
    </row>
    <row r="13" spans="1:9" x14ac:dyDescent="0.3">
      <c r="A13" s="20" t="s">
        <v>135</v>
      </c>
      <c r="B13" s="21">
        <v>0</v>
      </c>
      <c r="C13">
        <v>1.9983146067415731</v>
      </c>
      <c r="D13" s="21"/>
      <c r="F13" s="21"/>
      <c r="H13" s="21">
        <v>2.56</v>
      </c>
      <c r="I13">
        <v>0</v>
      </c>
    </row>
    <row r="14" spans="1:9" x14ac:dyDescent="0.3">
      <c r="A14" s="20" t="s">
        <v>107</v>
      </c>
      <c r="B14" s="21"/>
      <c r="D14" s="21">
        <v>32.21</v>
      </c>
      <c r="E14">
        <v>0.46061751732829237</v>
      </c>
      <c r="F14" s="21"/>
      <c r="H14" s="21"/>
    </row>
    <row r="15" spans="1:9" x14ac:dyDescent="0.3">
      <c r="A15" s="20" t="s">
        <v>106</v>
      </c>
      <c r="B15" s="21"/>
      <c r="D15" s="21">
        <v>16.61</v>
      </c>
      <c r="E15">
        <v>0.20478890989287965</v>
      </c>
      <c r="F15" s="21"/>
      <c r="H15" s="21"/>
    </row>
    <row r="16" spans="1:9" x14ac:dyDescent="0.3">
      <c r="A16" s="20" t="s">
        <v>112</v>
      </c>
      <c r="B16" s="21"/>
      <c r="D16" s="21">
        <v>93.69</v>
      </c>
      <c r="E16">
        <v>4.8392152672011646</v>
      </c>
      <c r="F16" s="21"/>
      <c r="H16" s="21">
        <v>85.160000000000011</v>
      </c>
      <c r="I16">
        <v>0</v>
      </c>
    </row>
    <row r="17" spans="1:9" x14ac:dyDescent="0.3">
      <c r="A17" s="20" t="s">
        <v>111</v>
      </c>
      <c r="B17" s="21"/>
      <c r="D17" s="21">
        <v>2.63</v>
      </c>
      <c r="E17">
        <v>0.68083989501312336</v>
      </c>
      <c r="F17" s="21"/>
      <c r="H17" s="21">
        <v>2.63</v>
      </c>
      <c r="I17">
        <v>0</v>
      </c>
    </row>
    <row r="18" spans="1:9" x14ac:dyDescent="0.3">
      <c r="A18" s="20" t="s">
        <v>105</v>
      </c>
      <c r="B18" s="21">
        <v>0</v>
      </c>
      <c r="C18">
        <v>14.689325842696629</v>
      </c>
      <c r="D18" s="21">
        <v>406.76</v>
      </c>
      <c r="E18">
        <v>1.838450783486631</v>
      </c>
      <c r="F18" s="21">
        <v>0</v>
      </c>
      <c r="G18">
        <v>44.33</v>
      </c>
      <c r="H18" s="21">
        <v>378.97999999999996</v>
      </c>
      <c r="I18">
        <v>0</v>
      </c>
    </row>
    <row r="19" spans="1:9" x14ac:dyDescent="0.3">
      <c r="A19" s="20" t="s">
        <v>126</v>
      </c>
      <c r="B19" s="21">
        <v>0</v>
      </c>
      <c r="C19">
        <v>161.67232845317807</v>
      </c>
      <c r="D19" s="21">
        <v>846.43</v>
      </c>
      <c r="E19">
        <v>17.527060665612915</v>
      </c>
      <c r="F19" s="21">
        <v>0</v>
      </c>
      <c r="G19">
        <v>146.99</v>
      </c>
      <c r="H19" s="21">
        <v>920.43083989501315</v>
      </c>
      <c r="I19">
        <v>0</v>
      </c>
    </row>
    <row r="22" spans="1:9" x14ac:dyDescent="0.3">
      <c r="G22" t="e">
        <f>GETPIVOTDATA("Suma de Has Productivas",$A$3,"AÑO",2023,"Estado","Producción")+GETPIVOTDATA("Suma de Has Formación",$A$3,"AÑO",2023,"Estado","Habilitación")</f>
        <v>#REF!</v>
      </c>
    </row>
    <row r="23" spans="1:9" x14ac:dyDescent="0.3">
      <c r="C23" t="e">
        <f>GETPIVOTDATA("Suma de Has Productivas",$A$3,"AÑO",2022,"Estado","Producción")+GETPIVOTDATA("Suma de Has Formación",$A$3,"AÑO",2022,"Estado","Habilitación")</f>
        <v>#REF!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25"/>
  <dimension ref="A1:Q170"/>
  <sheetViews>
    <sheetView workbookViewId="0"/>
  </sheetViews>
  <sheetFormatPr baseColWidth="10" defaultRowHeight="14.4" x14ac:dyDescent="0.3"/>
  <sheetData>
    <row r="1" spans="1:17" ht="15.6" x14ac:dyDescent="0.3">
      <c r="A1" s="16" t="s">
        <v>114</v>
      </c>
      <c r="B1" s="16" t="s">
        <v>115</v>
      </c>
      <c r="C1" s="16" t="s">
        <v>145</v>
      </c>
      <c r="D1" s="16" t="s">
        <v>0</v>
      </c>
      <c r="E1" s="16" t="s">
        <v>118</v>
      </c>
      <c r="F1" s="16" t="s">
        <v>123</v>
      </c>
      <c r="G1" s="16" t="s">
        <v>124</v>
      </c>
      <c r="H1" s="16" t="s">
        <v>125</v>
      </c>
      <c r="I1" s="16" t="s">
        <v>119</v>
      </c>
      <c r="J1" s="16" t="s">
        <v>120</v>
      </c>
      <c r="K1" s="16" t="s">
        <v>121</v>
      </c>
      <c r="L1" s="16" t="s">
        <v>122</v>
      </c>
      <c r="M1" s="16" t="s">
        <v>1</v>
      </c>
      <c r="N1" s="16" t="s">
        <v>2</v>
      </c>
      <c r="O1" s="16" t="s">
        <v>3</v>
      </c>
      <c r="P1" s="16" t="s">
        <v>4</v>
      </c>
      <c r="Q1" s="16" t="s">
        <v>5</v>
      </c>
    </row>
    <row r="2" spans="1:17" x14ac:dyDescent="0.3">
      <c r="A2" s="9" t="s">
        <v>105</v>
      </c>
      <c r="B2" s="10" t="s">
        <v>6</v>
      </c>
      <c r="C2" s="10">
        <v>2022</v>
      </c>
      <c r="D2" s="4">
        <v>1780</v>
      </c>
      <c r="E2" s="2">
        <v>15.059213483146067</v>
      </c>
      <c r="F2" s="2">
        <v>15.03</v>
      </c>
      <c r="G2" s="2">
        <v>2.9213483146067417E-2</v>
      </c>
      <c r="H2" s="2">
        <v>0</v>
      </c>
      <c r="I2" s="3">
        <v>26808</v>
      </c>
      <c r="J2" s="11">
        <v>26752</v>
      </c>
      <c r="K2" s="11">
        <v>52</v>
      </c>
      <c r="L2" s="11">
        <v>4</v>
      </c>
      <c r="M2" s="2" t="s">
        <v>7</v>
      </c>
      <c r="N2" s="5">
        <v>2018</v>
      </c>
      <c r="O2" s="1" t="s">
        <v>8</v>
      </c>
      <c r="P2" s="1" t="s">
        <v>9</v>
      </c>
      <c r="Q2" s="1" t="s">
        <v>10</v>
      </c>
    </row>
    <row r="3" spans="1:17" x14ac:dyDescent="0.3">
      <c r="A3" s="9" t="s">
        <v>105</v>
      </c>
      <c r="B3" s="10" t="s">
        <v>11</v>
      </c>
      <c r="C3" s="10">
        <v>2022</v>
      </c>
      <c r="D3" s="4">
        <v>2132</v>
      </c>
      <c r="E3" s="2">
        <v>14.988517823639775</v>
      </c>
      <c r="F3" s="2">
        <v>14.86</v>
      </c>
      <c r="G3" s="2">
        <v>0.12851782363977485</v>
      </c>
      <c r="H3" s="2">
        <v>0</v>
      </c>
      <c r="I3" s="3">
        <v>31958</v>
      </c>
      <c r="J3" s="11">
        <v>31677</v>
      </c>
      <c r="K3" s="11">
        <v>274</v>
      </c>
      <c r="L3" s="11">
        <v>7</v>
      </c>
      <c r="M3" s="2" t="s">
        <v>7</v>
      </c>
      <c r="N3" s="5">
        <v>2016</v>
      </c>
      <c r="O3" s="1" t="s">
        <v>12</v>
      </c>
      <c r="P3" s="1" t="s">
        <v>9</v>
      </c>
      <c r="Q3" s="1" t="s">
        <v>10</v>
      </c>
    </row>
    <row r="4" spans="1:17" x14ac:dyDescent="0.3">
      <c r="A4" s="9" t="s">
        <v>105</v>
      </c>
      <c r="B4" s="10" t="s">
        <v>13</v>
      </c>
      <c r="C4" s="10">
        <v>2022</v>
      </c>
      <c r="D4" s="4">
        <v>2132</v>
      </c>
      <c r="E4" s="2">
        <v>14.285309568480299</v>
      </c>
      <c r="F4" s="2">
        <v>14.03</v>
      </c>
      <c r="G4" s="2">
        <v>0.24530956848030019</v>
      </c>
      <c r="H4" s="2">
        <v>0.01</v>
      </c>
      <c r="I4" s="3">
        <v>30449</v>
      </c>
      <c r="J4" s="11">
        <v>29908</v>
      </c>
      <c r="K4" s="11">
        <v>523</v>
      </c>
      <c r="L4" s="11">
        <v>18</v>
      </c>
      <c r="M4" s="2" t="s">
        <v>7</v>
      </c>
      <c r="N4" s="5">
        <v>2016</v>
      </c>
      <c r="O4" s="1" t="s">
        <v>12</v>
      </c>
      <c r="P4" s="1" t="s">
        <v>9</v>
      </c>
      <c r="Q4" s="1" t="s">
        <v>10</v>
      </c>
    </row>
    <row r="5" spans="1:17" x14ac:dyDescent="0.3">
      <c r="A5" s="9" t="s">
        <v>105</v>
      </c>
      <c r="B5" s="10" t="s">
        <v>14</v>
      </c>
      <c r="C5" s="10">
        <v>2022</v>
      </c>
      <c r="D5" s="4">
        <v>2132</v>
      </c>
      <c r="E5" s="2">
        <v>14.760825515947467</v>
      </c>
      <c r="F5" s="2">
        <v>14.67</v>
      </c>
      <c r="G5" s="2">
        <v>7.0825515947467166E-2</v>
      </c>
      <c r="H5" s="2">
        <v>0.02</v>
      </c>
      <c r="I5" s="3">
        <v>31475</v>
      </c>
      <c r="J5" s="11">
        <v>31272</v>
      </c>
      <c r="K5" s="11">
        <v>151</v>
      </c>
      <c r="L5" s="11">
        <v>52</v>
      </c>
      <c r="M5" s="2" t="s">
        <v>7</v>
      </c>
      <c r="N5" s="5">
        <v>2016</v>
      </c>
      <c r="O5" s="1" t="s">
        <v>12</v>
      </c>
      <c r="P5" s="1" t="s">
        <v>9</v>
      </c>
      <c r="Q5" s="1" t="s">
        <v>10</v>
      </c>
    </row>
    <row r="6" spans="1:17" x14ac:dyDescent="0.3">
      <c r="A6" s="9" t="s">
        <v>105</v>
      </c>
      <c r="B6" s="10" t="s">
        <v>15</v>
      </c>
      <c r="C6" s="10">
        <v>2022</v>
      </c>
      <c r="D6" s="4">
        <v>2132</v>
      </c>
      <c r="E6" s="2">
        <v>14.854596622889305</v>
      </c>
      <c r="F6" s="2">
        <v>14.73</v>
      </c>
      <c r="G6" s="2">
        <v>0.10459662288930581</v>
      </c>
      <c r="H6" s="2">
        <v>0.02</v>
      </c>
      <c r="I6" s="3">
        <v>31659</v>
      </c>
      <c r="J6" s="11">
        <v>31403</v>
      </c>
      <c r="K6" s="11">
        <v>223</v>
      </c>
      <c r="L6" s="11">
        <v>33</v>
      </c>
      <c r="M6" s="2" t="s">
        <v>7</v>
      </c>
      <c r="N6" s="5">
        <v>2017</v>
      </c>
      <c r="O6" s="1" t="s">
        <v>12</v>
      </c>
      <c r="P6" s="1" t="s">
        <v>9</v>
      </c>
      <c r="Q6" s="1" t="s">
        <v>10</v>
      </c>
    </row>
    <row r="7" spans="1:17" x14ac:dyDescent="0.3">
      <c r="A7" s="9" t="s">
        <v>105</v>
      </c>
      <c r="B7" s="10" t="s">
        <v>16</v>
      </c>
      <c r="C7" s="10">
        <v>2022</v>
      </c>
      <c r="D7" s="4">
        <v>2070</v>
      </c>
      <c r="E7" s="2">
        <v>14.992077294685991</v>
      </c>
      <c r="F7" s="2">
        <v>14.97</v>
      </c>
      <c r="G7" s="2">
        <v>1.2077294685990338E-2</v>
      </c>
      <c r="H7" s="2">
        <v>0.01</v>
      </c>
      <c r="I7" s="3">
        <v>31036</v>
      </c>
      <c r="J7" s="11">
        <v>30998</v>
      </c>
      <c r="K7" s="11">
        <v>25</v>
      </c>
      <c r="L7" s="11">
        <v>13</v>
      </c>
      <c r="M7" s="2" t="s">
        <v>7</v>
      </c>
      <c r="N7" s="5">
        <v>2017</v>
      </c>
      <c r="O7" s="1" t="s">
        <v>12</v>
      </c>
      <c r="P7" s="1" t="s">
        <v>9</v>
      </c>
      <c r="Q7" s="1" t="s">
        <v>10</v>
      </c>
    </row>
    <row r="8" spans="1:17" x14ac:dyDescent="0.3">
      <c r="A8" s="9" t="s">
        <v>105</v>
      </c>
      <c r="B8" s="10" t="s">
        <v>18</v>
      </c>
      <c r="C8" s="10">
        <v>2022</v>
      </c>
      <c r="D8" s="4">
        <v>2070</v>
      </c>
      <c r="E8" s="2">
        <v>14.997246376811594</v>
      </c>
      <c r="F8" s="2">
        <v>14.98</v>
      </c>
      <c r="G8" s="2">
        <v>7.246376811594203E-3</v>
      </c>
      <c r="H8" s="2">
        <v>0.01</v>
      </c>
      <c r="I8" s="3">
        <v>31038</v>
      </c>
      <c r="J8" s="11">
        <v>31006</v>
      </c>
      <c r="K8" s="11">
        <v>15</v>
      </c>
      <c r="L8" s="11">
        <v>17</v>
      </c>
      <c r="M8" s="2" t="s">
        <v>7</v>
      </c>
      <c r="N8" s="5">
        <v>2017</v>
      </c>
      <c r="O8" s="1" t="s">
        <v>12</v>
      </c>
      <c r="P8" s="1" t="s">
        <v>9</v>
      </c>
      <c r="Q8" s="1" t="s">
        <v>10</v>
      </c>
    </row>
    <row r="9" spans="1:17" x14ac:dyDescent="0.3">
      <c r="A9" s="9" t="s">
        <v>105</v>
      </c>
      <c r="B9" s="10" t="s">
        <v>19</v>
      </c>
      <c r="C9" s="10">
        <v>2022</v>
      </c>
      <c r="D9" s="4">
        <v>2070</v>
      </c>
      <c r="E9" s="2">
        <v>12.790386473429953</v>
      </c>
      <c r="F9" s="2">
        <v>12.71</v>
      </c>
      <c r="G9" s="2">
        <v>6.0386473429951688E-2</v>
      </c>
      <c r="H9" s="2">
        <v>0.02</v>
      </c>
      <c r="I9" s="3">
        <v>26486</v>
      </c>
      <c r="J9" s="11">
        <v>26310</v>
      </c>
      <c r="K9" s="11">
        <v>125</v>
      </c>
      <c r="L9" s="11">
        <v>51</v>
      </c>
      <c r="M9" s="2" t="s">
        <v>7</v>
      </c>
      <c r="N9" s="5">
        <v>2017</v>
      </c>
      <c r="O9" s="1" t="s">
        <v>12</v>
      </c>
      <c r="P9" s="1" t="s">
        <v>9</v>
      </c>
      <c r="Q9" s="1" t="s">
        <v>10</v>
      </c>
    </row>
    <row r="10" spans="1:17" x14ac:dyDescent="0.3">
      <c r="A10" s="9" t="s">
        <v>105</v>
      </c>
      <c r="B10" s="10" t="s">
        <v>20</v>
      </c>
      <c r="C10" s="10">
        <v>2022</v>
      </c>
      <c r="D10" s="4">
        <v>2132</v>
      </c>
      <c r="E10" s="2">
        <v>14.396904315196998</v>
      </c>
      <c r="F10" s="2">
        <v>14.35</v>
      </c>
      <c r="G10" s="2">
        <v>4.6904315196998121E-2</v>
      </c>
      <c r="H10" s="2">
        <v>0</v>
      </c>
      <c r="I10" s="3">
        <v>30692</v>
      </c>
      <c r="J10" s="11">
        <v>30586</v>
      </c>
      <c r="K10" s="11">
        <v>100</v>
      </c>
      <c r="L10" s="11">
        <v>6</v>
      </c>
      <c r="M10" s="2" t="s">
        <v>7</v>
      </c>
      <c r="N10" s="5">
        <v>2015</v>
      </c>
      <c r="O10" s="1" t="s">
        <v>12</v>
      </c>
      <c r="P10" s="1" t="s">
        <v>9</v>
      </c>
      <c r="Q10" s="1" t="s">
        <v>133</v>
      </c>
    </row>
    <row r="11" spans="1:17" x14ac:dyDescent="0.3">
      <c r="A11" s="9" t="s">
        <v>105</v>
      </c>
      <c r="B11" s="10" t="s">
        <v>21</v>
      </c>
      <c r="C11" s="10">
        <v>2022</v>
      </c>
      <c r="D11" s="4">
        <v>2132</v>
      </c>
      <c r="E11" s="2">
        <v>11.029305816135086</v>
      </c>
      <c r="F11" s="2">
        <v>10.89</v>
      </c>
      <c r="G11" s="2">
        <v>0.13930581613508441</v>
      </c>
      <c r="H11" s="2">
        <v>0</v>
      </c>
      <c r="I11" s="3">
        <v>23531</v>
      </c>
      <c r="J11" s="11">
        <v>23225</v>
      </c>
      <c r="K11" s="11">
        <v>297</v>
      </c>
      <c r="L11" s="11">
        <v>9</v>
      </c>
      <c r="M11" s="2" t="s">
        <v>7</v>
      </c>
      <c r="N11" s="5">
        <v>2015</v>
      </c>
      <c r="O11" s="1" t="s">
        <v>12</v>
      </c>
      <c r="P11" s="1" t="s">
        <v>9</v>
      </c>
      <c r="Q11" s="1" t="s">
        <v>133</v>
      </c>
    </row>
    <row r="12" spans="1:17" x14ac:dyDescent="0.3">
      <c r="A12" s="9" t="s">
        <v>105</v>
      </c>
      <c r="B12" s="10" t="s">
        <v>22</v>
      </c>
      <c r="C12" s="10">
        <v>2022</v>
      </c>
      <c r="D12" s="4">
        <v>2132</v>
      </c>
      <c r="E12" s="2">
        <v>14.873358348968106</v>
      </c>
      <c r="F12" s="2">
        <v>14.54</v>
      </c>
      <c r="G12" s="2">
        <v>0.12335834896810506</v>
      </c>
      <c r="H12" s="2">
        <v>0.21</v>
      </c>
      <c r="I12" s="3">
        <v>31708</v>
      </c>
      <c r="J12" s="11">
        <v>30998</v>
      </c>
      <c r="K12" s="11">
        <v>263</v>
      </c>
      <c r="L12" s="11">
        <v>447</v>
      </c>
      <c r="M12" s="2" t="s">
        <v>7</v>
      </c>
      <c r="N12" s="5">
        <v>2015</v>
      </c>
      <c r="O12" s="1" t="s">
        <v>12</v>
      </c>
      <c r="P12" s="1" t="s">
        <v>9</v>
      </c>
      <c r="Q12" s="1" t="s">
        <v>133</v>
      </c>
    </row>
    <row r="13" spans="1:17" x14ac:dyDescent="0.3">
      <c r="A13" s="9" t="s">
        <v>105</v>
      </c>
      <c r="B13" s="10" t="s">
        <v>23</v>
      </c>
      <c r="C13" s="10">
        <v>2022</v>
      </c>
      <c r="D13" s="4">
        <v>2070</v>
      </c>
      <c r="E13" s="2">
        <v>14.864830917874395</v>
      </c>
      <c r="F13" s="2">
        <v>14</v>
      </c>
      <c r="G13" s="2">
        <v>4.830917874396135E-3</v>
      </c>
      <c r="H13" s="2">
        <v>0.86</v>
      </c>
      <c r="I13" s="3">
        <v>30811</v>
      </c>
      <c r="J13" s="11">
        <v>29030</v>
      </c>
      <c r="K13" s="11">
        <v>10</v>
      </c>
      <c r="L13" s="11">
        <v>1771</v>
      </c>
      <c r="M13" s="2" t="s">
        <v>7</v>
      </c>
      <c r="N13" s="5">
        <v>2016</v>
      </c>
      <c r="O13" s="1" t="s">
        <v>12</v>
      </c>
      <c r="P13" s="1" t="s">
        <v>9</v>
      </c>
      <c r="Q13" s="1" t="s">
        <v>132</v>
      </c>
    </row>
    <row r="14" spans="1:17" x14ac:dyDescent="0.3">
      <c r="A14" s="9" t="s">
        <v>105</v>
      </c>
      <c r="B14" s="10" t="s">
        <v>24</v>
      </c>
      <c r="C14" s="10">
        <v>2022</v>
      </c>
      <c r="D14" s="4">
        <v>2070</v>
      </c>
      <c r="E14" s="2">
        <v>13.167487922705314</v>
      </c>
      <c r="F14" s="2">
        <v>13.1</v>
      </c>
      <c r="G14" s="2">
        <v>5.7487922705314012E-2</v>
      </c>
      <c r="H14" s="2">
        <v>0.01</v>
      </c>
      <c r="I14" s="3">
        <v>27243</v>
      </c>
      <c r="J14" s="11">
        <v>27101</v>
      </c>
      <c r="K14" s="11">
        <v>119</v>
      </c>
      <c r="L14" s="11">
        <v>23</v>
      </c>
      <c r="M14" s="2" t="s">
        <v>7</v>
      </c>
      <c r="N14" s="5">
        <v>2017</v>
      </c>
      <c r="O14" s="1" t="s">
        <v>12</v>
      </c>
      <c r="P14" s="1" t="s">
        <v>9</v>
      </c>
      <c r="Q14" s="1" t="s">
        <v>132</v>
      </c>
    </row>
    <row r="15" spans="1:17" x14ac:dyDescent="0.3">
      <c r="A15" s="9" t="s">
        <v>105</v>
      </c>
      <c r="B15" s="10" t="s">
        <v>25</v>
      </c>
      <c r="C15" s="10">
        <v>2022</v>
      </c>
      <c r="D15" s="4">
        <v>2070</v>
      </c>
      <c r="E15" s="2">
        <v>14.881690821256038</v>
      </c>
      <c r="F15" s="2">
        <v>14.81</v>
      </c>
      <c r="G15" s="2">
        <v>5.1690821256038647E-2</v>
      </c>
      <c r="H15" s="2">
        <v>0.02</v>
      </c>
      <c r="I15" s="3">
        <v>30810</v>
      </c>
      <c r="J15" s="11">
        <v>30661</v>
      </c>
      <c r="K15" s="11">
        <v>107</v>
      </c>
      <c r="L15" s="11">
        <v>42</v>
      </c>
      <c r="M15" s="2" t="s">
        <v>7</v>
      </c>
      <c r="N15" s="5">
        <v>2016</v>
      </c>
      <c r="O15" s="1" t="s">
        <v>12</v>
      </c>
      <c r="P15" s="1" t="s">
        <v>9</v>
      </c>
      <c r="Q15" s="1" t="s">
        <v>132</v>
      </c>
    </row>
    <row r="16" spans="1:17" x14ac:dyDescent="0.3">
      <c r="A16" s="9" t="s">
        <v>105</v>
      </c>
      <c r="B16" s="10" t="s">
        <v>26</v>
      </c>
      <c r="C16" s="10">
        <v>2022</v>
      </c>
      <c r="D16" s="4">
        <v>1905</v>
      </c>
      <c r="E16" s="2">
        <v>12.617296587926509</v>
      </c>
      <c r="F16" s="2">
        <v>12.36</v>
      </c>
      <c r="G16" s="2">
        <v>2.7296587926509186E-2</v>
      </c>
      <c r="H16" s="2">
        <v>0.23</v>
      </c>
      <c r="I16" s="3">
        <v>24054</v>
      </c>
      <c r="J16" s="11">
        <v>23556</v>
      </c>
      <c r="K16" s="11">
        <v>52</v>
      </c>
      <c r="L16" s="11">
        <v>446</v>
      </c>
      <c r="M16" s="2" t="s">
        <v>7</v>
      </c>
      <c r="N16" s="5">
        <v>2015</v>
      </c>
      <c r="O16" s="1" t="s">
        <v>8</v>
      </c>
      <c r="P16" s="1" t="s">
        <v>27</v>
      </c>
      <c r="Q16" s="1" t="s">
        <v>28</v>
      </c>
    </row>
    <row r="17" spans="1:17" x14ac:dyDescent="0.3">
      <c r="A17" s="9" t="s">
        <v>105</v>
      </c>
      <c r="B17" s="10" t="s">
        <v>29</v>
      </c>
      <c r="C17" s="10">
        <v>2022</v>
      </c>
      <c r="D17" s="4">
        <v>1905</v>
      </c>
      <c r="E17" s="2">
        <v>11.766929133858268</v>
      </c>
      <c r="F17" s="2">
        <v>10.79</v>
      </c>
      <c r="G17" s="2">
        <v>0.16692913385826771</v>
      </c>
      <c r="H17" s="2">
        <v>0.81</v>
      </c>
      <c r="I17" s="3">
        <v>22435</v>
      </c>
      <c r="J17" s="11">
        <v>20573</v>
      </c>
      <c r="K17" s="11">
        <v>318</v>
      </c>
      <c r="L17" s="11">
        <v>1544</v>
      </c>
      <c r="M17" s="2" t="s">
        <v>7</v>
      </c>
      <c r="N17" s="5">
        <v>2017</v>
      </c>
      <c r="O17" s="1" t="s">
        <v>8</v>
      </c>
      <c r="P17" s="1" t="s">
        <v>27</v>
      </c>
      <c r="Q17" s="1" t="s">
        <v>28</v>
      </c>
    </row>
    <row r="18" spans="1:17" x14ac:dyDescent="0.3">
      <c r="A18" s="9" t="s">
        <v>105</v>
      </c>
      <c r="B18" s="10" t="s">
        <v>30</v>
      </c>
      <c r="C18" s="10">
        <v>2022</v>
      </c>
      <c r="D18" s="4">
        <v>1953</v>
      </c>
      <c r="E18" s="2">
        <v>16.305028161802358</v>
      </c>
      <c r="F18" s="2">
        <v>16.190000000000001</v>
      </c>
      <c r="G18" s="2">
        <v>6.502816180235535E-2</v>
      </c>
      <c r="H18" s="2">
        <v>0.05</v>
      </c>
      <c r="I18" s="3">
        <v>31843</v>
      </c>
      <c r="J18" s="11">
        <v>31624</v>
      </c>
      <c r="K18" s="11">
        <v>127</v>
      </c>
      <c r="L18" s="11">
        <v>92</v>
      </c>
      <c r="M18" s="2" t="s">
        <v>7</v>
      </c>
      <c r="N18" s="5">
        <v>2018</v>
      </c>
      <c r="O18" s="1" t="s">
        <v>8</v>
      </c>
      <c r="P18" s="1" t="s">
        <v>27</v>
      </c>
      <c r="Q18" s="1" t="s">
        <v>28</v>
      </c>
    </row>
    <row r="19" spans="1:17" x14ac:dyDescent="0.3">
      <c r="A19" s="9" t="s">
        <v>105</v>
      </c>
      <c r="B19" s="10" t="s">
        <v>31</v>
      </c>
      <c r="C19" s="10">
        <v>2022</v>
      </c>
      <c r="D19" s="4">
        <v>1905.1398337112623</v>
      </c>
      <c r="E19" s="2">
        <v>13.332516564173776</v>
      </c>
      <c r="F19" s="2">
        <v>13.23</v>
      </c>
      <c r="G19" s="2">
        <v>4.2516564173775043E-2</v>
      </c>
      <c r="H19" s="2">
        <v>0.06</v>
      </c>
      <c r="I19" s="3">
        <v>25206</v>
      </c>
      <c r="J19" s="11">
        <v>25017</v>
      </c>
      <c r="K19" s="11">
        <v>81</v>
      </c>
      <c r="L19" s="11">
        <v>108</v>
      </c>
      <c r="M19" s="2" t="s">
        <v>7</v>
      </c>
      <c r="N19" s="5">
        <v>2016</v>
      </c>
      <c r="O19" s="1" t="s">
        <v>8</v>
      </c>
      <c r="P19" s="1" t="s">
        <v>27</v>
      </c>
      <c r="Q19" s="1" t="s">
        <v>28</v>
      </c>
    </row>
    <row r="20" spans="1:17" x14ac:dyDescent="0.3">
      <c r="A20" s="9" t="s">
        <v>105</v>
      </c>
      <c r="B20" s="10" t="s">
        <v>32</v>
      </c>
      <c r="C20" s="10">
        <v>2022</v>
      </c>
      <c r="D20" s="4">
        <v>1953</v>
      </c>
      <c r="E20" s="2">
        <v>13.991024065540195</v>
      </c>
      <c r="F20" s="2">
        <v>13.99</v>
      </c>
      <c r="G20" s="2">
        <v>1.0240655401945725E-3</v>
      </c>
      <c r="H20" s="2">
        <v>0</v>
      </c>
      <c r="I20" s="3">
        <v>27351</v>
      </c>
      <c r="J20" s="11">
        <v>27344</v>
      </c>
      <c r="K20" s="11">
        <v>2</v>
      </c>
      <c r="L20" s="11">
        <v>5</v>
      </c>
      <c r="M20" s="2" t="s">
        <v>7</v>
      </c>
      <c r="N20" s="5">
        <v>2014</v>
      </c>
      <c r="O20" s="1" t="s">
        <v>8</v>
      </c>
      <c r="P20" s="1" t="s">
        <v>27</v>
      </c>
      <c r="Q20" s="1" t="s">
        <v>28</v>
      </c>
    </row>
    <row r="21" spans="1:17" x14ac:dyDescent="0.3">
      <c r="A21" s="9" t="s">
        <v>105</v>
      </c>
      <c r="B21" s="10" t="s">
        <v>33</v>
      </c>
      <c r="C21" s="10">
        <v>2022</v>
      </c>
      <c r="D21" s="4">
        <v>1953</v>
      </c>
      <c r="E21" s="2">
        <v>14.416385048643111</v>
      </c>
      <c r="F21" s="2">
        <v>14.37</v>
      </c>
      <c r="G21" s="2">
        <v>1.6385048643113159E-2</v>
      </c>
      <c r="H21" s="2">
        <v>0.03</v>
      </c>
      <c r="I21" s="3">
        <v>28152</v>
      </c>
      <c r="J21" s="11">
        <v>28067</v>
      </c>
      <c r="K21" s="11">
        <v>32</v>
      </c>
      <c r="L21" s="11">
        <v>53</v>
      </c>
      <c r="M21" s="2" t="s">
        <v>7</v>
      </c>
      <c r="N21" s="5">
        <v>2019</v>
      </c>
      <c r="O21" s="1" t="s">
        <v>12</v>
      </c>
      <c r="P21" s="1" t="s">
        <v>9</v>
      </c>
      <c r="Q21" s="1" t="s">
        <v>132</v>
      </c>
    </row>
    <row r="22" spans="1:17" x14ac:dyDescent="0.3">
      <c r="A22" s="9" t="s">
        <v>105</v>
      </c>
      <c r="B22" s="10" t="s">
        <v>35</v>
      </c>
      <c r="C22" s="10">
        <v>2022</v>
      </c>
      <c r="D22" s="4">
        <v>1953</v>
      </c>
      <c r="E22" s="2">
        <v>14.274608294930875</v>
      </c>
      <c r="F22" s="2">
        <v>14.26</v>
      </c>
      <c r="G22" s="2">
        <v>4.608294930875576E-3</v>
      </c>
      <c r="H22" s="2">
        <v>0.01</v>
      </c>
      <c r="I22" s="3">
        <v>27869</v>
      </c>
      <c r="J22" s="11">
        <v>27845</v>
      </c>
      <c r="K22" s="11">
        <v>9</v>
      </c>
      <c r="L22" s="11">
        <v>15</v>
      </c>
      <c r="M22" s="2" t="s">
        <v>7</v>
      </c>
      <c r="N22" s="5">
        <v>2019</v>
      </c>
      <c r="O22" s="1" t="s">
        <v>12</v>
      </c>
      <c r="P22" s="1" t="s">
        <v>9</v>
      </c>
      <c r="Q22" s="1" t="s">
        <v>132</v>
      </c>
    </row>
    <row r="23" spans="1:17" x14ac:dyDescent="0.3">
      <c r="A23" s="9" t="s">
        <v>105</v>
      </c>
      <c r="B23" s="10" t="s">
        <v>36</v>
      </c>
      <c r="C23" s="10">
        <v>2022</v>
      </c>
      <c r="D23" s="4">
        <v>1953</v>
      </c>
      <c r="E23" s="2">
        <v>14.648192524321557</v>
      </c>
      <c r="F23" s="2">
        <v>14.63</v>
      </c>
      <c r="G23" s="2">
        <v>8.1925243215565796E-3</v>
      </c>
      <c r="H23" s="2">
        <v>0.01</v>
      </c>
      <c r="I23" s="3">
        <v>28615</v>
      </c>
      <c r="J23" s="11">
        <v>28573</v>
      </c>
      <c r="K23" s="11">
        <v>16</v>
      </c>
      <c r="L23" s="11">
        <v>26</v>
      </c>
      <c r="M23" s="2" t="s">
        <v>7</v>
      </c>
      <c r="N23" s="5">
        <v>2019</v>
      </c>
      <c r="O23" s="1" t="s">
        <v>12</v>
      </c>
      <c r="P23" s="1" t="s">
        <v>9</v>
      </c>
      <c r="Q23" s="1" t="s">
        <v>132</v>
      </c>
    </row>
    <row r="24" spans="1:17" x14ac:dyDescent="0.3">
      <c r="A24" s="9" t="s">
        <v>105</v>
      </c>
      <c r="B24" s="10" t="s">
        <v>37</v>
      </c>
      <c r="C24" s="10">
        <v>2022</v>
      </c>
      <c r="D24" s="4">
        <v>1780</v>
      </c>
      <c r="E24" s="2">
        <v>14.867640449438202</v>
      </c>
      <c r="F24" s="2">
        <v>14.58</v>
      </c>
      <c r="G24" s="2">
        <v>8.7640449438202248E-2</v>
      </c>
      <c r="H24" s="2">
        <v>0.2</v>
      </c>
      <c r="I24" s="3">
        <v>26496</v>
      </c>
      <c r="J24" s="11">
        <v>25984</v>
      </c>
      <c r="K24" s="11">
        <v>156</v>
      </c>
      <c r="L24" s="11">
        <v>356</v>
      </c>
      <c r="M24" s="2" t="s">
        <v>7</v>
      </c>
      <c r="N24" s="5">
        <v>2020</v>
      </c>
      <c r="O24" s="1" t="s">
        <v>12</v>
      </c>
      <c r="P24" s="1" t="s">
        <v>9</v>
      </c>
      <c r="Q24" s="1" t="s">
        <v>132</v>
      </c>
    </row>
    <row r="25" spans="1:17" x14ac:dyDescent="0.3">
      <c r="A25" s="9" t="s">
        <v>105</v>
      </c>
      <c r="B25" s="10" t="s">
        <v>38</v>
      </c>
      <c r="C25" s="10">
        <v>2022</v>
      </c>
      <c r="D25" s="4">
        <v>1780</v>
      </c>
      <c r="E25" s="2">
        <v>14.739662921348316</v>
      </c>
      <c r="F25" s="2">
        <v>14.67</v>
      </c>
      <c r="G25" s="2">
        <v>1.9662921348314606E-2</v>
      </c>
      <c r="H25" s="2">
        <v>0.05</v>
      </c>
      <c r="I25" s="3">
        <v>26240</v>
      </c>
      <c r="J25" s="11">
        <v>26121</v>
      </c>
      <c r="K25" s="11">
        <v>35</v>
      </c>
      <c r="L25" s="11">
        <v>84</v>
      </c>
      <c r="M25" s="2" t="s">
        <v>7</v>
      </c>
      <c r="N25" s="5">
        <v>2020</v>
      </c>
      <c r="O25" s="1" t="s">
        <v>12</v>
      </c>
      <c r="P25" s="1" t="s">
        <v>9</v>
      </c>
      <c r="Q25" s="1" t="s">
        <v>132</v>
      </c>
    </row>
    <row r="26" spans="1:17" x14ac:dyDescent="0.3">
      <c r="A26" s="9" t="s">
        <v>105</v>
      </c>
      <c r="B26" s="10" t="s">
        <v>39</v>
      </c>
      <c r="C26" s="10">
        <v>2022</v>
      </c>
      <c r="D26" s="4">
        <v>1780</v>
      </c>
      <c r="E26" s="2">
        <v>14.962471910112361</v>
      </c>
      <c r="F26" s="2">
        <v>14.88</v>
      </c>
      <c r="G26" s="2">
        <v>2.247191011235955E-2</v>
      </c>
      <c r="H26" s="2">
        <v>0.06</v>
      </c>
      <c r="I26" s="3">
        <v>26634</v>
      </c>
      <c r="J26" s="11">
        <v>26482</v>
      </c>
      <c r="K26" s="11">
        <v>40</v>
      </c>
      <c r="L26" s="11">
        <v>112</v>
      </c>
      <c r="M26" s="2" t="s">
        <v>7</v>
      </c>
      <c r="N26" s="5">
        <v>2020</v>
      </c>
      <c r="O26" s="1" t="s">
        <v>12</v>
      </c>
      <c r="P26" s="1" t="s">
        <v>9</v>
      </c>
      <c r="Q26" s="1" t="s">
        <v>132</v>
      </c>
    </row>
    <row r="27" spans="1:17" x14ac:dyDescent="0.3">
      <c r="A27" s="9" t="s">
        <v>105</v>
      </c>
      <c r="B27" s="10" t="s">
        <v>40</v>
      </c>
      <c r="C27" s="10">
        <v>2022</v>
      </c>
      <c r="D27" s="4">
        <v>1780</v>
      </c>
      <c r="E27" s="2">
        <v>13.724044943820227</v>
      </c>
      <c r="F27" s="2">
        <v>13.55</v>
      </c>
      <c r="G27" s="2">
        <v>0.11404494382022472</v>
      </c>
      <c r="H27" s="2">
        <v>0.06</v>
      </c>
      <c r="I27" s="3">
        <v>24434</v>
      </c>
      <c r="J27" s="11">
        <v>24120</v>
      </c>
      <c r="K27" s="11">
        <v>203</v>
      </c>
      <c r="L27" s="11">
        <v>111</v>
      </c>
      <c r="M27" s="2" t="s">
        <v>7</v>
      </c>
      <c r="N27" s="5">
        <v>2020</v>
      </c>
      <c r="O27" s="1" t="s">
        <v>12</v>
      </c>
      <c r="P27" s="1" t="s">
        <v>27</v>
      </c>
      <c r="Q27" s="1" t="s">
        <v>34</v>
      </c>
    </row>
    <row r="28" spans="1:17" x14ac:dyDescent="0.3">
      <c r="A28" s="9" t="s">
        <v>105</v>
      </c>
      <c r="B28" s="10" t="s">
        <v>41</v>
      </c>
      <c r="C28" s="10">
        <v>2022</v>
      </c>
      <c r="D28" s="4">
        <v>1780</v>
      </c>
      <c r="E28" s="2">
        <v>12.290112359550562</v>
      </c>
      <c r="F28" s="2">
        <v>12.14</v>
      </c>
      <c r="G28" s="2">
        <v>6.0112359550561795E-2</v>
      </c>
      <c r="H28" s="2">
        <v>0.09</v>
      </c>
      <c r="I28" s="3">
        <v>21876</v>
      </c>
      <c r="J28" s="11">
        <v>21604</v>
      </c>
      <c r="K28" s="11">
        <v>107</v>
      </c>
      <c r="L28" s="11">
        <v>165</v>
      </c>
      <c r="M28" s="2" t="s">
        <v>7</v>
      </c>
      <c r="N28" s="5">
        <v>2020</v>
      </c>
      <c r="O28" s="1" t="s">
        <v>12</v>
      </c>
      <c r="P28" s="1" t="s">
        <v>27</v>
      </c>
      <c r="Q28" s="1" t="s">
        <v>34</v>
      </c>
    </row>
    <row r="29" spans="1:17" x14ac:dyDescent="0.3">
      <c r="A29" s="9" t="s">
        <v>105</v>
      </c>
      <c r="B29" s="10" t="s">
        <v>42</v>
      </c>
      <c r="C29" s="10">
        <v>2022</v>
      </c>
      <c r="D29" s="4">
        <v>1780</v>
      </c>
      <c r="E29" s="2">
        <v>14.996067415730336</v>
      </c>
      <c r="F29" s="2">
        <v>14.78</v>
      </c>
      <c r="G29" s="2">
        <v>4.6067415730337076E-2</v>
      </c>
      <c r="H29" s="2">
        <v>0.17</v>
      </c>
      <c r="I29" s="3">
        <v>26703</v>
      </c>
      <c r="J29" s="11">
        <v>26310</v>
      </c>
      <c r="K29" s="11">
        <v>82</v>
      </c>
      <c r="L29" s="11">
        <v>311</v>
      </c>
      <c r="M29" s="2" t="s">
        <v>7</v>
      </c>
      <c r="N29" s="5">
        <v>2020</v>
      </c>
      <c r="O29" s="1" t="s">
        <v>12</v>
      </c>
      <c r="P29" s="1" t="s">
        <v>27</v>
      </c>
      <c r="Q29" s="1" t="s">
        <v>34</v>
      </c>
    </row>
    <row r="30" spans="1:17" x14ac:dyDescent="0.3">
      <c r="A30" s="9" t="s">
        <v>105</v>
      </c>
      <c r="B30" s="10" t="s">
        <v>43</v>
      </c>
      <c r="C30" s="10">
        <v>2022</v>
      </c>
      <c r="D30" s="4">
        <v>1780</v>
      </c>
      <c r="E30" s="2">
        <v>14.994719101123595</v>
      </c>
      <c r="F30" s="2">
        <v>14.67</v>
      </c>
      <c r="G30" s="2">
        <v>7.4719101123595505E-2</v>
      </c>
      <c r="H30" s="2">
        <v>0.25</v>
      </c>
      <c r="I30" s="3">
        <v>26703</v>
      </c>
      <c r="J30" s="11">
        <v>26119</v>
      </c>
      <c r="K30" s="11">
        <v>133</v>
      </c>
      <c r="L30" s="11">
        <v>451</v>
      </c>
      <c r="M30" s="2" t="s">
        <v>7</v>
      </c>
      <c r="N30" s="5">
        <v>2020</v>
      </c>
      <c r="O30" s="1" t="s">
        <v>12</v>
      </c>
      <c r="P30" s="1" t="s">
        <v>27</v>
      </c>
      <c r="Q30" s="1" t="s">
        <v>34</v>
      </c>
    </row>
    <row r="31" spans="1:17" x14ac:dyDescent="0.3">
      <c r="A31" s="9" t="s">
        <v>105</v>
      </c>
      <c r="B31" s="10" t="s">
        <v>44</v>
      </c>
      <c r="C31" s="10">
        <v>2022</v>
      </c>
      <c r="D31" s="4">
        <v>1780</v>
      </c>
      <c r="E31" s="2">
        <v>14.689325842696629</v>
      </c>
      <c r="F31" s="2">
        <v>0</v>
      </c>
      <c r="G31" s="2">
        <v>14.689325842696629</v>
      </c>
      <c r="H31" s="2">
        <v>0</v>
      </c>
      <c r="I31" s="3">
        <v>26147</v>
      </c>
      <c r="J31" s="11">
        <v>0</v>
      </c>
      <c r="K31" s="11">
        <v>26147</v>
      </c>
      <c r="L31" s="11">
        <v>0</v>
      </c>
      <c r="M31" s="2" t="s">
        <v>91</v>
      </c>
      <c r="N31" s="5">
        <v>2022</v>
      </c>
      <c r="O31" s="1" t="s">
        <v>12</v>
      </c>
      <c r="P31" s="1" t="s">
        <v>9</v>
      </c>
      <c r="Q31" s="1" t="s">
        <v>10</v>
      </c>
    </row>
    <row r="32" spans="1:17" x14ac:dyDescent="0.3">
      <c r="A32" s="10" t="s">
        <v>106</v>
      </c>
      <c r="B32" s="10" t="s">
        <v>45</v>
      </c>
      <c r="C32" s="10">
        <v>2022</v>
      </c>
      <c r="D32" s="4">
        <v>1587</v>
      </c>
      <c r="E32" s="2">
        <v>8.0698046628859483</v>
      </c>
      <c r="F32" s="2">
        <v>7.93</v>
      </c>
      <c r="G32" s="2">
        <v>0.12980466288594833</v>
      </c>
      <c r="H32" s="2">
        <v>0.01</v>
      </c>
      <c r="I32" s="3">
        <v>12818</v>
      </c>
      <c r="J32" s="11">
        <v>12589</v>
      </c>
      <c r="K32" s="11">
        <v>206</v>
      </c>
      <c r="L32" s="11">
        <v>23</v>
      </c>
      <c r="M32" s="2" t="s">
        <v>7</v>
      </c>
      <c r="N32" s="5">
        <v>2018</v>
      </c>
      <c r="O32" s="1" t="s">
        <v>12</v>
      </c>
      <c r="P32" s="1" t="s">
        <v>27</v>
      </c>
      <c r="Q32" s="1" t="s">
        <v>134</v>
      </c>
    </row>
    <row r="33" spans="1:17" x14ac:dyDescent="0.3">
      <c r="A33" s="10" t="s">
        <v>106</v>
      </c>
      <c r="B33" s="10" t="s">
        <v>47</v>
      </c>
      <c r="C33" s="10">
        <v>2022</v>
      </c>
      <c r="D33" s="4">
        <v>1587</v>
      </c>
      <c r="E33" s="2">
        <v>8.7649842470069306</v>
      </c>
      <c r="F33" s="2">
        <v>8.68</v>
      </c>
      <c r="G33" s="2">
        <v>7.4984247006931321E-2</v>
      </c>
      <c r="H33" s="2">
        <v>0.01</v>
      </c>
      <c r="I33" s="3">
        <v>13916</v>
      </c>
      <c r="J33" s="11">
        <v>13777</v>
      </c>
      <c r="K33" s="11">
        <v>119</v>
      </c>
      <c r="L33" s="11">
        <v>20</v>
      </c>
      <c r="M33" s="2" t="s">
        <v>7</v>
      </c>
      <c r="N33" s="5">
        <v>2018</v>
      </c>
      <c r="O33" s="1" t="s">
        <v>12</v>
      </c>
      <c r="P33" s="1" t="s">
        <v>27</v>
      </c>
      <c r="Q33" s="1" t="s">
        <v>134</v>
      </c>
    </row>
    <row r="34" spans="1:17" x14ac:dyDescent="0.3">
      <c r="A34" s="10" t="s">
        <v>107</v>
      </c>
      <c r="B34" s="10" t="s">
        <v>48</v>
      </c>
      <c r="C34" s="10">
        <v>2022</v>
      </c>
      <c r="D34" s="6">
        <v>1587</v>
      </c>
      <c r="E34" s="2">
        <v>16.059804662885949</v>
      </c>
      <c r="F34" s="2">
        <v>14.96</v>
      </c>
      <c r="G34" s="2">
        <v>0.12980466288594833</v>
      </c>
      <c r="H34" s="2">
        <v>0.97</v>
      </c>
      <c r="I34" s="3">
        <v>30073</v>
      </c>
      <c r="J34" s="11">
        <v>28335</v>
      </c>
      <c r="K34" s="11">
        <v>206</v>
      </c>
      <c r="L34" s="11">
        <v>1532</v>
      </c>
      <c r="M34" s="2" t="s">
        <v>7</v>
      </c>
      <c r="N34" s="5">
        <v>2012</v>
      </c>
      <c r="O34" s="1" t="s">
        <v>12</v>
      </c>
      <c r="P34" s="2" t="s">
        <v>27</v>
      </c>
      <c r="Q34" s="2" t="s">
        <v>28</v>
      </c>
    </row>
    <row r="35" spans="1:17" x14ac:dyDescent="0.3">
      <c r="A35" s="10" t="s">
        <v>107</v>
      </c>
      <c r="B35" s="10" t="s">
        <v>50</v>
      </c>
      <c r="C35" s="10">
        <v>2022</v>
      </c>
      <c r="D35" s="6">
        <v>1587</v>
      </c>
      <c r="E35" s="2">
        <v>18.540812854442343</v>
      </c>
      <c r="F35" s="2">
        <v>17.25</v>
      </c>
      <c r="G35" s="2">
        <v>0.33081285444234404</v>
      </c>
      <c r="H35" s="2">
        <v>0.96</v>
      </c>
      <c r="I35" s="3">
        <v>34722</v>
      </c>
      <c r="J35" s="11">
        <v>32674</v>
      </c>
      <c r="K35" s="11">
        <v>525</v>
      </c>
      <c r="L35" s="11">
        <v>1523</v>
      </c>
      <c r="M35" s="2" t="s">
        <v>7</v>
      </c>
      <c r="N35" s="5">
        <v>2012</v>
      </c>
      <c r="O35" s="1" t="s">
        <v>12</v>
      </c>
      <c r="P35" s="2" t="s">
        <v>27</v>
      </c>
      <c r="Q35" s="2" t="s">
        <v>28</v>
      </c>
    </row>
    <row r="36" spans="1:17" x14ac:dyDescent="0.3">
      <c r="A36" s="10" t="s">
        <v>108</v>
      </c>
      <c r="B36" s="10" t="s">
        <v>131</v>
      </c>
      <c r="C36" s="10">
        <v>2022</v>
      </c>
      <c r="D36" s="4">
        <v>1780</v>
      </c>
      <c r="E36" s="2">
        <v>7.4422471910112353</v>
      </c>
      <c r="F36" s="2">
        <v>7.39</v>
      </c>
      <c r="G36" s="2">
        <v>5.2247191011235955E-2</v>
      </c>
      <c r="H36" s="2">
        <v>0</v>
      </c>
      <c r="I36" s="3">
        <v>13248</v>
      </c>
      <c r="J36" s="11">
        <v>13155</v>
      </c>
      <c r="K36" s="11">
        <v>93</v>
      </c>
      <c r="L36" s="11">
        <v>0</v>
      </c>
      <c r="M36" s="2" t="s">
        <v>7</v>
      </c>
      <c r="N36" s="5">
        <v>2018</v>
      </c>
      <c r="O36" s="1" t="s">
        <v>12</v>
      </c>
      <c r="P36" s="1" t="s">
        <v>9</v>
      </c>
      <c r="Q36" s="1" t="s">
        <v>46</v>
      </c>
    </row>
    <row r="37" spans="1:17" x14ac:dyDescent="0.3">
      <c r="A37" s="10" t="s">
        <v>108</v>
      </c>
      <c r="B37" s="10" t="s">
        <v>52</v>
      </c>
      <c r="C37" s="10">
        <v>2022</v>
      </c>
      <c r="D37" s="4">
        <v>1905</v>
      </c>
      <c r="E37" s="2">
        <v>2.25</v>
      </c>
      <c r="F37" s="2">
        <v>2.25</v>
      </c>
      <c r="G37" s="2">
        <v>0</v>
      </c>
      <c r="H37" s="2">
        <v>0</v>
      </c>
      <c r="I37" s="3">
        <v>4371</v>
      </c>
      <c r="J37" s="11">
        <v>4367</v>
      </c>
      <c r="K37" s="11"/>
      <c r="L37" s="11">
        <v>4</v>
      </c>
      <c r="M37" s="2" t="s">
        <v>7</v>
      </c>
      <c r="N37" s="5">
        <v>2018</v>
      </c>
      <c r="O37" s="1" t="s">
        <v>8</v>
      </c>
      <c r="P37" s="1" t="s">
        <v>27</v>
      </c>
      <c r="Q37" s="1" t="s">
        <v>53</v>
      </c>
    </row>
    <row r="38" spans="1:17" x14ac:dyDescent="0.3">
      <c r="A38" s="10" t="s">
        <v>108</v>
      </c>
      <c r="B38" s="10" t="s">
        <v>54</v>
      </c>
      <c r="C38" s="10">
        <v>2022</v>
      </c>
      <c r="D38" s="4">
        <v>1905</v>
      </c>
      <c r="E38" s="2">
        <v>13.28</v>
      </c>
      <c r="F38" s="2">
        <v>13.27</v>
      </c>
      <c r="G38" s="2">
        <v>0</v>
      </c>
      <c r="H38" s="2">
        <v>0.01</v>
      </c>
      <c r="I38" s="3">
        <v>25923</v>
      </c>
      <c r="J38" s="11">
        <v>25904</v>
      </c>
      <c r="K38" s="11"/>
      <c r="L38" s="11">
        <v>19</v>
      </c>
      <c r="M38" s="2" t="s">
        <v>7</v>
      </c>
      <c r="N38" s="5">
        <v>2017</v>
      </c>
      <c r="O38" s="1" t="s">
        <v>8</v>
      </c>
      <c r="P38" s="1" t="s">
        <v>27</v>
      </c>
      <c r="Q38" s="1" t="s">
        <v>53</v>
      </c>
    </row>
    <row r="39" spans="1:17" x14ac:dyDescent="0.3">
      <c r="A39" s="10" t="s">
        <v>108</v>
      </c>
      <c r="B39" s="10" t="s">
        <v>55</v>
      </c>
      <c r="C39" s="10">
        <v>2022</v>
      </c>
      <c r="D39" s="4">
        <v>1905</v>
      </c>
      <c r="E39" s="2">
        <v>11.4</v>
      </c>
      <c r="F39" s="2">
        <v>11.34</v>
      </c>
      <c r="G39" s="2">
        <v>0</v>
      </c>
      <c r="H39" s="2">
        <v>0.06</v>
      </c>
      <c r="I39" s="3">
        <v>22784</v>
      </c>
      <c r="J39" s="11">
        <v>22673</v>
      </c>
      <c r="K39" s="11"/>
      <c r="L39" s="11">
        <v>111</v>
      </c>
      <c r="M39" s="2" t="s">
        <v>7</v>
      </c>
      <c r="N39" s="5">
        <v>2017</v>
      </c>
      <c r="O39" s="1" t="s">
        <v>8</v>
      </c>
      <c r="P39" s="1" t="s">
        <v>27</v>
      </c>
      <c r="Q39" s="1" t="s">
        <v>53</v>
      </c>
    </row>
    <row r="40" spans="1:17" x14ac:dyDescent="0.3">
      <c r="A40" s="10" t="s">
        <v>108</v>
      </c>
      <c r="B40" s="10" t="s">
        <v>56</v>
      </c>
      <c r="C40" s="10">
        <v>2022</v>
      </c>
      <c r="D40" s="4">
        <v>1905</v>
      </c>
      <c r="E40" s="2">
        <v>13.739999999999998</v>
      </c>
      <c r="F40" s="2">
        <v>13.7</v>
      </c>
      <c r="G40" s="2">
        <v>0</v>
      </c>
      <c r="H40" s="2">
        <v>0.04</v>
      </c>
      <c r="I40" s="3">
        <v>26302</v>
      </c>
      <c r="J40" s="11">
        <v>26225</v>
      </c>
      <c r="K40" s="11"/>
      <c r="L40" s="11">
        <v>77</v>
      </c>
      <c r="M40" s="2" t="s">
        <v>7</v>
      </c>
      <c r="N40" s="5">
        <v>2016</v>
      </c>
      <c r="O40" s="1" t="s">
        <v>8</v>
      </c>
      <c r="P40" s="1" t="s">
        <v>27</v>
      </c>
      <c r="Q40" s="1" t="s">
        <v>53</v>
      </c>
    </row>
    <row r="41" spans="1:17" x14ac:dyDescent="0.3">
      <c r="A41" s="10" t="s">
        <v>108</v>
      </c>
      <c r="B41" s="10" t="s">
        <v>57</v>
      </c>
      <c r="C41" s="10">
        <v>2022</v>
      </c>
      <c r="D41" s="4">
        <v>1905</v>
      </c>
      <c r="E41" s="2">
        <v>14.020000000000001</v>
      </c>
      <c r="F41" s="2">
        <v>13.96</v>
      </c>
      <c r="G41" s="2">
        <v>0</v>
      </c>
      <c r="H41" s="2">
        <v>0.06</v>
      </c>
      <c r="I41" s="3">
        <v>26967</v>
      </c>
      <c r="J41" s="11">
        <v>26852</v>
      </c>
      <c r="K41" s="11"/>
      <c r="L41" s="11">
        <v>115</v>
      </c>
      <c r="M41" s="2" t="s">
        <v>7</v>
      </c>
      <c r="N41" s="5">
        <v>2016</v>
      </c>
      <c r="O41" s="1" t="s">
        <v>8</v>
      </c>
      <c r="P41" s="1" t="s">
        <v>27</v>
      </c>
      <c r="Q41" s="1" t="s">
        <v>53</v>
      </c>
    </row>
    <row r="42" spans="1:17" x14ac:dyDescent="0.3">
      <c r="A42" s="10" t="s">
        <v>108</v>
      </c>
      <c r="B42" s="10" t="s">
        <v>58</v>
      </c>
      <c r="C42" s="10">
        <v>2022</v>
      </c>
      <c r="D42" s="4">
        <v>1905</v>
      </c>
      <c r="E42" s="2">
        <v>6.95</v>
      </c>
      <c r="F42" s="2">
        <v>6.94</v>
      </c>
      <c r="G42" s="2">
        <v>0</v>
      </c>
      <c r="H42" s="2">
        <v>0.01</v>
      </c>
      <c r="I42" s="3">
        <v>13755</v>
      </c>
      <c r="J42" s="11">
        <v>13732</v>
      </c>
      <c r="K42" s="11"/>
      <c r="L42" s="11">
        <v>23</v>
      </c>
      <c r="M42" s="2" t="s">
        <v>7</v>
      </c>
      <c r="N42" s="5">
        <v>2016</v>
      </c>
      <c r="O42" s="1" t="s">
        <v>8</v>
      </c>
      <c r="P42" s="1" t="s">
        <v>27</v>
      </c>
      <c r="Q42" s="1" t="s">
        <v>53</v>
      </c>
    </row>
    <row r="43" spans="1:17" x14ac:dyDescent="0.3">
      <c r="A43" s="10" t="s">
        <v>109</v>
      </c>
      <c r="B43" s="10" t="s">
        <v>59</v>
      </c>
      <c r="C43" s="10">
        <v>2022</v>
      </c>
      <c r="D43" s="4">
        <v>1905</v>
      </c>
      <c r="E43" s="2">
        <v>7.21</v>
      </c>
      <c r="F43" s="2">
        <v>6.91</v>
      </c>
      <c r="G43" s="2">
        <v>0</v>
      </c>
      <c r="H43" s="2">
        <v>0.3</v>
      </c>
      <c r="I43" s="3">
        <v>13740</v>
      </c>
      <c r="J43" s="11">
        <v>13164</v>
      </c>
      <c r="K43" s="11">
        <v>0</v>
      </c>
      <c r="L43" s="11">
        <v>576</v>
      </c>
      <c r="M43" s="2" t="s">
        <v>7</v>
      </c>
      <c r="N43" s="5">
        <v>2018</v>
      </c>
      <c r="O43" s="1" t="s">
        <v>8</v>
      </c>
      <c r="P43" s="1" t="s">
        <v>9</v>
      </c>
      <c r="Q43" s="1" t="s">
        <v>10</v>
      </c>
    </row>
    <row r="44" spans="1:17" x14ac:dyDescent="0.3">
      <c r="A44" s="10" t="s">
        <v>109</v>
      </c>
      <c r="B44" s="10" t="s">
        <v>60</v>
      </c>
      <c r="C44" s="10">
        <v>2022</v>
      </c>
      <c r="D44" s="4">
        <v>1905</v>
      </c>
      <c r="E44" s="2">
        <v>3.7622572178477691</v>
      </c>
      <c r="F44" s="2">
        <v>3.3</v>
      </c>
      <c r="G44" s="2">
        <v>0.34225721784776902</v>
      </c>
      <c r="H44" s="2">
        <v>0.12</v>
      </c>
      <c r="I44" s="3">
        <v>7176</v>
      </c>
      <c r="J44" s="11">
        <v>6291</v>
      </c>
      <c r="K44" s="11">
        <v>652</v>
      </c>
      <c r="L44" s="11">
        <v>233</v>
      </c>
      <c r="M44" s="2" t="s">
        <v>7</v>
      </c>
      <c r="N44" s="5" t="s">
        <v>61</v>
      </c>
      <c r="O44" s="1" t="s">
        <v>8</v>
      </c>
      <c r="P44" s="1" t="s">
        <v>9</v>
      </c>
      <c r="Q44" s="1" t="s">
        <v>10</v>
      </c>
    </row>
    <row r="45" spans="1:17" x14ac:dyDescent="0.3">
      <c r="A45" s="10" t="s">
        <v>109</v>
      </c>
      <c r="B45" s="10" t="s">
        <v>130</v>
      </c>
      <c r="C45" s="10">
        <v>2022</v>
      </c>
      <c r="D45" s="4">
        <v>1780</v>
      </c>
      <c r="E45" s="2">
        <v>10.665393258426967</v>
      </c>
      <c r="F45" s="2">
        <v>10.44</v>
      </c>
      <c r="G45" s="2">
        <v>8.5393258426966295E-2</v>
      </c>
      <c r="H45" s="2">
        <v>0.14000000000000001</v>
      </c>
      <c r="I45" s="3">
        <v>18959</v>
      </c>
      <c r="J45" s="11">
        <v>18553</v>
      </c>
      <c r="K45" s="11">
        <v>152</v>
      </c>
      <c r="L45" s="11">
        <v>254</v>
      </c>
      <c r="M45" s="2" t="s">
        <v>7</v>
      </c>
      <c r="N45" s="5">
        <v>2020</v>
      </c>
      <c r="O45" s="1" t="s">
        <v>12</v>
      </c>
      <c r="P45" s="1" t="s">
        <v>27</v>
      </c>
      <c r="Q45" s="1" t="s">
        <v>53</v>
      </c>
    </row>
    <row r="46" spans="1:17" x14ac:dyDescent="0.3">
      <c r="A46" s="10" t="s">
        <v>109</v>
      </c>
      <c r="B46" s="10" t="s">
        <v>63</v>
      </c>
      <c r="C46" s="10">
        <v>2022</v>
      </c>
      <c r="D46" s="4">
        <v>1780</v>
      </c>
      <c r="E46" s="2">
        <v>14.611910112359551</v>
      </c>
      <c r="F46" s="2">
        <v>14.18</v>
      </c>
      <c r="G46" s="2">
        <v>0.22191011235955055</v>
      </c>
      <c r="H46" s="2">
        <v>0.21</v>
      </c>
      <c r="I46" s="3">
        <v>25720</v>
      </c>
      <c r="J46" s="11">
        <v>24956</v>
      </c>
      <c r="K46" s="11">
        <v>395</v>
      </c>
      <c r="L46" s="11">
        <v>369</v>
      </c>
      <c r="M46" s="2" t="s">
        <v>7</v>
      </c>
      <c r="N46" s="5">
        <v>2020</v>
      </c>
      <c r="O46" s="1" t="s">
        <v>12</v>
      </c>
      <c r="P46" s="1" t="s">
        <v>27</v>
      </c>
      <c r="Q46" s="1" t="s">
        <v>53</v>
      </c>
    </row>
    <row r="47" spans="1:17" x14ac:dyDescent="0.3">
      <c r="A47" s="10" t="s">
        <v>109</v>
      </c>
      <c r="B47" s="10" t="s">
        <v>64</v>
      </c>
      <c r="C47" s="10">
        <v>2022</v>
      </c>
      <c r="D47" s="4">
        <v>1780</v>
      </c>
      <c r="E47" s="2">
        <v>13.645168539325843</v>
      </c>
      <c r="F47" s="2">
        <v>13.57</v>
      </c>
      <c r="G47" s="2">
        <v>6.5168539325842698E-2</v>
      </c>
      <c r="H47" s="2">
        <v>0.01</v>
      </c>
      <c r="I47" s="3">
        <v>24277</v>
      </c>
      <c r="J47" s="11">
        <v>24149</v>
      </c>
      <c r="K47" s="11">
        <v>116</v>
      </c>
      <c r="L47" s="11">
        <v>12</v>
      </c>
      <c r="M47" s="2" t="s">
        <v>7</v>
      </c>
      <c r="N47" s="5">
        <v>2020</v>
      </c>
      <c r="O47" s="1" t="s">
        <v>12</v>
      </c>
      <c r="P47" s="1" t="s">
        <v>27</v>
      </c>
      <c r="Q47" s="1" t="s">
        <v>53</v>
      </c>
    </row>
    <row r="48" spans="1:17" x14ac:dyDescent="0.3">
      <c r="A48" s="10" t="s">
        <v>109</v>
      </c>
      <c r="B48" s="10" t="s">
        <v>65</v>
      </c>
      <c r="C48" s="10">
        <v>2022</v>
      </c>
      <c r="D48" s="7">
        <v>1838</v>
      </c>
      <c r="E48" s="2">
        <v>13.123090315560392</v>
      </c>
      <c r="F48" s="2">
        <v>12.43</v>
      </c>
      <c r="G48" s="2">
        <v>0.64309031556039176</v>
      </c>
      <c r="H48" s="2">
        <v>0.05</v>
      </c>
      <c r="I48" s="3">
        <v>24115</v>
      </c>
      <c r="J48" s="11">
        <v>22841</v>
      </c>
      <c r="K48" s="11">
        <v>1182</v>
      </c>
      <c r="L48" s="11">
        <v>92</v>
      </c>
      <c r="M48" s="2" t="s">
        <v>7</v>
      </c>
      <c r="N48" s="5">
        <v>2021</v>
      </c>
      <c r="O48" s="1" t="s">
        <v>12</v>
      </c>
      <c r="P48" s="1" t="s">
        <v>27</v>
      </c>
      <c r="Q48" s="1" t="s">
        <v>34</v>
      </c>
    </row>
    <row r="49" spans="1:17" x14ac:dyDescent="0.3">
      <c r="A49" s="10" t="s">
        <v>109</v>
      </c>
      <c r="B49" s="10" t="s">
        <v>66</v>
      </c>
      <c r="C49" s="10">
        <v>2022</v>
      </c>
      <c r="D49" s="7">
        <v>1838</v>
      </c>
      <c r="E49" s="2">
        <v>12.713275299238303</v>
      </c>
      <c r="F49" s="2">
        <v>11.94</v>
      </c>
      <c r="G49" s="2">
        <v>0.71327529923830246</v>
      </c>
      <c r="H49" s="2">
        <v>0.06</v>
      </c>
      <c r="I49" s="3">
        <v>23370</v>
      </c>
      <c r="J49" s="11">
        <v>21952</v>
      </c>
      <c r="K49" s="11">
        <v>1311</v>
      </c>
      <c r="L49" s="11">
        <v>107</v>
      </c>
      <c r="M49" s="2" t="s">
        <v>7</v>
      </c>
      <c r="N49" s="5">
        <v>2021</v>
      </c>
      <c r="O49" s="1" t="s">
        <v>12</v>
      </c>
      <c r="P49" s="1" t="s">
        <v>27</v>
      </c>
      <c r="Q49" s="1" t="s">
        <v>34</v>
      </c>
    </row>
    <row r="50" spans="1:17" x14ac:dyDescent="0.3">
      <c r="A50" s="10" t="s">
        <v>110</v>
      </c>
      <c r="B50" s="10" t="s">
        <v>67</v>
      </c>
      <c r="C50" s="10">
        <v>2022</v>
      </c>
      <c r="D50" s="4">
        <v>1684</v>
      </c>
      <c r="E50" s="2">
        <v>10.235581947743468</v>
      </c>
      <c r="F50" s="2">
        <v>9.99</v>
      </c>
      <c r="G50" s="2">
        <v>0.15558194774346792</v>
      </c>
      <c r="H50" s="2">
        <v>0.09</v>
      </c>
      <c r="I50" s="3">
        <v>17244</v>
      </c>
      <c r="J50" s="11">
        <v>16836</v>
      </c>
      <c r="K50" s="11">
        <v>262</v>
      </c>
      <c r="L50" s="11">
        <v>146</v>
      </c>
      <c r="M50" s="2" t="s">
        <v>7</v>
      </c>
      <c r="N50" s="5">
        <v>2018</v>
      </c>
      <c r="O50" s="1" t="s">
        <v>12</v>
      </c>
      <c r="P50" s="1" t="s">
        <v>9</v>
      </c>
      <c r="Q50" s="1" t="s">
        <v>49</v>
      </c>
    </row>
    <row r="51" spans="1:17" x14ac:dyDescent="0.3">
      <c r="A51" s="10" t="s">
        <v>110</v>
      </c>
      <c r="B51" s="10" t="s">
        <v>68</v>
      </c>
      <c r="C51" s="10">
        <v>2022</v>
      </c>
      <c r="D51" s="4">
        <v>1684</v>
      </c>
      <c r="E51" s="2">
        <v>13.538859857482185</v>
      </c>
      <c r="F51" s="2">
        <v>13.27</v>
      </c>
      <c r="G51" s="2">
        <v>0.12885985748218529</v>
      </c>
      <c r="H51" s="2">
        <v>0.14000000000000001</v>
      </c>
      <c r="I51" s="3">
        <v>22805</v>
      </c>
      <c r="J51" s="11">
        <v>22351</v>
      </c>
      <c r="K51" s="11">
        <v>217</v>
      </c>
      <c r="L51" s="11">
        <v>237</v>
      </c>
      <c r="M51" s="2" t="s">
        <v>7</v>
      </c>
      <c r="N51" s="5">
        <v>2018</v>
      </c>
      <c r="O51" s="1" t="s">
        <v>12</v>
      </c>
      <c r="P51" s="1" t="s">
        <v>9</v>
      </c>
      <c r="Q51" s="1" t="s">
        <v>49</v>
      </c>
    </row>
    <row r="52" spans="1:17" x14ac:dyDescent="0.3">
      <c r="A52" s="10" t="s">
        <v>110</v>
      </c>
      <c r="B52" s="10" t="s">
        <v>69</v>
      </c>
      <c r="C52" s="10">
        <v>2022</v>
      </c>
      <c r="D52" s="4">
        <v>1684</v>
      </c>
      <c r="E52" s="2">
        <v>14.805914489311162</v>
      </c>
      <c r="F52" s="2">
        <v>14.54</v>
      </c>
      <c r="G52" s="2">
        <v>6.5914489311163893E-2</v>
      </c>
      <c r="H52" s="2">
        <v>0.2</v>
      </c>
      <c r="I52" s="3">
        <v>24934</v>
      </c>
      <c r="J52" s="11">
        <v>24478</v>
      </c>
      <c r="K52" s="11">
        <v>111</v>
      </c>
      <c r="L52" s="11">
        <v>345</v>
      </c>
      <c r="M52" s="2" t="s">
        <v>7</v>
      </c>
      <c r="N52" s="5">
        <v>2018</v>
      </c>
      <c r="O52" s="1" t="s">
        <v>12</v>
      </c>
      <c r="P52" s="1" t="s">
        <v>9</v>
      </c>
      <c r="Q52" s="1" t="s">
        <v>49</v>
      </c>
    </row>
    <row r="53" spans="1:17" x14ac:dyDescent="0.3">
      <c r="A53" s="10" t="s">
        <v>110</v>
      </c>
      <c r="B53" s="10" t="s">
        <v>70</v>
      </c>
      <c r="C53" s="10">
        <v>2022</v>
      </c>
      <c r="D53" s="4">
        <v>1262</v>
      </c>
      <c r="E53" s="2">
        <v>12.261236133122029</v>
      </c>
      <c r="F53" s="2">
        <v>11.89</v>
      </c>
      <c r="G53" s="2">
        <v>0.12123613312202852</v>
      </c>
      <c r="H53" s="2">
        <v>0.25</v>
      </c>
      <c r="I53" s="3">
        <v>15472</v>
      </c>
      <c r="J53" s="11">
        <v>15004</v>
      </c>
      <c r="K53" s="11">
        <v>153</v>
      </c>
      <c r="L53" s="11">
        <v>315</v>
      </c>
      <c r="M53" s="2" t="s">
        <v>7</v>
      </c>
      <c r="N53" s="5">
        <v>2018</v>
      </c>
      <c r="O53" s="1" t="s">
        <v>12</v>
      </c>
      <c r="P53" s="1" t="s">
        <v>9</v>
      </c>
      <c r="Q53" s="1" t="s">
        <v>49</v>
      </c>
    </row>
    <row r="54" spans="1:17" x14ac:dyDescent="0.3">
      <c r="A54" s="10" t="s">
        <v>110</v>
      </c>
      <c r="B54" s="10" t="s">
        <v>71</v>
      </c>
      <c r="C54" s="10">
        <v>2022</v>
      </c>
      <c r="D54" s="4">
        <v>1780.2</v>
      </c>
      <c r="E54" s="2">
        <v>15</v>
      </c>
      <c r="F54" s="2">
        <v>14.81</v>
      </c>
      <c r="G54" s="2">
        <v>0</v>
      </c>
      <c r="H54" s="2">
        <v>0.19</v>
      </c>
      <c r="I54" s="3">
        <v>26703</v>
      </c>
      <c r="J54" s="11">
        <v>26364</v>
      </c>
      <c r="K54" s="11"/>
      <c r="L54" s="11">
        <v>339</v>
      </c>
      <c r="M54" s="2" t="s">
        <v>7</v>
      </c>
      <c r="N54" s="5">
        <v>2020</v>
      </c>
      <c r="O54" s="1" t="s">
        <v>12</v>
      </c>
      <c r="P54" s="1" t="s">
        <v>9</v>
      </c>
      <c r="Q54" s="1" t="s">
        <v>46</v>
      </c>
    </row>
    <row r="55" spans="1:17" x14ac:dyDescent="0.3">
      <c r="A55" s="10" t="s">
        <v>110</v>
      </c>
      <c r="B55" s="10" t="s">
        <v>72</v>
      </c>
      <c r="C55" s="10">
        <v>2022</v>
      </c>
      <c r="D55" s="4">
        <v>1780.2</v>
      </c>
      <c r="E55" s="2">
        <v>14.99</v>
      </c>
      <c r="F55" s="2">
        <v>14.81</v>
      </c>
      <c r="G55" s="2">
        <v>0</v>
      </c>
      <c r="H55" s="2">
        <v>0.18</v>
      </c>
      <c r="I55" s="3">
        <v>26688</v>
      </c>
      <c r="J55" s="11">
        <v>26368</v>
      </c>
      <c r="K55" s="11"/>
      <c r="L55" s="11">
        <v>320</v>
      </c>
      <c r="M55" s="2" t="s">
        <v>7</v>
      </c>
      <c r="N55" s="5">
        <v>2020</v>
      </c>
      <c r="O55" s="1" t="s">
        <v>12</v>
      </c>
      <c r="P55" s="1" t="s">
        <v>9</v>
      </c>
      <c r="Q55" s="1" t="s">
        <v>46</v>
      </c>
    </row>
    <row r="56" spans="1:17" x14ac:dyDescent="0.3">
      <c r="A56" s="10" t="s">
        <v>110</v>
      </c>
      <c r="B56" s="10" t="s">
        <v>73</v>
      </c>
      <c r="C56" s="10">
        <v>2022</v>
      </c>
      <c r="D56" s="4">
        <v>1779.3333333333333</v>
      </c>
      <c r="E56" s="2">
        <v>14.988823529411764</v>
      </c>
      <c r="F56" s="2">
        <v>13.54</v>
      </c>
      <c r="G56" s="2">
        <v>1.0588235294117647</v>
      </c>
      <c r="H56" s="2">
        <v>0.39</v>
      </c>
      <c r="I56" s="3">
        <v>26690</v>
      </c>
      <c r="J56" s="11">
        <v>24106</v>
      </c>
      <c r="K56" s="11">
        <v>1884</v>
      </c>
      <c r="L56" s="11">
        <v>700</v>
      </c>
      <c r="M56" s="2" t="s">
        <v>7</v>
      </c>
      <c r="N56" s="5">
        <v>2020</v>
      </c>
      <c r="O56" s="1" t="s">
        <v>12</v>
      </c>
      <c r="P56" s="1" t="s">
        <v>9</v>
      </c>
      <c r="Q56" s="1" t="s">
        <v>46</v>
      </c>
    </row>
    <row r="57" spans="1:17" x14ac:dyDescent="0.3">
      <c r="A57" s="10" t="s">
        <v>110</v>
      </c>
      <c r="B57" s="10" t="s">
        <v>74</v>
      </c>
      <c r="C57" s="10">
        <v>2022</v>
      </c>
      <c r="D57" s="8">
        <v>1894</v>
      </c>
      <c r="E57" s="2">
        <v>14.970200633579726</v>
      </c>
      <c r="F57" s="2">
        <v>14.05</v>
      </c>
      <c r="G57" s="2">
        <v>0.73020063357972542</v>
      </c>
      <c r="H57" s="2">
        <v>0.19</v>
      </c>
      <c r="I57" s="3">
        <v>28343</v>
      </c>
      <c r="J57" s="11">
        <v>26609</v>
      </c>
      <c r="K57" s="11">
        <v>1383</v>
      </c>
      <c r="L57" s="11">
        <v>351</v>
      </c>
      <c r="M57" s="2" t="s">
        <v>7</v>
      </c>
      <c r="N57" s="5">
        <v>2021</v>
      </c>
      <c r="O57" s="1" t="s">
        <v>12</v>
      </c>
      <c r="P57" s="1" t="s">
        <v>9</v>
      </c>
      <c r="Q57" s="1" t="s">
        <v>49</v>
      </c>
    </row>
    <row r="58" spans="1:17" x14ac:dyDescent="0.3">
      <c r="A58" s="10" t="s">
        <v>110</v>
      </c>
      <c r="B58" s="10" t="s">
        <v>75</v>
      </c>
      <c r="C58" s="10">
        <v>2022</v>
      </c>
      <c r="D58" s="8">
        <v>1894</v>
      </c>
      <c r="E58" s="2">
        <v>4.3561562829989446</v>
      </c>
      <c r="F58" s="2">
        <v>4.17</v>
      </c>
      <c r="G58" s="2">
        <v>0.11615628299894404</v>
      </c>
      <c r="H58" s="2">
        <v>7.0000000000000007E-2</v>
      </c>
      <c r="I58" s="3">
        <v>8256</v>
      </c>
      <c r="J58" s="11">
        <v>7897</v>
      </c>
      <c r="K58" s="11">
        <v>220</v>
      </c>
      <c r="L58" s="11">
        <v>139</v>
      </c>
      <c r="M58" s="2" t="s">
        <v>7</v>
      </c>
      <c r="N58" s="5">
        <v>2021</v>
      </c>
      <c r="O58" s="1" t="s">
        <v>12</v>
      </c>
      <c r="P58" s="1" t="s">
        <v>9</v>
      </c>
      <c r="Q58" s="1" t="s">
        <v>49</v>
      </c>
    </row>
    <row r="59" spans="1:17" x14ac:dyDescent="0.3">
      <c r="A59" s="10" t="s">
        <v>110</v>
      </c>
      <c r="B59" s="10" t="s">
        <v>76</v>
      </c>
      <c r="C59" s="10">
        <v>2022</v>
      </c>
      <c r="D59" s="8">
        <v>1894</v>
      </c>
      <c r="E59" s="2">
        <v>7.8544561774023238</v>
      </c>
      <c r="F59" s="2">
        <v>7.57</v>
      </c>
      <c r="G59" s="2">
        <v>0.24445617740232312</v>
      </c>
      <c r="H59" s="2">
        <v>0.04</v>
      </c>
      <c r="I59" s="3">
        <v>14869</v>
      </c>
      <c r="J59" s="11">
        <v>14333</v>
      </c>
      <c r="K59" s="11">
        <v>463</v>
      </c>
      <c r="L59" s="11">
        <v>73</v>
      </c>
      <c r="M59" s="2" t="s">
        <v>7</v>
      </c>
      <c r="N59" s="5">
        <v>2021</v>
      </c>
      <c r="O59" s="1" t="s">
        <v>12</v>
      </c>
      <c r="P59" s="1" t="s">
        <v>9</v>
      </c>
      <c r="Q59" s="1" t="s">
        <v>49</v>
      </c>
    </row>
    <row r="60" spans="1:17" x14ac:dyDescent="0.3">
      <c r="A60" s="10" t="s">
        <v>110</v>
      </c>
      <c r="B60" s="10" t="s">
        <v>77</v>
      </c>
      <c r="C60" s="10">
        <v>2022</v>
      </c>
      <c r="D60" s="8">
        <v>1905</v>
      </c>
      <c r="E60" s="2">
        <v>13.086640419947505</v>
      </c>
      <c r="F60" s="2">
        <v>11.76</v>
      </c>
      <c r="G60" s="2">
        <v>0.87664041994750652</v>
      </c>
      <c r="H60" s="2">
        <v>0.45</v>
      </c>
      <c r="I60" s="3">
        <v>24926</v>
      </c>
      <c r="J60" s="11">
        <v>22407</v>
      </c>
      <c r="K60" s="11">
        <v>1670</v>
      </c>
      <c r="L60" s="11">
        <v>849</v>
      </c>
      <c r="M60" s="2" t="s">
        <v>7</v>
      </c>
      <c r="N60" s="5">
        <v>2021</v>
      </c>
      <c r="O60" s="1" t="s">
        <v>12</v>
      </c>
      <c r="P60" s="1" t="s">
        <v>9</v>
      </c>
      <c r="Q60" s="1" t="s">
        <v>49</v>
      </c>
    </row>
    <row r="61" spans="1:17" x14ac:dyDescent="0.3">
      <c r="A61" s="10" t="s">
        <v>111</v>
      </c>
      <c r="B61" s="10" t="s">
        <v>78</v>
      </c>
      <c r="C61" s="10">
        <v>2022</v>
      </c>
      <c r="D61" s="4">
        <v>1905</v>
      </c>
      <c r="E61" s="2">
        <v>3.3108398950131233</v>
      </c>
      <c r="F61" s="2">
        <v>2.63</v>
      </c>
      <c r="G61" s="2">
        <v>0.68083989501312336</v>
      </c>
      <c r="H61" s="2">
        <v>0</v>
      </c>
      <c r="I61" s="3">
        <v>1297</v>
      </c>
      <c r="J61" s="2"/>
      <c r="K61" s="2">
        <v>1297</v>
      </c>
      <c r="L61" s="2">
        <v>0</v>
      </c>
      <c r="M61" s="2" t="s">
        <v>7</v>
      </c>
      <c r="N61" s="5">
        <v>2022</v>
      </c>
      <c r="O61" s="1" t="s">
        <v>12</v>
      </c>
      <c r="P61" s="1" t="s">
        <v>27</v>
      </c>
      <c r="Q61" s="1" t="s">
        <v>137</v>
      </c>
    </row>
    <row r="62" spans="1:17" x14ac:dyDescent="0.3">
      <c r="A62" s="10" t="s">
        <v>135</v>
      </c>
      <c r="B62" s="10" t="s">
        <v>80</v>
      </c>
      <c r="C62" s="10">
        <v>2022</v>
      </c>
      <c r="D62" s="4">
        <v>1780</v>
      </c>
      <c r="E62" s="2">
        <v>2.5583146067415732</v>
      </c>
      <c r="F62" s="2">
        <v>0</v>
      </c>
      <c r="G62" s="2">
        <v>1.9983146067415731</v>
      </c>
      <c r="H62" s="2">
        <v>0.56000000000000005</v>
      </c>
      <c r="I62" s="3">
        <v>4557</v>
      </c>
      <c r="J62" s="2">
        <v>0</v>
      </c>
      <c r="K62" s="2">
        <v>3557</v>
      </c>
      <c r="L62" s="2">
        <v>1000</v>
      </c>
      <c r="M62" s="2" t="s">
        <v>91</v>
      </c>
      <c r="N62" s="5">
        <v>2021</v>
      </c>
      <c r="O62" s="1" t="s">
        <v>12</v>
      </c>
      <c r="P62" s="1" t="s">
        <v>27</v>
      </c>
      <c r="Q62" s="1" t="s">
        <v>53</v>
      </c>
    </row>
    <row r="63" spans="1:17" x14ac:dyDescent="0.3">
      <c r="A63" s="10" t="s">
        <v>112</v>
      </c>
      <c r="B63" s="10" t="s">
        <v>81</v>
      </c>
      <c r="C63" s="10">
        <v>2022</v>
      </c>
      <c r="D63" s="4">
        <v>1780</v>
      </c>
      <c r="E63" s="2">
        <v>14.767303370786516</v>
      </c>
      <c r="F63" s="2">
        <v>14.51</v>
      </c>
      <c r="G63" s="2">
        <v>0.25730337078651683</v>
      </c>
      <c r="H63" s="2">
        <v>0</v>
      </c>
      <c r="I63" s="3">
        <v>26289</v>
      </c>
      <c r="J63" s="2">
        <v>25831</v>
      </c>
      <c r="K63" s="2">
        <v>458</v>
      </c>
      <c r="L63" s="2"/>
      <c r="M63" s="2" t="s">
        <v>7</v>
      </c>
      <c r="N63" s="5">
        <v>2020</v>
      </c>
      <c r="O63" s="1" t="s">
        <v>12</v>
      </c>
      <c r="P63" s="1" t="s">
        <v>9</v>
      </c>
      <c r="Q63" s="1" t="s">
        <v>46</v>
      </c>
    </row>
    <row r="64" spans="1:17" x14ac:dyDescent="0.3">
      <c r="A64" s="10" t="s">
        <v>112</v>
      </c>
      <c r="B64" s="10" t="s">
        <v>82</v>
      </c>
      <c r="C64" s="10">
        <v>2022</v>
      </c>
      <c r="D64" s="4">
        <v>1780</v>
      </c>
      <c r="E64" s="2">
        <v>14.750224719101123</v>
      </c>
      <c r="F64" s="2">
        <v>14.53</v>
      </c>
      <c r="G64" s="2">
        <v>0.22022471910112359</v>
      </c>
      <c r="H64" s="2">
        <v>0</v>
      </c>
      <c r="I64" s="3">
        <v>26257</v>
      </c>
      <c r="J64" s="2">
        <v>25867</v>
      </c>
      <c r="K64" s="2">
        <v>392</v>
      </c>
      <c r="L64" s="2"/>
      <c r="M64" s="2" t="s">
        <v>7</v>
      </c>
      <c r="N64" s="5">
        <v>2020</v>
      </c>
      <c r="O64" s="1" t="s">
        <v>12</v>
      </c>
      <c r="P64" s="1" t="s">
        <v>9</v>
      </c>
      <c r="Q64" s="1" t="s">
        <v>46</v>
      </c>
    </row>
    <row r="65" spans="1:17" x14ac:dyDescent="0.3">
      <c r="A65" s="10" t="s">
        <v>112</v>
      </c>
      <c r="B65" s="10" t="s">
        <v>51</v>
      </c>
      <c r="C65" s="10">
        <v>2022</v>
      </c>
      <c r="D65" s="4">
        <v>1780</v>
      </c>
      <c r="E65" s="2">
        <v>7.2995505617977532</v>
      </c>
      <c r="F65" s="2">
        <v>6.74</v>
      </c>
      <c r="G65" s="2">
        <v>0.55955056179775275</v>
      </c>
      <c r="H65" s="2">
        <v>0</v>
      </c>
      <c r="I65" s="3">
        <v>12999</v>
      </c>
      <c r="J65" s="2">
        <v>12003</v>
      </c>
      <c r="K65" s="2">
        <v>996</v>
      </c>
      <c r="L65" s="2"/>
      <c r="M65" s="2" t="s">
        <v>7</v>
      </c>
      <c r="N65" s="5">
        <v>2021</v>
      </c>
      <c r="O65" s="1" t="s">
        <v>12</v>
      </c>
      <c r="P65" s="1" t="s">
        <v>9</v>
      </c>
      <c r="Q65" s="1" t="s">
        <v>46</v>
      </c>
    </row>
    <row r="66" spans="1:17" x14ac:dyDescent="0.3">
      <c r="A66" s="10" t="s">
        <v>112</v>
      </c>
      <c r="B66" s="10" t="s">
        <v>83</v>
      </c>
      <c r="C66" s="10">
        <v>2022</v>
      </c>
      <c r="D66" s="4">
        <v>1632</v>
      </c>
      <c r="E66" s="2">
        <v>11.609681372549019</v>
      </c>
      <c r="F66" s="2">
        <v>10.68</v>
      </c>
      <c r="G66" s="2">
        <v>0.85968137254901966</v>
      </c>
      <c r="H66" s="2">
        <v>7.0000000000000007E-2</v>
      </c>
      <c r="I66" s="3">
        <v>18922</v>
      </c>
      <c r="J66" s="2">
        <v>17410</v>
      </c>
      <c r="K66" s="2">
        <v>1403</v>
      </c>
      <c r="L66" s="2">
        <v>116</v>
      </c>
      <c r="M66" s="2" t="s">
        <v>7</v>
      </c>
      <c r="N66" s="5">
        <v>2016</v>
      </c>
      <c r="O66" s="1" t="s">
        <v>12</v>
      </c>
      <c r="P66" s="1" t="s">
        <v>27</v>
      </c>
      <c r="Q66" s="1" t="s">
        <v>134</v>
      </c>
    </row>
    <row r="67" spans="1:17" x14ac:dyDescent="0.3">
      <c r="A67" s="10" t="s">
        <v>112</v>
      </c>
      <c r="B67" s="10" t="s">
        <v>84</v>
      </c>
      <c r="C67" s="10">
        <v>2022</v>
      </c>
      <c r="D67" s="4">
        <v>1632</v>
      </c>
      <c r="E67" s="2">
        <v>15.299730392156862</v>
      </c>
      <c r="F67" s="2">
        <v>13.68</v>
      </c>
      <c r="G67" s="2">
        <v>1.4197303921568627</v>
      </c>
      <c r="H67" s="2">
        <v>0.2</v>
      </c>
      <c r="I67" s="3">
        <v>24864</v>
      </c>
      <c r="J67" s="2">
        <v>22220</v>
      </c>
      <c r="K67" s="2">
        <v>2317</v>
      </c>
      <c r="L67" s="2">
        <v>327</v>
      </c>
      <c r="M67" s="2" t="s">
        <v>7</v>
      </c>
      <c r="N67" s="5">
        <v>2016</v>
      </c>
      <c r="O67" s="1" t="s">
        <v>12</v>
      </c>
      <c r="P67" s="1" t="s">
        <v>27</v>
      </c>
      <c r="Q67" s="1" t="s">
        <v>134</v>
      </c>
    </row>
    <row r="68" spans="1:17" x14ac:dyDescent="0.3">
      <c r="A68" s="10" t="s">
        <v>112</v>
      </c>
      <c r="B68" s="10" t="s">
        <v>85</v>
      </c>
      <c r="C68" s="10">
        <v>2022</v>
      </c>
      <c r="D68" s="4">
        <v>1632</v>
      </c>
      <c r="E68" s="2">
        <v>15.293235294117647</v>
      </c>
      <c r="F68" s="2">
        <v>14.05</v>
      </c>
      <c r="G68" s="2">
        <v>0.96323529411764708</v>
      </c>
      <c r="H68" s="2">
        <v>0.28000000000000003</v>
      </c>
      <c r="I68" s="3">
        <v>24753</v>
      </c>
      <c r="J68" s="2">
        <v>22729</v>
      </c>
      <c r="K68" s="2">
        <v>1572</v>
      </c>
      <c r="L68" s="2">
        <v>452</v>
      </c>
      <c r="M68" s="2" t="s">
        <v>7</v>
      </c>
      <c r="N68" s="5">
        <v>2016</v>
      </c>
      <c r="O68" s="1" t="s">
        <v>12</v>
      </c>
      <c r="P68" s="1" t="s">
        <v>27</v>
      </c>
      <c r="Q68" s="1" t="s">
        <v>134</v>
      </c>
    </row>
    <row r="69" spans="1:17" x14ac:dyDescent="0.3">
      <c r="A69" s="10" t="s">
        <v>112</v>
      </c>
      <c r="B69" s="10" t="s">
        <v>86</v>
      </c>
      <c r="C69" s="10">
        <v>2022</v>
      </c>
      <c r="D69" s="4">
        <v>1632</v>
      </c>
      <c r="E69" s="2">
        <v>13.783112745098038</v>
      </c>
      <c r="F69" s="2">
        <v>13.37</v>
      </c>
      <c r="G69" s="2">
        <v>0.31311274509803921</v>
      </c>
      <c r="H69" s="2">
        <v>0.1</v>
      </c>
      <c r="I69" s="3">
        <v>22360</v>
      </c>
      <c r="J69" s="2">
        <v>21762</v>
      </c>
      <c r="K69" s="2">
        <v>511</v>
      </c>
      <c r="L69" s="2">
        <v>165</v>
      </c>
      <c r="M69" s="2" t="s">
        <v>7</v>
      </c>
      <c r="N69" s="5">
        <v>2016</v>
      </c>
      <c r="O69" s="1" t="s">
        <v>12</v>
      </c>
      <c r="P69" s="1" t="s">
        <v>27</v>
      </c>
      <c r="Q69" s="1" t="s">
        <v>134</v>
      </c>
    </row>
    <row r="70" spans="1:17" x14ac:dyDescent="0.3">
      <c r="A70" s="10" t="s">
        <v>112</v>
      </c>
      <c r="B70" s="10" t="s">
        <v>87</v>
      </c>
      <c r="C70" s="10">
        <v>2022</v>
      </c>
      <c r="D70" s="4">
        <v>1587</v>
      </c>
      <c r="E70" s="2">
        <v>6.4063768115942032</v>
      </c>
      <c r="F70" s="2">
        <v>6.13</v>
      </c>
      <c r="G70" s="2">
        <v>0.24637681159420291</v>
      </c>
      <c r="H70" s="2">
        <v>0.03</v>
      </c>
      <c r="I70" s="3">
        <v>10150</v>
      </c>
      <c r="J70" s="2">
        <v>9705</v>
      </c>
      <c r="K70" s="2">
        <v>391</v>
      </c>
      <c r="L70" s="2">
        <v>54</v>
      </c>
      <c r="M70" s="2" t="s">
        <v>7</v>
      </c>
      <c r="N70" s="5">
        <v>2019</v>
      </c>
      <c r="O70" s="1" t="s">
        <v>12</v>
      </c>
      <c r="P70" s="1" t="s">
        <v>27</v>
      </c>
      <c r="Q70" s="1" t="s">
        <v>134</v>
      </c>
    </row>
    <row r="71" spans="1:17" x14ac:dyDescent="0.3">
      <c r="A71" s="10" t="s">
        <v>113</v>
      </c>
      <c r="B71" s="10" t="s">
        <v>88</v>
      </c>
      <c r="C71" s="10">
        <v>2022</v>
      </c>
      <c r="D71" s="4">
        <v>1838</v>
      </c>
      <c r="E71" s="2">
        <v>15.462100108813928</v>
      </c>
      <c r="F71" s="2">
        <v>13.18</v>
      </c>
      <c r="G71" s="2">
        <v>2.0321001088139283</v>
      </c>
      <c r="H71" s="2">
        <v>0.25</v>
      </c>
      <c r="I71" s="3">
        <v>28415</v>
      </c>
      <c r="J71" s="2">
        <v>24218</v>
      </c>
      <c r="K71" s="2">
        <v>3735</v>
      </c>
      <c r="L71" s="2">
        <v>463</v>
      </c>
      <c r="M71" s="2" t="s">
        <v>7</v>
      </c>
      <c r="N71" s="5">
        <v>2021</v>
      </c>
      <c r="O71" s="1" t="s">
        <v>12</v>
      </c>
      <c r="P71" s="1" t="s">
        <v>27</v>
      </c>
      <c r="Q71" s="1" t="s">
        <v>34</v>
      </c>
    </row>
    <row r="72" spans="1:17" x14ac:dyDescent="0.3">
      <c r="A72" s="10" t="s">
        <v>113</v>
      </c>
      <c r="B72" s="10" t="s">
        <v>89</v>
      </c>
      <c r="C72" s="10">
        <v>2022</v>
      </c>
      <c r="D72" s="4">
        <v>1838</v>
      </c>
      <c r="E72" s="2">
        <v>11.379836779107725</v>
      </c>
      <c r="F72" s="2">
        <v>9.33</v>
      </c>
      <c r="G72" s="2">
        <v>1.8498367791077257</v>
      </c>
      <c r="H72" s="2">
        <v>0.2</v>
      </c>
      <c r="I72" s="3">
        <v>20843</v>
      </c>
      <c r="J72" s="2">
        <v>17147</v>
      </c>
      <c r="K72" s="2">
        <v>3400</v>
      </c>
      <c r="L72" s="2">
        <v>372</v>
      </c>
      <c r="M72" s="2" t="s">
        <v>7</v>
      </c>
      <c r="N72" s="5">
        <v>2021</v>
      </c>
      <c r="O72" s="1" t="s">
        <v>12</v>
      </c>
      <c r="P72" s="1" t="s">
        <v>27</v>
      </c>
      <c r="Q72" s="1" t="s">
        <v>34</v>
      </c>
    </row>
    <row r="73" spans="1:17" x14ac:dyDescent="0.3">
      <c r="A73" s="10" t="s">
        <v>113</v>
      </c>
      <c r="B73" s="10" t="s">
        <v>90</v>
      </c>
      <c r="C73" s="10">
        <v>2022</v>
      </c>
      <c r="D73" s="7">
        <v>1905</v>
      </c>
      <c r="E73" s="2">
        <v>11.74488188976378</v>
      </c>
      <c r="F73" s="2">
        <v>0</v>
      </c>
      <c r="G73" s="2">
        <v>11.74488188976378</v>
      </c>
      <c r="H73" s="2">
        <v>0</v>
      </c>
      <c r="I73" s="3">
        <v>22374</v>
      </c>
      <c r="J73" s="2">
        <v>0</v>
      </c>
      <c r="K73" s="2">
        <v>22374</v>
      </c>
      <c r="L73" s="2">
        <v>0</v>
      </c>
      <c r="M73" s="2" t="s">
        <v>91</v>
      </c>
      <c r="N73" s="5">
        <v>2022</v>
      </c>
      <c r="O73" s="1" t="s">
        <v>8</v>
      </c>
      <c r="P73" s="1" t="s">
        <v>27</v>
      </c>
      <c r="Q73" s="1" t="s">
        <v>53</v>
      </c>
    </row>
    <row r="74" spans="1:17" x14ac:dyDescent="0.3">
      <c r="A74" s="10" t="s">
        <v>113</v>
      </c>
      <c r="B74" s="10" t="s">
        <v>92</v>
      </c>
      <c r="C74" s="10">
        <v>2022</v>
      </c>
      <c r="D74" s="7">
        <v>1905</v>
      </c>
      <c r="E74" s="2">
        <v>14.893438320209974</v>
      </c>
      <c r="F74" s="2">
        <v>0</v>
      </c>
      <c r="G74" s="2">
        <v>14.893438320209974</v>
      </c>
      <c r="H74" s="2">
        <v>0</v>
      </c>
      <c r="I74" s="3">
        <v>28372</v>
      </c>
      <c r="J74" s="2">
        <v>0</v>
      </c>
      <c r="K74" s="2">
        <v>28372</v>
      </c>
      <c r="L74" s="2">
        <v>0</v>
      </c>
      <c r="M74" s="2" t="s">
        <v>91</v>
      </c>
      <c r="N74" s="5">
        <v>2022</v>
      </c>
      <c r="O74" s="1" t="s">
        <v>8</v>
      </c>
      <c r="P74" s="1" t="s">
        <v>27</v>
      </c>
      <c r="Q74" s="1" t="s">
        <v>53</v>
      </c>
    </row>
    <row r="75" spans="1:17" x14ac:dyDescent="0.3">
      <c r="A75" s="10" t="s">
        <v>113</v>
      </c>
      <c r="B75" s="10" t="s">
        <v>80</v>
      </c>
      <c r="C75" s="10">
        <v>2022</v>
      </c>
      <c r="D75" s="7">
        <v>1780</v>
      </c>
      <c r="E75" s="2">
        <v>10.696629213483146</v>
      </c>
      <c r="F75" s="2">
        <v>0</v>
      </c>
      <c r="G75" s="2">
        <v>10.696629213483146</v>
      </c>
      <c r="H75" s="2">
        <v>0</v>
      </c>
      <c r="I75" s="3">
        <v>19040</v>
      </c>
      <c r="J75" s="2">
        <v>0</v>
      </c>
      <c r="K75" s="2">
        <v>19040</v>
      </c>
      <c r="L75" s="2">
        <v>0</v>
      </c>
      <c r="M75" s="2" t="s">
        <v>91</v>
      </c>
      <c r="N75" s="5">
        <v>2022</v>
      </c>
      <c r="O75" s="1" t="s">
        <v>8</v>
      </c>
      <c r="P75" s="1" t="s">
        <v>27</v>
      </c>
      <c r="Q75" s="1" t="s">
        <v>53</v>
      </c>
    </row>
    <row r="76" spans="1:17" x14ac:dyDescent="0.3">
      <c r="A76" s="10" t="s">
        <v>113</v>
      </c>
      <c r="B76" s="10" t="s">
        <v>93</v>
      </c>
      <c r="C76" s="10">
        <v>2022</v>
      </c>
      <c r="D76" s="7">
        <v>1905</v>
      </c>
      <c r="E76" s="2">
        <v>14.895538057742781</v>
      </c>
      <c r="F76" s="2">
        <v>0</v>
      </c>
      <c r="G76" s="2">
        <v>14.895538057742781</v>
      </c>
      <c r="H76" s="2">
        <v>0</v>
      </c>
      <c r="I76" s="3">
        <v>28376</v>
      </c>
      <c r="J76" s="2">
        <v>0</v>
      </c>
      <c r="K76" s="2">
        <v>28376</v>
      </c>
      <c r="L76" s="2">
        <v>0</v>
      </c>
      <c r="M76" s="2" t="s">
        <v>91</v>
      </c>
      <c r="N76" s="5">
        <v>2022</v>
      </c>
      <c r="O76" s="1" t="s">
        <v>8</v>
      </c>
      <c r="P76" s="1" t="s">
        <v>9</v>
      </c>
      <c r="Q76" s="1" t="s">
        <v>133</v>
      </c>
    </row>
    <row r="77" spans="1:17" x14ac:dyDescent="0.3">
      <c r="A77" s="10" t="s">
        <v>113</v>
      </c>
      <c r="B77" s="10" t="s">
        <v>94</v>
      </c>
      <c r="C77" s="10">
        <v>2022</v>
      </c>
      <c r="D77" s="7">
        <v>1905</v>
      </c>
      <c r="E77" s="2">
        <v>14.895538057742781</v>
      </c>
      <c r="F77" s="2">
        <v>0</v>
      </c>
      <c r="G77" s="2">
        <v>14.895538057742781</v>
      </c>
      <c r="H77" s="2">
        <v>0</v>
      </c>
      <c r="I77" s="3">
        <v>28376</v>
      </c>
      <c r="J77" s="2">
        <v>0</v>
      </c>
      <c r="K77" s="2">
        <v>28376</v>
      </c>
      <c r="L77" s="2">
        <v>0</v>
      </c>
      <c r="M77" s="2" t="s">
        <v>91</v>
      </c>
      <c r="N77" s="5">
        <v>2022</v>
      </c>
      <c r="O77" s="1" t="s">
        <v>8</v>
      </c>
      <c r="P77" s="1" t="s">
        <v>9</v>
      </c>
      <c r="Q77" s="1" t="s">
        <v>133</v>
      </c>
    </row>
    <row r="78" spans="1:17" x14ac:dyDescent="0.3">
      <c r="A78" s="10" t="s">
        <v>113</v>
      </c>
      <c r="B78" s="10" t="s">
        <v>95</v>
      </c>
      <c r="C78" s="10">
        <v>2022</v>
      </c>
      <c r="D78" s="7">
        <v>1905</v>
      </c>
      <c r="E78" s="2">
        <v>14.895538057742781</v>
      </c>
      <c r="F78" s="2">
        <v>0</v>
      </c>
      <c r="G78" s="2">
        <v>14.895538057742781</v>
      </c>
      <c r="H78" s="2">
        <v>0</v>
      </c>
      <c r="I78" s="3">
        <v>28376</v>
      </c>
      <c r="J78" s="2">
        <v>0</v>
      </c>
      <c r="K78" s="2">
        <v>28376</v>
      </c>
      <c r="L78" s="2">
        <v>0</v>
      </c>
      <c r="M78" s="2" t="s">
        <v>91</v>
      </c>
      <c r="N78" s="5">
        <v>2022</v>
      </c>
      <c r="O78" s="1" t="s">
        <v>8</v>
      </c>
      <c r="P78" s="1" t="s">
        <v>9</v>
      </c>
      <c r="Q78" s="1" t="s">
        <v>133</v>
      </c>
    </row>
    <row r="79" spans="1:17" x14ac:dyDescent="0.3">
      <c r="A79" s="10" t="s">
        <v>113</v>
      </c>
      <c r="B79" s="10" t="s">
        <v>96</v>
      </c>
      <c r="C79" s="10">
        <v>2022</v>
      </c>
      <c r="D79" s="7">
        <v>1905</v>
      </c>
      <c r="E79" s="2">
        <v>12.066141732283464</v>
      </c>
      <c r="F79" s="2">
        <v>0</v>
      </c>
      <c r="G79" s="2">
        <v>12.066141732283464</v>
      </c>
      <c r="H79" s="2">
        <v>0</v>
      </c>
      <c r="I79" s="3">
        <v>22986</v>
      </c>
      <c r="J79" s="2">
        <v>0</v>
      </c>
      <c r="K79" s="2">
        <v>22986</v>
      </c>
      <c r="L79" s="2">
        <v>0</v>
      </c>
      <c r="M79" s="2" t="s">
        <v>91</v>
      </c>
      <c r="N79" s="5">
        <v>2022</v>
      </c>
      <c r="O79" s="1" t="s">
        <v>12</v>
      </c>
      <c r="P79" s="1" t="s">
        <v>27</v>
      </c>
      <c r="Q79" s="1" t="s">
        <v>136</v>
      </c>
    </row>
    <row r="80" spans="1:17" x14ac:dyDescent="0.3">
      <c r="A80" s="10" t="s">
        <v>113</v>
      </c>
      <c r="B80" s="10" t="s">
        <v>97</v>
      </c>
      <c r="C80" s="10">
        <v>2022</v>
      </c>
      <c r="D80" s="7">
        <v>1905</v>
      </c>
      <c r="E80" s="2">
        <v>16.934383202099738</v>
      </c>
      <c r="F80" s="2">
        <v>0</v>
      </c>
      <c r="G80" s="2">
        <v>16.934383202099738</v>
      </c>
      <c r="H80" s="2">
        <v>0</v>
      </c>
      <c r="I80" s="3">
        <v>32260</v>
      </c>
      <c r="J80" s="2">
        <v>0</v>
      </c>
      <c r="K80" s="2">
        <v>32260</v>
      </c>
      <c r="L80" s="2">
        <v>0</v>
      </c>
      <c r="M80" s="2" t="s">
        <v>91</v>
      </c>
      <c r="N80" s="5">
        <v>2022</v>
      </c>
      <c r="O80" s="1" t="s">
        <v>12</v>
      </c>
      <c r="P80" s="1" t="s">
        <v>27</v>
      </c>
      <c r="Q80" s="1" t="s">
        <v>136</v>
      </c>
    </row>
    <row r="81" spans="1:17" x14ac:dyDescent="0.3">
      <c r="A81" s="10" t="s">
        <v>113</v>
      </c>
      <c r="B81" s="10" t="s">
        <v>98</v>
      </c>
      <c r="C81" s="10">
        <v>2022</v>
      </c>
      <c r="D81" s="7">
        <v>1905</v>
      </c>
      <c r="E81" s="2">
        <v>7.5139107611548557</v>
      </c>
      <c r="F81" s="2">
        <v>0</v>
      </c>
      <c r="G81" s="2">
        <v>7.5139107611548557</v>
      </c>
      <c r="H81" s="2">
        <v>0</v>
      </c>
      <c r="I81" s="3">
        <v>14314</v>
      </c>
      <c r="J81" s="2">
        <v>0</v>
      </c>
      <c r="K81" s="2">
        <v>14314</v>
      </c>
      <c r="L81" s="2">
        <v>0</v>
      </c>
      <c r="M81" s="2" t="s">
        <v>91</v>
      </c>
      <c r="N81" s="5">
        <v>2022</v>
      </c>
      <c r="O81" s="1" t="s">
        <v>12</v>
      </c>
      <c r="P81" s="1" t="s">
        <v>27</v>
      </c>
      <c r="Q81" s="1" t="s">
        <v>136</v>
      </c>
    </row>
    <row r="82" spans="1:17" x14ac:dyDescent="0.3">
      <c r="A82" s="10" t="s">
        <v>113</v>
      </c>
      <c r="B82" s="10" t="s">
        <v>99</v>
      </c>
      <c r="C82" s="10">
        <v>2022</v>
      </c>
      <c r="D82" s="8">
        <v>1754</v>
      </c>
      <c r="E82" s="2">
        <v>19.72976054732041</v>
      </c>
      <c r="F82" s="2">
        <v>0</v>
      </c>
      <c r="G82" s="2">
        <v>19.72976054732041</v>
      </c>
      <c r="H82" s="2">
        <v>0</v>
      </c>
      <c r="I82" s="3">
        <v>34606</v>
      </c>
      <c r="J82" s="2">
        <v>0</v>
      </c>
      <c r="K82" s="2">
        <v>34606</v>
      </c>
      <c r="L82" s="2">
        <v>0</v>
      </c>
      <c r="M82" s="2" t="s">
        <v>91</v>
      </c>
      <c r="N82" s="5">
        <v>2022</v>
      </c>
      <c r="O82" s="1" t="s">
        <v>8</v>
      </c>
      <c r="P82" s="1" t="s">
        <v>27</v>
      </c>
      <c r="Q82" s="1" t="s">
        <v>134</v>
      </c>
    </row>
    <row r="83" spans="1:17" x14ac:dyDescent="0.3">
      <c r="A83" s="10" t="s">
        <v>113</v>
      </c>
      <c r="B83" s="10" t="s">
        <v>100</v>
      </c>
      <c r="C83" s="10">
        <v>2022</v>
      </c>
      <c r="D83" s="8">
        <v>1754</v>
      </c>
      <c r="E83" s="2">
        <v>6.7189281641961234</v>
      </c>
      <c r="F83" s="2">
        <v>0</v>
      </c>
      <c r="G83" s="2">
        <v>6.7189281641961234</v>
      </c>
      <c r="H83" s="2">
        <v>0</v>
      </c>
      <c r="I83" s="3">
        <v>11785</v>
      </c>
      <c r="J83" s="2">
        <v>0</v>
      </c>
      <c r="K83" s="2">
        <v>11785</v>
      </c>
      <c r="L83" s="2">
        <v>0</v>
      </c>
      <c r="M83" s="2" t="s">
        <v>91</v>
      </c>
      <c r="N83" s="5">
        <v>2022</v>
      </c>
      <c r="O83" s="1" t="s">
        <v>8</v>
      </c>
      <c r="P83" s="1" t="s">
        <v>27</v>
      </c>
      <c r="Q83" s="1" t="s">
        <v>134</v>
      </c>
    </row>
    <row r="84" spans="1:17" x14ac:dyDescent="0.3">
      <c r="A84" s="10" t="s">
        <v>105</v>
      </c>
      <c r="B84" s="10" t="s">
        <v>14</v>
      </c>
      <c r="C84" s="10">
        <v>2023</v>
      </c>
      <c r="D84" s="4">
        <v>2132</v>
      </c>
      <c r="E84" s="2">
        <v>14.76</v>
      </c>
      <c r="F84" s="2">
        <f>14.67+0.07</f>
        <v>14.74</v>
      </c>
      <c r="G84" s="2">
        <v>0</v>
      </c>
      <c r="H84" s="2">
        <v>1.9999999999999574E-2</v>
      </c>
      <c r="I84" s="3">
        <v>31475</v>
      </c>
      <c r="J84" s="11">
        <f>31272+151</f>
        <v>31423</v>
      </c>
      <c r="K84" s="11">
        <v>0</v>
      </c>
      <c r="L84" s="11">
        <v>52</v>
      </c>
      <c r="M84" s="2" t="s">
        <v>7</v>
      </c>
      <c r="N84" s="5">
        <v>2016</v>
      </c>
      <c r="O84" s="1" t="s">
        <v>12</v>
      </c>
      <c r="P84" s="1" t="s">
        <v>9</v>
      </c>
      <c r="Q84" s="1" t="s">
        <v>10</v>
      </c>
    </row>
    <row r="85" spans="1:17" x14ac:dyDescent="0.3">
      <c r="A85" s="10" t="s">
        <v>105</v>
      </c>
      <c r="B85" s="10" t="s">
        <v>15</v>
      </c>
      <c r="C85" s="10">
        <v>2023</v>
      </c>
      <c r="D85" s="4">
        <v>2132</v>
      </c>
      <c r="E85" s="2">
        <v>14.85</v>
      </c>
      <c r="F85" s="2">
        <f>14.73+0.1</f>
        <v>14.83</v>
      </c>
      <c r="G85" s="2">
        <v>0</v>
      </c>
      <c r="H85" s="2">
        <v>1.9999999999999574E-2</v>
      </c>
      <c r="I85" s="3">
        <v>31659</v>
      </c>
      <c r="J85" s="11">
        <f>31403+223</f>
        <v>31626</v>
      </c>
      <c r="K85" s="11">
        <v>0</v>
      </c>
      <c r="L85" s="11">
        <v>33</v>
      </c>
      <c r="M85" s="2" t="s">
        <v>7</v>
      </c>
      <c r="N85" s="5">
        <v>2017</v>
      </c>
      <c r="O85" s="1" t="s">
        <v>12</v>
      </c>
      <c r="P85" s="1" t="s">
        <v>9</v>
      </c>
      <c r="Q85" s="1" t="s">
        <v>10</v>
      </c>
    </row>
    <row r="86" spans="1:17" x14ac:dyDescent="0.3">
      <c r="A86" s="10" t="s">
        <v>105</v>
      </c>
      <c r="B86" s="10" t="s">
        <v>16</v>
      </c>
      <c r="C86" s="10">
        <v>2023</v>
      </c>
      <c r="D86" s="4">
        <v>2070</v>
      </c>
      <c r="E86" s="2">
        <v>14.99</v>
      </c>
      <c r="F86" s="2">
        <f>14.97+0.01</f>
        <v>14.98</v>
      </c>
      <c r="G86" s="2">
        <v>0</v>
      </c>
      <c r="H86" s="2">
        <v>9.9999999999997868E-3</v>
      </c>
      <c r="I86" s="3">
        <v>31036</v>
      </c>
      <c r="J86" s="11">
        <f>30998+25</f>
        <v>31023</v>
      </c>
      <c r="K86" s="11">
        <v>0</v>
      </c>
      <c r="L86" s="11">
        <v>13</v>
      </c>
      <c r="M86" s="2" t="s">
        <v>7</v>
      </c>
      <c r="N86" s="5">
        <v>2017</v>
      </c>
      <c r="O86" s="1" t="s">
        <v>12</v>
      </c>
      <c r="P86" s="1" t="s">
        <v>9</v>
      </c>
      <c r="Q86" s="1" t="s">
        <v>17</v>
      </c>
    </row>
    <row r="87" spans="1:17" x14ac:dyDescent="0.3">
      <c r="A87" s="10" t="s">
        <v>105</v>
      </c>
      <c r="B87" s="10" t="s">
        <v>18</v>
      </c>
      <c r="C87" s="10">
        <v>2023</v>
      </c>
      <c r="D87" s="4">
        <v>2070</v>
      </c>
      <c r="E87" s="2">
        <v>14.99</v>
      </c>
      <c r="F87" s="2">
        <f>14.98+0.01</f>
        <v>14.99</v>
      </c>
      <c r="G87" s="2">
        <v>0</v>
      </c>
      <c r="H87" s="2">
        <v>0</v>
      </c>
      <c r="I87" s="3">
        <v>31038</v>
      </c>
      <c r="J87" s="11">
        <f>31006+15</f>
        <v>31021</v>
      </c>
      <c r="K87" s="11">
        <v>0</v>
      </c>
      <c r="L87" s="11">
        <v>17</v>
      </c>
      <c r="M87" s="2" t="s">
        <v>7</v>
      </c>
      <c r="N87" s="5">
        <v>2017</v>
      </c>
      <c r="O87" s="1" t="s">
        <v>12</v>
      </c>
      <c r="P87" s="1" t="s">
        <v>9</v>
      </c>
      <c r="Q87" s="1" t="s">
        <v>17</v>
      </c>
    </row>
    <row r="88" spans="1:17" x14ac:dyDescent="0.3">
      <c r="A88" s="10" t="s">
        <v>105</v>
      </c>
      <c r="B88" s="10" t="s">
        <v>19</v>
      </c>
      <c r="C88" s="10">
        <v>2023</v>
      </c>
      <c r="D88" s="4">
        <v>2070</v>
      </c>
      <c r="E88" s="2">
        <v>12.8</v>
      </c>
      <c r="F88" s="2">
        <f>12.71+0.06</f>
        <v>12.770000000000001</v>
      </c>
      <c r="G88" s="2">
        <v>0</v>
      </c>
      <c r="H88" s="2">
        <v>2.9999999999999361E-2</v>
      </c>
      <c r="I88" s="3">
        <v>26486</v>
      </c>
      <c r="J88" s="11">
        <f>26310+125</f>
        <v>26435</v>
      </c>
      <c r="K88" s="11">
        <v>0</v>
      </c>
      <c r="L88" s="11">
        <v>51</v>
      </c>
      <c r="M88" s="2" t="s">
        <v>7</v>
      </c>
      <c r="N88" s="5">
        <v>2017</v>
      </c>
      <c r="O88" s="1" t="s">
        <v>12</v>
      </c>
      <c r="P88" s="1" t="s">
        <v>9</v>
      </c>
      <c r="Q88" s="1" t="s">
        <v>17</v>
      </c>
    </row>
    <row r="89" spans="1:17" x14ac:dyDescent="0.3">
      <c r="A89" s="10" t="s">
        <v>105</v>
      </c>
      <c r="B89" s="10" t="s">
        <v>20</v>
      </c>
      <c r="C89" s="10">
        <v>2023</v>
      </c>
      <c r="D89" s="4">
        <v>2132</v>
      </c>
      <c r="E89" s="2">
        <v>14.4</v>
      </c>
      <c r="F89" s="2">
        <f>14.35+0.05</f>
        <v>14.4</v>
      </c>
      <c r="G89" s="2">
        <v>0</v>
      </c>
      <c r="H89" s="2">
        <v>0</v>
      </c>
      <c r="I89" s="3">
        <v>30692</v>
      </c>
      <c r="J89" s="11">
        <f>30586+100</f>
        <v>30686</v>
      </c>
      <c r="K89" s="11">
        <v>0</v>
      </c>
      <c r="L89" s="11">
        <v>6</v>
      </c>
      <c r="M89" s="2" t="s">
        <v>7</v>
      </c>
      <c r="N89" s="5">
        <v>2015</v>
      </c>
      <c r="O89" s="1" t="s">
        <v>12</v>
      </c>
      <c r="P89" s="1" t="s">
        <v>9</v>
      </c>
      <c r="Q89" s="1" t="s">
        <v>17</v>
      </c>
    </row>
    <row r="90" spans="1:17" x14ac:dyDescent="0.3">
      <c r="A90" s="10" t="s">
        <v>105</v>
      </c>
      <c r="B90" s="10" t="s">
        <v>21</v>
      </c>
      <c r="C90" s="10">
        <v>2023</v>
      </c>
      <c r="D90" s="4">
        <v>2132</v>
      </c>
      <c r="E90" s="2">
        <v>11.04</v>
      </c>
      <c r="F90" s="2">
        <f>10.89+0.14</f>
        <v>11.030000000000001</v>
      </c>
      <c r="G90" s="2">
        <v>0</v>
      </c>
      <c r="H90" s="2">
        <v>9.9999999999980105E-3</v>
      </c>
      <c r="I90" s="3">
        <v>23531</v>
      </c>
      <c r="J90" s="11">
        <f>23225+297</f>
        <v>23522</v>
      </c>
      <c r="K90" s="11">
        <v>0</v>
      </c>
      <c r="L90" s="11">
        <v>9</v>
      </c>
      <c r="M90" s="2" t="s">
        <v>7</v>
      </c>
      <c r="N90" s="5">
        <v>2015</v>
      </c>
      <c r="O90" s="1" t="s">
        <v>12</v>
      </c>
      <c r="P90" s="1" t="s">
        <v>9</v>
      </c>
      <c r="Q90" s="1" t="s">
        <v>17</v>
      </c>
    </row>
    <row r="91" spans="1:17" x14ac:dyDescent="0.3">
      <c r="A91" s="10" t="s">
        <v>105</v>
      </c>
      <c r="B91" s="10" t="s">
        <v>22</v>
      </c>
      <c r="C91" s="10">
        <v>2023</v>
      </c>
      <c r="D91" s="4">
        <v>2132</v>
      </c>
      <c r="E91" s="2">
        <v>14.87</v>
      </c>
      <c r="F91" s="2">
        <f>14.54+0.12</f>
        <v>14.659999999999998</v>
      </c>
      <c r="G91" s="2">
        <v>0</v>
      </c>
      <c r="H91" s="2">
        <v>0.21000000000000085</v>
      </c>
      <c r="I91" s="3">
        <v>31708</v>
      </c>
      <c r="J91" s="11">
        <f>30998+263</f>
        <v>31261</v>
      </c>
      <c r="K91" s="11">
        <v>0</v>
      </c>
      <c r="L91" s="11">
        <v>447</v>
      </c>
      <c r="M91" s="2" t="s">
        <v>7</v>
      </c>
      <c r="N91" s="5">
        <v>2015</v>
      </c>
      <c r="O91" s="1" t="s">
        <v>12</v>
      </c>
      <c r="P91" s="1" t="s">
        <v>9</v>
      </c>
      <c r="Q91" s="1" t="s">
        <v>17</v>
      </c>
    </row>
    <row r="92" spans="1:17" x14ac:dyDescent="0.3">
      <c r="A92" s="10" t="s">
        <v>105</v>
      </c>
      <c r="B92" s="10" t="s">
        <v>23</v>
      </c>
      <c r="C92" s="10">
        <v>2023</v>
      </c>
      <c r="D92" s="4">
        <v>2070</v>
      </c>
      <c r="E92" s="2">
        <v>14.03</v>
      </c>
      <c r="F92" s="2">
        <f>14+0.03</f>
        <v>14.03</v>
      </c>
      <c r="G92" s="2">
        <v>0</v>
      </c>
      <c r="H92" s="2">
        <v>0</v>
      </c>
      <c r="I92" s="3">
        <v>29040</v>
      </c>
      <c r="J92" s="11">
        <f>28979+61</f>
        <v>29040</v>
      </c>
      <c r="K92" s="11">
        <v>0</v>
      </c>
      <c r="L92" s="11">
        <v>0</v>
      </c>
      <c r="M92" s="2" t="s">
        <v>7</v>
      </c>
      <c r="N92" s="5">
        <v>2016</v>
      </c>
      <c r="O92" s="1" t="s">
        <v>12</v>
      </c>
      <c r="P92" s="1" t="s">
        <v>9</v>
      </c>
      <c r="Q92" s="1" t="s">
        <v>17</v>
      </c>
    </row>
    <row r="93" spans="1:17" x14ac:dyDescent="0.3">
      <c r="A93" s="10" t="s">
        <v>105</v>
      </c>
      <c r="B93" s="10" t="s">
        <v>24</v>
      </c>
      <c r="C93" s="10">
        <v>2023</v>
      </c>
      <c r="D93" s="4">
        <v>2070</v>
      </c>
      <c r="E93" s="2">
        <v>13.17</v>
      </c>
      <c r="F93" s="2">
        <f>13.1+0.07</f>
        <v>13.17</v>
      </c>
      <c r="G93" s="2">
        <v>0</v>
      </c>
      <c r="H93" s="2">
        <v>0</v>
      </c>
      <c r="I93" s="3">
        <v>27272</v>
      </c>
      <c r="J93" s="11">
        <f>27115+151</f>
        <v>27266</v>
      </c>
      <c r="K93" s="11">
        <v>0</v>
      </c>
      <c r="L93" s="11">
        <v>6</v>
      </c>
      <c r="M93" s="2" t="s">
        <v>7</v>
      </c>
      <c r="N93" s="5">
        <v>2017</v>
      </c>
      <c r="O93" s="1" t="s">
        <v>12</v>
      </c>
      <c r="P93" s="1" t="s">
        <v>9</v>
      </c>
      <c r="Q93" s="1" t="s">
        <v>17</v>
      </c>
    </row>
    <row r="94" spans="1:17" x14ac:dyDescent="0.3">
      <c r="A94" s="10" t="s">
        <v>105</v>
      </c>
      <c r="B94" s="10" t="s">
        <v>25</v>
      </c>
      <c r="C94" s="10">
        <v>2023</v>
      </c>
      <c r="D94" s="4">
        <v>2070</v>
      </c>
      <c r="E94" s="2">
        <v>14.88</v>
      </c>
      <c r="F94" s="2">
        <f>14.81+0.05</f>
        <v>14.860000000000001</v>
      </c>
      <c r="G94" s="2">
        <v>0</v>
      </c>
      <c r="H94" s="2">
        <v>1.9999999999999574E-2</v>
      </c>
      <c r="I94" s="3">
        <v>30810</v>
      </c>
      <c r="J94" s="11">
        <f>30661+107</f>
        <v>30768</v>
      </c>
      <c r="K94" s="11">
        <v>0</v>
      </c>
      <c r="L94" s="11">
        <v>42</v>
      </c>
      <c r="M94" s="2" t="s">
        <v>7</v>
      </c>
      <c r="N94" s="5">
        <v>2016</v>
      </c>
      <c r="O94" s="1" t="s">
        <v>12</v>
      </c>
      <c r="P94" s="1" t="s">
        <v>9</v>
      </c>
      <c r="Q94" s="1" t="s">
        <v>17</v>
      </c>
    </row>
    <row r="95" spans="1:17" x14ac:dyDescent="0.3">
      <c r="A95" s="10" t="s">
        <v>105</v>
      </c>
      <c r="B95" s="10" t="s">
        <v>26</v>
      </c>
      <c r="C95" s="10">
        <v>2023</v>
      </c>
      <c r="D95" s="4">
        <v>1905</v>
      </c>
      <c r="E95" s="2">
        <v>12.63</v>
      </c>
      <c r="F95" s="2">
        <f>12.36+0.03</f>
        <v>12.389999999999999</v>
      </c>
      <c r="G95" s="2">
        <v>0</v>
      </c>
      <c r="H95" s="2">
        <v>0.24000000000000199</v>
      </c>
      <c r="I95" s="3">
        <v>24054</v>
      </c>
      <c r="J95" s="11">
        <f>23555+52</f>
        <v>23607</v>
      </c>
      <c r="K95" s="11">
        <v>0</v>
      </c>
      <c r="L95" s="11">
        <v>447</v>
      </c>
      <c r="M95" s="2" t="s">
        <v>7</v>
      </c>
      <c r="N95" s="5">
        <v>2015</v>
      </c>
      <c r="O95" s="1" t="s">
        <v>8</v>
      </c>
      <c r="P95" s="1" t="s">
        <v>27</v>
      </c>
      <c r="Q95" s="1" t="s">
        <v>28</v>
      </c>
    </row>
    <row r="96" spans="1:17" x14ac:dyDescent="0.3">
      <c r="A96" s="10" t="s">
        <v>105</v>
      </c>
      <c r="B96" s="10" t="s">
        <v>29</v>
      </c>
      <c r="C96" s="10">
        <v>2023</v>
      </c>
      <c r="D96" s="4">
        <v>1905</v>
      </c>
      <c r="E96" s="2">
        <v>11.78</v>
      </c>
      <c r="F96" s="2">
        <f>10.79+0.17</f>
        <v>10.959999999999999</v>
      </c>
      <c r="G96" s="2">
        <v>0</v>
      </c>
      <c r="H96" s="2">
        <v>0.82000000000000028</v>
      </c>
      <c r="I96" s="3">
        <v>22435</v>
      </c>
      <c r="J96" s="11">
        <f>20553+333</f>
        <v>20886</v>
      </c>
      <c r="K96" s="11">
        <v>0</v>
      </c>
      <c r="L96" s="11">
        <v>1549</v>
      </c>
      <c r="M96" s="2" t="s">
        <v>7</v>
      </c>
      <c r="N96" s="5">
        <v>2017</v>
      </c>
      <c r="O96" s="1" t="s">
        <v>12</v>
      </c>
      <c r="P96" s="1" t="s">
        <v>27</v>
      </c>
      <c r="Q96" s="1" t="s">
        <v>28</v>
      </c>
    </row>
    <row r="97" spans="1:17" x14ac:dyDescent="0.3">
      <c r="A97" s="10" t="s">
        <v>105</v>
      </c>
      <c r="B97" s="10" t="s">
        <v>30</v>
      </c>
      <c r="C97" s="10">
        <v>2023</v>
      </c>
      <c r="D97" s="4">
        <v>1953</v>
      </c>
      <c r="E97" s="2">
        <v>16.3</v>
      </c>
      <c r="F97" s="2">
        <f>16.19+0.07</f>
        <v>16.260000000000002</v>
      </c>
      <c r="G97" s="2">
        <v>0</v>
      </c>
      <c r="H97" s="2">
        <v>3.9999999999999147E-2</v>
      </c>
      <c r="I97" s="3">
        <v>31843</v>
      </c>
      <c r="J97" s="11">
        <f>31624+127</f>
        <v>31751</v>
      </c>
      <c r="K97" s="11">
        <v>0</v>
      </c>
      <c r="L97" s="11">
        <v>92</v>
      </c>
      <c r="M97" s="2" t="s">
        <v>7</v>
      </c>
      <c r="N97" s="5">
        <v>2018</v>
      </c>
      <c r="O97" s="1" t="s">
        <v>8</v>
      </c>
      <c r="P97" s="1" t="s">
        <v>27</v>
      </c>
      <c r="Q97" s="1" t="s">
        <v>28</v>
      </c>
    </row>
    <row r="98" spans="1:17" x14ac:dyDescent="0.3">
      <c r="A98" s="10" t="s">
        <v>105</v>
      </c>
      <c r="B98" s="10" t="s">
        <v>31</v>
      </c>
      <c r="C98" s="10">
        <v>2023</v>
      </c>
      <c r="D98" s="4">
        <v>1905.1398337112623</v>
      </c>
      <c r="E98" s="2">
        <v>13.23</v>
      </c>
      <c r="F98" s="2">
        <f>13.13+0.04</f>
        <v>13.17</v>
      </c>
      <c r="G98" s="2">
        <v>0</v>
      </c>
      <c r="H98" s="2">
        <v>6.0000000000000497E-2</v>
      </c>
      <c r="I98" s="3">
        <v>25205</v>
      </c>
      <c r="J98" s="11">
        <f>25012+84</f>
        <v>25096</v>
      </c>
      <c r="K98" s="11">
        <v>0</v>
      </c>
      <c r="L98" s="11">
        <v>109</v>
      </c>
      <c r="M98" s="2" t="s">
        <v>7</v>
      </c>
      <c r="N98" s="5">
        <v>2016</v>
      </c>
      <c r="O98" s="1" t="s">
        <v>8</v>
      </c>
      <c r="P98" s="1" t="s">
        <v>27</v>
      </c>
      <c r="Q98" s="1" t="s">
        <v>28</v>
      </c>
    </row>
    <row r="99" spans="1:17" x14ac:dyDescent="0.3">
      <c r="A99" s="10" t="s">
        <v>105</v>
      </c>
      <c r="B99" s="10" t="s">
        <v>32</v>
      </c>
      <c r="C99" s="10">
        <v>2023</v>
      </c>
      <c r="D99" s="4">
        <v>1953</v>
      </c>
      <c r="E99" s="2">
        <v>13.99</v>
      </c>
      <c r="F99" s="2">
        <v>13.99</v>
      </c>
      <c r="G99" s="2">
        <v>0</v>
      </c>
      <c r="H99" s="2">
        <v>0</v>
      </c>
      <c r="I99" s="3">
        <v>27332</v>
      </c>
      <c r="J99" s="11">
        <f>27325+4</f>
        <v>27329</v>
      </c>
      <c r="K99" s="11">
        <v>0</v>
      </c>
      <c r="L99" s="11">
        <v>3</v>
      </c>
      <c r="M99" s="2" t="s">
        <v>7</v>
      </c>
      <c r="N99" s="5">
        <v>2014</v>
      </c>
      <c r="O99" s="1" t="s">
        <v>8</v>
      </c>
      <c r="P99" s="1" t="s">
        <v>27</v>
      </c>
      <c r="Q99" s="1" t="s">
        <v>28</v>
      </c>
    </row>
    <row r="100" spans="1:17" x14ac:dyDescent="0.3">
      <c r="A100" s="10" t="s">
        <v>105</v>
      </c>
      <c r="B100" s="10" t="s">
        <v>33</v>
      </c>
      <c r="C100" s="10">
        <v>2023</v>
      </c>
      <c r="D100" s="4">
        <v>1953</v>
      </c>
      <c r="E100" s="2">
        <v>14.41</v>
      </c>
      <c r="F100" s="2">
        <f>14.37+0.02</f>
        <v>14.389999999999999</v>
      </c>
      <c r="G100" s="2">
        <v>0</v>
      </c>
      <c r="H100" s="2">
        <v>2.000000000000135E-2</v>
      </c>
      <c r="I100" s="3">
        <v>28152</v>
      </c>
      <c r="J100" s="11">
        <f>28067+32</f>
        <v>28099</v>
      </c>
      <c r="K100" s="11">
        <v>0</v>
      </c>
      <c r="L100" s="11">
        <v>53</v>
      </c>
      <c r="M100" s="2" t="s">
        <v>7</v>
      </c>
      <c r="N100" s="5">
        <v>2019</v>
      </c>
      <c r="O100" s="1" t="s">
        <v>12</v>
      </c>
      <c r="P100" s="1" t="s">
        <v>9</v>
      </c>
      <c r="Q100" s="1" t="s">
        <v>34</v>
      </c>
    </row>
    <row r="101" spans="1:17" x14ac:dyDescent="0.3">
      <c r="A101" s="10" t="s">
        <v>105</v>
      </c>
      <c r="B101" s="10" t="s">
        <v>35</v>
      </c>
      <c r="C101" s="10">
        <v>2023</v>
      </c>
      <c r="D101" s="4">
        <v>1953</v>
      </c>
      <c r="E101" s="2">
        <v>14.27</v>
      </c>
      <c r="F101" s="2">
        <v>14.26</v>
      </c>
      <c r="G101" s="2">
        <v>0</v>
      </c>
      <c r="H101" s="2">
        <v>9.9999999999997868E-3</v>
      </c>
      <c r="I101" s="3">
        <v>27869</v>
      </c>
      <c r="J101" s="11">
        <f>27845+9</f>
        <v>27854</v>
      </c>
      <c r="K101" s="11">
        <v>0</v>
      </c>
      <c r="L101" s="11">
        <v>15</v>
      </c>
      <c r="M101" s="2" t="s">
        <v>7</v>
      </c>
      <c r="N101" s="5">
        <v>2019</v>
      </c>
      <c r="O101" s="1" t="s">
        <v>12</v>
      </c>
      <c r="P101" s="1" t="s">
        <v>9</v>
      </c>
      <c r="Q101" s="1" t="s">
        <v>34</v>
      </c>
    </row>
    <row r="102" spans="1:17" x14ac:dyDescent="0.3">
      <c r="A102" s="10" t="s">
        <v>105</v>
      </c>
      <c r="B102" s="10" t="s">
        <v>36</v>
      </c>
      <c r="C102" s="10">
        <v>2023</v>
      </c>
      <c r="D102" s="4">
        <v>1953</v>
      </c>
      <c r="E102" s="2">
        <v>14.65</v>
      </c>
      <c r="F102" s="2">
        <f>14.63+0.01</f>
        <v>14.64</v>
      </c>
      <c r="G102" s="2">
        <v>0</v>
      </c>
      <c r="H102" s="2">
        <v>9.9999999999997868E-3</v>
      </c>
      <c r="I102" s="3">
        <v>28615</v>
      </c>
      <c r="J102" s="11">
        <f>28573+16</f>
        <v>28589</v>
      </c>
      <c r="K102" s="11">
        <v>0</v>
      </c>
      <c r="L102" s="11">
        <v>26</v>
      </c>
      <c r="M102" s="2" t="s">
        <v>7</v>
      </c>
      <c r="N102" s="5">
        <v>2019</v>
      </c>
      <c r="O102" s="1" t="s">
        <v>12</v>
      </c>
      <c r="P102" s="1" t="s">
        <v>9</v>
      </c>
      <c r="Q102" s="1" t="s">
        <v>34</v>
      </c>
    </row>
    <row r="103" spans="1:17" x14ac:dyDescent="0.3">
      <c r="A103" s="10" t="s">
        <v>105</v>
      </c>
      <c r="B103" s="10" t="s">
        <v>37</v>
      </c>
      <c r="C103" s="10">
        <v>2023</v>
      </c>
      <c r="D103" s="4">
        <v>1780</v>
      </c>
      <c r="E103" s="2">
        <v>14.87</v>
      </c>
      <c r="F103" s="2">
        <f>14.58+0.09</f>
        <v>14.67</v>
      </c>
      <c r="G103" s="2">
        <v>0</v>
      </c>
      <c r="H103" s="2">
        <v>0.19999999999999929</v>
      </c>
      <c r="I103" s="3">
        <v>26460</v>
      </c>
      <c r="J103" s="11">
        <f>25948+156</f>
        <v>26104</v>
      </c>
      <c r="K103" s="11">
        <v>0</v>
      </c>
      <c r="L103" s="11">
        <v>356</v>
      </c>
      <c r="M103" s="2" t="s">
        <v>7</v>
      </c>
      <c r="N103" s="5">
        <v>2020</v>
      </c>
      <c r="O103" s="1" t="s">
        <v>12</v>
      </c>
      <c r="P103" s="1" t="s">
        <v>9</v>
      </c>
      <c r="Q103" s="1" t="s">
        <v>34</v>
      </c>
    </row>
    <row r="104" spans="1:17" x14ac:dyDescent="0.3">
      <c r="A104" s="10" t="s">
        <v>105</v>
      </c>
      <c r="B104" s="10" t="s">
        <v>38</v>
      </c>
      <c r="C104" s="10">
        <v>2023</v>
      </c>
      <c r="D104" s="4">
        <v>1780</v>
      </c>
      <c r="E104" s="2">
        <v>14.74</v>
      </c>
      <c r="F104" s="2">
        <f>14.67+0.02</f>
        <v>14.69</v>
      </c>
      <c r="G104" s="2">
        <v>0</v>
      </c>
      <c r="H104" s="2">
        <v>5.0000000000000711E-2</v>
      </c>
      <c r="I104" s="3">
        <v>26240</v>
      </c>
      <c r="J104" s="11">
        <f>26121+35</f>
        <v>26156</v>
      </c>
      <c r="K104" s="11">
        <v>0</v>
      </c>
      <c r="L104" s="11">
        <v>84</v>
      </c>
      <c r="M104" s="2" t="s">
        <v>7</v>
      </c>
      <c r="N104" s="5">
        <v>2020</v>
      </c>
      <c r="O104" s="1" t="s">
        <v>12</v>
      </c>
      <c r="P104" s="1" t="s">
        <v>9</v>
      </c>
      <c r="Q104" s="1" t="s">
        <v>34</v>
      </c>
    </row>
    <row r="105" spans="1:17" x14ac:dyDescent="0.3">
      <c r="A105" s="10" t="s">
        <v>105</v>
      </c>
      <c r="B105" s="10" t="s">
        <v>39</v>
      </c>
      <c r="C105" s="10">
        <v>2023</v>
      </c>
      <c r="D105" s="4">
        <v>1780</v>
      </c>
      <c r="E105" s="2">
        <v>14.96</v>
      </c>
      <c r="F105" s="2">
        <f>14.88+0.02</f>
        <v>14.9</v>
      </c>
      <c r="G105" s="2">
        <v>0</v>
      </c>
      <c r="H105" s="2">
        <v>6.0000000000000497E-2</v>
      </c>
      <c r="I105" s="3">
        <v>26634</v>
      </c>
      <c r="J105" s="11">
        <f>26482+40</f>
        <v>26522</v>
      </c>
      <c r="K105" s="11">
        <v>0</v>
      </c>
      <c r="L105" s="11">
        <v>112</v>
      </c>
      <c r="M105" s="2" t="s">
        <v>7</v>
      </c>
      <c r="N105" s="5">
        <v>2020</v>
      </c>
      <c r="O105" s="1" t="s">
        <v>12</v>
      </c>
      <c r="P105" s="1" t="s">
        <v>9</v>
      </c>
      <c r="Q105" s="1" t="s">
        <v>34</v>
      </c>
    </row>
    <row r="106" spans="1:17" x14ac:dyDescent="0.3">
      <c r="A106" s="10" t="s">
        <v>105</v>
      </c>
      <c r="B106" s="10" t="s">
        <v>40</v>
      </c>
      <c r="C106" s="10">
        <v>2023</v>
      </c>
      <c r="D106" s="4">
        <v>1780</v>
      </c>
      <c r="E106" s="2">
        <v>13.73</v>
      </c>
      <c r="F106" s="2">
        <f>13.55+0.11</f>
        <v>13.66</v>
      </c>
      <c r="G106" s="2">
        <v>0</v>
      </c>
      <c r="H106" s="2">
        <v>7.0000000000000284E-2</v>
      </c>
      <c r="I106" s="3">
        <v>24434</v>
      </c>
      <c r="J106" s="11">
        <f>24120+203</f>
        <v>24323</v>
      </c>
      <c r="K106" s="11">
        <v>0</v>
      </c>
      <c r="L106" s="11">
        <v>111</v>
      </c>
      <c r="M106" s="2" t="s">
        <v>7</v>
      </c>
      <c r="N106" s="5">
        <v>2020</v>
      </c>
      <c r="O106" s="1" t="s">
        <v>12</v>
      </c>
      <c r="P106" s="1" t="s">
        <v>27</v>
      </c>
      <c r="Q106" s="1" t="s">
        <v>34</v>
      </c>
    </row>
    <row r="107" spans="1:17" x14ac:dyDescent="0.3">
      <c r="A107" s="10" t="s">
        <v>105</v>
      </c>
      <c r="B107" s="10" t="s">
        <v>41</v>
      </c>
      <c r="C107" s="10">
        <v>2023</v>
      </c>
      <c r="D107" s="4">
        <v>1780</v>
      </c>
      <c r="E107" s="2">
        <v>12.29</v>
      </c>
      <c r="F107" s="2">
        <f>12.14+0.06</f>
        <v>12.200000000000001</v>
      </c>
      <c r="G107" s="2">
        <v>0</v>
      </c>
      <c r="H107" s="2">
        <v>8.9999999999998082E-2</v>
      </c>
      <c r="I107" s="3">
        <v>21876</v>
      </c>
      <c r="J107" s="11">
        <f>21604+107</f>
        <v>21711</v>
      </c>
      <c r="K107" s="11">
        <v>0</v>
      </c>
      <c r="L107" s="11">
        <v>165</v>
      </c>
      <c r="M107" s="2" t="s">
        <v>7</v>
      </c>
      <c r="N107" s="5">
        <v>2020</v>
      </c>
      <c r="O107" s="1" t="s">
        <v>12</v>
      </c>
      <c r="P107" s="1" t="s">
        <v>27</v>
      </c>
      <c r="Q107" s="1" t="s">
        <v>34</v>
      </c>
    </row>
    <row r="108" spans="1:17" x14ac:dyDescent="0.3">
      <c r="A108" s="10" t="s">
        <v>105</v>
      </c>
      <c r="B108" s="10" t="s">
        <v>42</v>
      </c>
      <c r="C108" s="10">
        <v>2023</v>
      </c>
      <c r="D108" s="4">
        <v>1780</v>
      </c>
      <c r="E108" s="2">
        <v>15</v>
      </c>
      <c r="F108" s="2">
        <f>14.78+0.05</f>
        <v>14.83</v>
      </c>
      <c r="G108" s="2">
        <v>0</v>
      </c>
      <c r="H108" s="2">
        <v>0.16999999999999993</v>
      </c>
      <c r="I108" s="3">
        <v>26703</v>
      </c>
      <c r="J108" s="11">
        <f>26310+82</f>
        <v>26392</v>
      </c>
      <c r="K108" s="11">
        <v>0</v>
      </c>
      <c r="L108" s="11">
        <v>311</v>
      </c>
      <c r="M108" s="2" t="s">
        <v>7</v>
      </c>
      <c r="N108" s="5">
        <v>2020</v>
      </c>
      <c r="O108" s="1" t="s">
        <v>12</v>
      </c>
      <c r="P108" s="1" t="s">
        <v>27</v>
      </c>
      <c r="Q108" s="1" t="s">
        <v>34</v>
      </c>
    </row>
    <row r="109" spans="1:17" x14ac:dyDescent="0.3">
      <c r="A109" s="10" t="s">
        <v>105</v>
      </c>
      <c r="B109" s="10" t="s">
        <v>43</v>
      </c>
      <c r="C109" s="10">
        <v>2023</v>
      </c>
      <c r="D109" s="4">
        <v>1780</v>
      </c>
      <c r="E109" s="2">
        <v>15</v>
      </c>
      <c r="F109" s="2">
        <f>14.67+0.07</f>
        <v>14.74</v>
      </c>
      <c r="G109" s="2">
        <v>0</v>
      </c>
      <c r="H109" s="2">
        <v>0.25999999999999979</v>
      </c>
      <c r="I109" s="3">
        <v>26703</v>
      </c>
      <c r="J109" s="11">
        <f>26119+133</f>
        <v>26252</v>
      </c>
      <c r="K109" s="11">
        <v>0</v>
      </c>
      <c r="L109" s="11">
        <v>451</v>
      </c>
      <c r="M109" s="2" t="s">
        <v>7</v>
      </c>
      <c r="N109" s="5">
        <v>2020</v>
      </c>
      <c r="O109" s="1" t="s">
        <v>12</v>
      </c>
      <c r="P109" s="1" t="s">
        <v>27</v>
      </c>
      <c r="Q109" s="1" t="s">
        <v>34</v>
      </c>
    </row>
    <row r="110" spans="1:17" x14ac:dyDescent="0.3">
      <c r="A110" s="10" t="s">
        <v>105</v>
      </c>
      <c r="B110" s="10" t="s">
        <v>44</v>
      </c>
      <c r="C110" s="10">
        <v>2023</v>
      </c>
      <c r="D110" s="4">
        <v>1780</v>
      </c>
      <c r="E110" s="2">
        <v>14.77</v>
      </c>
      <c r="F110" s="2">
        <v>14.77</v>
      </c>
      <c r="G110" s="2">
        <v>0</v>
      </c>
      <c r="H110" s="2">
        <v>0</v>
      </c>
      <c r="I110" s="3">
        <v>26147</v>
      </c>
      <c r="J110" s="11">
        <v>26147</v>
      </c>
      <c r="K110" s="11">
        <v>0</v>
      </c>
      <c r="L110" s="11">
        <v>0</v>
      </c>
      <c r="M110" s="15" t="s">
        <v>7</v>
      </c>
      <c r="N110" s="5">
        <v>2022</v>
      </c>
      <c r="O110" s="1" t="s">
        <v>12</v>
      </c>
      <c r="P110" s="1" t="s">
        <v>9</v>
      </c>
      <c r="Q110" s="1" t="s">
        <v>34</v>
      </c>
    </row>
    <row r="111" spans="1:17" x14ac:dyDescent="0.3">
      <c r="A111" s="10" t="s">
        <v>108</v>
      </c>
      <c r="B111" s="10" t="s">
        <v>51</v>
      </c>
      <c r="C111" s="10">
        <v>2023</v>
      </c>
      <c r="D111" s="4">
        <v>1780</v>
      </c>
      <c r="E111" s="2">
        <v>7.44</v>
      </c>
      <c r="F111" s="2">
        <f>7.39+0.05</f>
        <v>7.4399999999999995</v>
      </c>
      <c r="G111" s="2">
        <v>0</v>
      </c>
      <c r="H111" s="2">
        <v>0</v>
      </c>
      <c r="I111" s="3">
        <v>13248</v>
      </c>
      <c r="J111" s="3">
        <f>13155+93</f>
        <v>13248</v>
      </c>
      <c r="K111" s="3">
        <v>0</v>
      </c>
      <c r="L111" s="3">
        <v>0</v>
      </c>
      <c r="M111" s="1" t="s">
        <v>7</v>
      </c>
      <c r="N111" s="1">
        <v>2018</v>
      </c>
      <c r="O111" s="1" t="s">
        <v>12</v>
      </c>
      <c r="P111" s="1" t="s">
        <v>27</v>
      </c>
      <c r="Q111" s="1" t="s">
        <v>46</v>
      </c>
    </row>
    <row r="112" spans="1:17" x14ac:dyDescent="0.3">
      <c r="A112" s="10" t="s">
        <v>108</v>
      </c>
      <c r="B112" s="10" t="s">
        <v>52</v>
      </c>
      <c r="C112" s="10">
        <v>2023</v>
      </c>
      <c r="D112" s="4">
        <v>1905</v>
      </c>
      <c r="E112" s="2">
        <v>2.29</v>
      </c>
      <c r="F112" s="2">
        <f>2.25+0.04</f>
        <v>2.29</v>
      </c>
      <c r="G112" s="2">
        <v>0</v>
      </c>
      <c r="H112" s="2">
        <v>0</v>
      </c>
      <c r="I112" s="3">
        <v>4371</v>
      </c>
      <c r="J112" s="3">
        <f>4278+89</f>
        <v>4367</v>
      </c>
      <c r="K112" s="3">
        <v>0</v>
      </c>
      <c r="L112" s="3">
        <v>4</v>
      </c>
      <c r="M112" s="1" t="s">
        <v>7</v>
      </c>
      <c r="N112" s="1">
        <v>2018</v>
      </c>
      <c r="O112" s="1" t="s">
        <v>8</v>
      </c>
      <c r="P112" s="1" t="s">
        <v>27</v>
      </c>
      <c r="Q112" s="1" t="s">
        <v>53</v>
      </c>
    </row>
    <row r="113" spans="1:17" x14ac:dyDescent="0.3">
      <c r="A113" s="10" t="s">
        <v>108</v>
      </c>
      <c r="B113" s="10" t="s">
        <v>54</v>
      </c>
      <c r="C113" s="10">
        <v>2023</v>
      </c>
      <c r="D113" s="4">
        <v>1905</v>
      </c>
      <c r="E113" s="2">
        <v>13.61</v>
      </c>
      <c r="F113" s="2">
        <f>13.27+0.34</f>
        <v>13.61</v>
      </c>
      <c r="G113" s="2">
        <v>0</v>
      </c>
      <c r="H113" s="2">
        <v>0</v>
      </c>
      <c r="I113" s="3">
        <v>25923</v>
      </c>
      <c r="J113" s="3">
        <f>25285+619</f>
        <v>25904</v>
      </c>
      <c r="K113" s="3">
        <v>0</v>
      </c>
      <c r="L113" s="3">
        <v>19</v>
      </c>
      <c r="M113" s="1" t="s">
        <v>7</v>
      </c>
      <c r="N113" s="1">
        <v>2017</v>
      </c>
      <c r="O113" s="1" t="s">
        <v>8</v>
      </c>
      <c r="P113" s="1" t="s">
        <v>27</v>
      </c>
      <c r="Q113" s="1" t="s">
        <v>53</v>
      </c>
    </row>
    <row r="114" spans="1:17" x14ac:dyDescent="0.3">
      <c r="A114" s="10" t="s">
        <v>108</v>
      </c>
      <c r="B114" s="10" t="s">
        <v>55</v>
      </c>
      <c r="C114" s="10">
        <v>2023</v>
      </c>
      <c r="D114" s="4">
        <v>1905</v>
      </c>
      <c r="E114" s="2">
        <v>11.9</v>
      </c>
      <c r="F114" s="2">
        <f>11.34+0.56</f>
        <v>11.9</v>
      </c>
      <c r="G114" s="2">
        <v>0</v>
      </c>
      <c r="H114" s="2">
        <v>0</v>
      </c>
      <c r="I114" s="3">
        <v>22673</v>
      </c>
      <c r="J114" s="3">
        <f>21608+1065</f>
        <v>22673</v>
      </c>
      <c r="K114" s="3">
        <v>0</v>
      </c>
      <c r="L114" s="3">
        <v>0</v>
      </c>
      <c r="M114" s="1" t="s">
        <v>7</v>
      </c>
      <c r="N114" s="1">
        <v>2017</v>
      </c>
      <c r="O114" s="1" t="s">
        <v>8</v>
      </c>
      <c r="P114" s="1" t="s">
        <v>27</v>
      </c>
      <c r="Q114" s="1" t="s">
        <v>53</v>
      </c>
    </row>
    <row r="115" spans="1:17" x14ac:dyDescent="0.3">
      <c r="A115" s="10" t="s">
        <v>108</v>
      </c>
      <c r="B115" s="10" t="s">
        <v>56</v>
      </c>
      <c r="C115" s="10">
        <v>2023</v>
      </c>
      <c r="D115" s="4">
        <v>1905</v>
      </c>
      <c r="E115" s="2">
        <v>13.82</v>
      </c>
      <c r="F115" s="2">
        <f>13.7+0.07</f>
        <v>13.77</v>
      </c>
      <c r="G115" s="2">
        <v>0</v>
      </c>
      <c r="H115" s="2">
        <v>5.0000000000000711E-2</v>
      </c>
      <c r="I115" s="3">
        <v>26318</v>
      </c>
      <c r="J115" s="3">
        <f>26103+138</f>
        <v>26241</v>
      </c>
      <c r="K115" s="3">
        <v>0</v>
      </c>
      <c r="L115" s="3">
        <v>77</v>
      </c>
      <c r="M115" s="1" t="s">
        <v>7</v>
      </c>
      <c r="N115" s="1">
        <v>2016</v>
      </c>
      <c r="O115" s="1" t="s">
        <v>8</v>
      </c>
      <c r="P115" s="1" t="s">
        <v>27</v>
      </c>
      <c r="Q115" s="1" t="s">
        <v>53</v>
      </c>
    </row>
    <row r="116" spans="1:17" x14ac:dyDescent="0.3">
      <c r="A116" s="10" t="s">
        <v>108</v>
      </c>
      <c r="B116" s="10" t="s">
        <v>57</v>
      </c>
      <c r="C116" s="10">
        <v>2023</v>
      </c>
      <c r="D116" s="4">
        <v>1905</v>
      </c>
      <c r="E116" s="2">
        <v>14.16</v>
      </c>
      <c r="F116" s="2">
        <f>13.96+0.13</f>
        <v>14.090000000000002</v>
      </c>
      <c r="G116" s="2">
        <v>0</v>
      </c>
      <c r="H116" s="2">
        <v>6.9999999999998508E-2</v>
      </c>
      <c r="I116" s="3">
        <v>26967</v>
      </c>
      <c r="J116" s="3">
        <f>26601+251</f>
        <v>26852</v>
      </c>
      <c r="K116" s="3">
        <v>0</v>
      </c>
      <c r="L116" s="3">
        <v>115</v>
      </c>
      <c r="M116" s="1" t="s">
        <v>7</v>
      </c>
      <c r="N116" s="1">
        <v>2016</v>
      </c>
      <c r="O116" s="1" t="s">
        <v>8</v>
      </c>
      <c r="P116" s="1" t="s">
        <v>27</v>
      </c>
      <c r="Q116" s="1" t="s">
        <v>53</v>
      </c>
    </row>
    <row r="117" spans="1:17" x14ac:dyDescent="0.3">
      <c r="A117" s="10" t="s">
        <v>108</v>
      </c>
      <c r="B117" s="10" t="s">
        <v>58</v>
      </c>
      <c r="C117" s="10">
        <v>2023</v>
      </c>
      <c r="D117" s="4">
        <v>1905</v>
      </c>
      <c r="E117" s="2">
        <v>7.22</v>
      </c>
      <c r="F117" s="2">
        <f>6.94+0.27</f>
        <v>7.2100000000000009</v>
      </c>
      <c r="G117" s="2">
        <v>0</v>
      </c>
      <c r="H117" s="2">
        <v>9.9999999999988987E-3</v>
      </c>
      <c r="I117" s="3">
        <v>13755</v>
      </c>
      <c r="J117" s="3">
        <f>13227+505</f>
        <v>13732</v>
      </c>
      <c r="K117" s="3">
        <v>0</v>
      </c>
      <c r="L117" s="3">
        <v>23</v>
      </c>
      <c r="M117" s="1" t="s">
        <v>7</v>
      </c>
      <c r="N117" s="1">
        <v>2016</v>
      </c>
      <c r="O117" s="1" t="s">
        <v>8</v>
      </c>
      <c r="P117" s="1" t="s">
        <v>27</v>
      </c>
      <c r="Q117" s="1" t="s">
        <v>53</v>
      </c>
    </row>
    <row r="118" spans="1:17" x14ac:dyDescent="0.3">
      <c r="A118" s="13" t="s">
        <v>105</v>
      </c>
      <c r="B118" s="14" t="s">
        <v>6</v>
      </c>
      <c r="C118" s="10">
        <v>2023</v>
      </c>
      <c r="D118" s="14"/>
      <c r="E118" s="2">
        <v>15.06</v>
      </c>
      <c r="F118" s="2">
        <v>0</v>
      </c>
      <c r="G118" s="2">
        <v>15.06</v>
      </c>
      <c r="H118" s="2">
        <v>0</v>
      </c>
      <c r="I118" s="3">
        <v>28689</v>
      </c>
      <c r="J118" s="3">
        <v>0</v>
      </c>
      <c r="K118" s="3">
        <v>28689</v>
      </c>
      <c r="L118" s="3">
        <v>0</v>
      </c>
      <c r="M118" s="10" t="s">
        <v>91</v>
      </c>
      <c r="N118" s="1">
        <v>2023</v>
      </c>
      <c r="O118" s="1"/>
      <c r="P118" s="1"/>
      <c r="Q118" s="1"/>
    </row>
    <row r="119" spans="1:17" x14ac:dyDescent="0.3">
      <c r="A119" s="13" t="s">
        <v>105</v>
      </c>
      <c r="B119" s="14" t="s">
        <v>11</v>
      </c>
      <c r="C119" s="10">
        <v>2023</v>
      </c>
      <c r="D119" s="14"/>
      <c r="E119" s="2">
        <v>14.99</v>
      </c>
      <c r="F119" s="2">
        <v>0</v>
      </c>
      <c r="G119" s="2">
        <v>14.99</v>
      </c>
      <c r="H119" s="2">
        <v>0</v>
      </c>
      <c r="I119" s="3">
        <v>28556</v>
      </c>
      <c r="J119" s="3">
        <v>0</v>
      </c>
      <c r="K119" s="3">
        <v>28556</v>
      </c>
      <c r="L119" s="3">
        <v>0</v>
      </c>
      <c r="M119" s="10" t="s">
        <v>91</v>
      </c>
      <c r="N119" s="1">
        <v>2023</v>
      </c>
      <c r="O119" s="1"/>
      <c r="P119" s="1"/>
      <c r="Q119" s="1"/>
    </row>
    <row r="120" spans="1:17" x14ac:dyDescent="0.3">
      <c r="A120" s="13" t="s">
        <v>105</v>
      </c>
      <c r="B120" s="14" t="s">
        <v>13</v>
      </c>
      <c r="C120" s="10">
        <v>2023</v>
      </c>
      <c r="D120" s="14"/>
      <c r="E120" s="2">
        <v>14.28</v>
      </c>
      <c r="F120" s="2">
        <v>0</v>
      </c>
      <c r="G120" s="2">
        <v>14.28</v>
      </c>
      <c r="H120" s="2">
        <v>0</v>
      </c>
      <c r="I120" s="3">
        <v>27203</v>
      </c>
      <c r="J120" s="3">
        <v>0</v>
      </c>
      <c r="K120" s="3">
        <v>27203</v>
      </c>
      <c r="L120" s="3">
        <v>0</v>
      </c>
      <c r="M120" s="10" t="s">
        <v>91</v>
      </c>
      <c r="N120" s="1">
        <v>2023</v>
      </c>
      <c r="O120" s="1"/>
      <c r="P120" s="1"/>
      <c r="Q120" s="1"/>
    </row>
    <row r="121" spans="1:17" x14ac:dyDescent="0.3">
      <c r="A121" s="10" t="s">
        <v>113</v>
      </c>
      <c r="B121" s="10" t="s">
        <v>88</v>
      </c>
      <c r="C121" s="10">
        <v>2023</v>
      </c>
      <c r="D121" s="4">
        <v>1838</v>
      </c>
      <c r="E121" s="2">
        <v>15.46</v>
      </c>
      <c r="F121" s="2">
        <f>13.18+2.03</f>
        <v>15.209999999999999</v>
      </c>
      <c r="G121" s="2">
        <v>0</v>
      </c>
      <c r="H121" s="2">
        <v>0.25000000000000178</v>
      </c>
      <c r="I121" s="3">
        <v>28415</v>
      </c>
      <c r="J121" s="3">
        <v>28415</v>
      </c>
      <c r="K121" s="3">
        <v>0</v>
      </c>
      <c r="L121" s="3">
        <v>0</v>
      </c>
      <c r="M121" s="1" t="s">
        <v>7</v>
      </c>
      <c r="N121" s="1">
        <v>2021</v>
      </c>
      <c r="O121" s="1" t="s">
        <v>8</v>
      </c>
      <c r="P121" s="1" t="s">
        <v>27</v>
      </c>
      <c r="Q121" s="1" t="s">
        <v>28</v>
      </c>
    </row>
    <row r="122" spans="1:17" x14ac:dyDescent="0.3">
      <c r="A122" s="10" t="s">
        <v>113</v>
      </c>
      <c r="B122" s="10" t="s">
        <v>89</v>
      </c>
      <c r="C122" s="10">
        <v>2023</v>
      </c>
      <c r="D122" s="4">
        <v>1838</v>
      </c>
      <c r="E122" s="2">
        <v>11.38</v>
      </c>
      <c r="F122" s="2">
        <f>9.33+1.85</f>
        <v>11.18</v>
      </c>
      <c r="G122" s="2">
        <v>0</v>
      </c>
      <c r="H122" s="2">
        <v>0.20000000000000107</v>
      </c>
      <c r="I122" s="3">
        <v>20843</v>
      </c>
      <c r="J122" s="3">
        <v>20843</v>
      </c>
      <c r="K122" s="3">
        <v>0</v>
      </c>
      <c r="L122" s="3">
        <v>0</v>
      </c>
      <c r="M122" s="1" t="s">
        <v>7</v>
      </c>
      <c r="N122" s="1">
        <v>2021</v>
      </c>
      <c r="O122" s="1" t="s">
        <v>8</v>
      </c>
      <c r="P122" s="1" t="s">
        <v>27</v>
      </c>
      <c r="Q122" s="1" t="s">
        <v>28</v>
      </c>
    </row>
    <row r="123" spans="1:17" x14ac:dyDescent="0.3">
      <c r="A123" s="10" t="s">
        <v>113</v>
      </c>
      <c r="B123" s="10" t="s">
        <v>90</v>
      </c>
      <c r="C123" s="10">
        <v>2023</v>
      </c>
      <c r="D123" s="7">
        <v>1905</v>
      </c>
      <c r="E123" s="2">
        <v>11.87</v>
      </c>
      <c r="F123" s="2">
        <v>11.87</v>
      </c>
      <c r="G123" s="2">
        <v>0</v>
      </c>
      <c r="H123" s="2">
        <v>0</v>
      </c>
      <c r="I123" s="3">
        <v>22374</v>
      </c>
      <c r="J123" s="3">
        <v>22374</v>
      </c>
      <c r="K123" s="3">
        <v>0</v>
      </c>
      <c r="L123" s="3">
        <v>0</v>
      </c>
      <c r="M123" s="15" t="s">
        <v>7</v>
      </c>
      <c r="N123" s="1">
        <v>2022</v>
      </c>
      <c r="O123" s="1" t="s">
        <v>8</v>
      </c>
      <c r="P123" s="1" t="s">
        <v>27</v>
      </c>
      <c r="Q123" s="1" t="s">
        <v>28</v>
      </c>
    </row>
    <row r="124" spans="1:17" x14ac:dyDescent="0.3">
      <c r="A124" s="10" t="s">
        <v>113</v>
      </c>
      <c r="B124" s="10" t="s">
        <v>92</v>
      </c>
      <c r="C124" s="10">
        <v>2023</v>
      </c>
      <c r="D124" s="7">
        <v>1905</v>
      </c>
      <c r="E124" s="2">
        <v>15</v>
      </c>
      <c r="F124" s="2">
        <v>15</v>
      </c>
      <c r="G124" s="2">
        <v>0</v>
      </c>
      <c r="H124" s="2">
        <v>0</v>
      </c>
      <c r="I124" s="3">
        <v>28372</v>
      </c>
      <c r="J124" s="3">
        <v>28372</v>
      </c>
      <c r="K124" s="3">
        <v>0</v>
      </c>
      <c r="L124" s="3">
        <v>0</v>
      </c>
      <c r="M124" s="15" t="s">
        <v>7</v>
      </c>
      <c r="N124" s="1">
        <v>2022</v>
      </c>
      <c r="O124" s="1" t="s">
        <v>8</v>
      </c>
      <c r="P124" s="1" t="s">
        <v>27</v>
      </c>
      <c r="Q124" s="1" t="s">
        <v>28</v>
      </c>
    </row>
    <row r="125" spans="1:17" x14ac:dyDescent="0.3">
      <c r="A125" s="10" t="s">
        <v>113</v>
      </c>
      <c r="B125" s="10" t="s">
        <v>80</v>
      </c>
      <c r="C125" s="10">
        <v>2023</v>
      </c>
      <c r="D125" s="7">
        <v>1905</v>
      </c>
      <c r="E125" s="2">
        <v>10.34</v>
      </c>
      <c r="F125" s="2">
        <v>10.34</v>
      </c>
      <c r="G125" s="2">
        <v>0</v>
      </c>
      <c r="H125" s="2">
        <v>0</v>
      </c>
      <c r="I125" s="3">
        <v>19040</v>
      </c>
      <c r="J125" s="3">
        <v>19040</v>
      </c>
      <c r="K125" s="3">
        <v>0</v>
      </c>
      <c r="L125" s="3">
        <v>0</v>
      </c>
      <c r="M125" s="15" t="s">
        <v>7</v>
      </c>
      <c r="N125" s="1">
        <v>2022</v>
      </c>
      <c r="O125" s="1" t="s">
        <v>8</v>
      </c>
      <c r="P125" s="1" t="s">
        <v>27</v>
      </c>
      <c r="Q125" s="1" t="s">
        <v>28</v>
      </c>
    </row>
    <row r="126" spans="1:17" x14ac:dyDescent="0.3">
      <c r="A126" s="10" t="s">
        <v>113</v>
      </c>
      <c r="B126" s="10" t="s">
        <v>93</v>
      </c>
      <c r="C126" s="10">
        <v>2023</v>
      </c>
      <c r="D126" s="7">
        <v>1905</v>
      </c>
      <c r="E126" s="2">
        <v>15</v>
      </c>
      <c r="F126" s="2">
        <v>15</v>
      </c>
      <c r="G126" s="2">
        <v>0</v>
      </c>
      <c r="H126" s="2">
        <v>0</v>
      </c>
      <c r="I126" s="3">
        <v>28376</v>
      </c>
      <c r="J126" s="3">
        <v>28376</v>
      </c>
      <c r="K126" s="3">
        <v>0</v>
      </c>
      <c r="L126" s="3">
        <v>0</v>
      </c>
      <c r="M126" s="15" t="s">
        <v>7</v>
      </c>
      <c r="N126" s="1">
        <v>2022</v>
      </c>
      <c r="O126" s="1" t="s">
        <v>8</v>
      </c>
      <c r="P126" s="1" t="s">
        <v>27</v>
      </c>
      <c r="Q126" s="1" t="s">
        <v>28</v>
      </c>
    </row>
    <row r="127" spans="1:17" x14ac:dyDescent="0.3">
      <c r="A127" s="10" t="s">
        <v>113</v>
      </c>
      <c r="B127" s="10" t="s">
        <v>94</v>
      </c>
      <c r="C127" s="10">
        <v>2023</v>
      </c>
      <c r="D127" s="7">
        <v>1905</v>
      </c>
      <c r="E127" s="2">
        <v>15</v>
      </c>
      <c r="F127" s="2">
        <v>15</v>
      </c>
      <c r="G127" s="2">
        <v>0</v>
      </c>
      <c r="H127" s="2">
        <v>0</v>
      </c>
      <c r="I127" s="3">
        <v>27537</v>
      </c>
      <c r="J127" s="3">
        <v>27537</v>
      </c>
      <c r="K127" s="3">
        <v>0</v>
      </c>
      <c r="L127" s="3">
        <v>0</v>
      </c>
      <c r="M127" s="15" t="s">
        <v>7</v>
      </c>
      <c r="N127" s="1">
        <v>2022</v>
      </c>
      <c r="O127" s="1" t="s">
        <v>8</v>
      </c>
      <c r="P127" s="1" t="s">
        <v>27</v>
      </c>
      <c r="Q127" s="1" t="s">
        <v>28</v>
      </c>
    </row>
    <row r="128" spans="1:17" x14ac:dyDescent="0.3">
      <c r="A128" s="10" t="s">
        <v>113</v>
      </c>
      <c r="B128" s="10" t="s">
        <v>95</v>
      </c>
      <c r="C128" s="10">
        <v>2023</v>
      </c>
      <c r="D128" s="7">
        <v>1905</v>
      </c>
      <c r="E128" s="2">
        <v>15</v>
      </c>
      <c r="F128" s="2">
        <v>15</v>
      </c>
      <c r="G128" s="2">
        <v>0</v>
      </c>
      <c r="H128" s="2">
        <v>0</v>
      </c>
      <c r="I128" s="3">
        <v>28209</v>
      </c>
      <c r="J128" s="3">
        <v>28209</v>
      </c>
      <c r="K128" s="3">
        <v>0</v>
      </c>
      <c r="L128" s="3">
        <v>0</v>
      </c>
      <c r="M128" s="15" t="s">
        <v>7</v>
      </c>
      <c r="N128" s="1">
        <v>2022</v>
      </c>
      <c r="O128" s="1" t="s">
        <v>8</v>
      </c>
      <c r="P128" s="1" t="s">
        <v>27</v>
      </c>
      <c r="Q128" s="1" t="s">
        <v>28</v>
      </c>
    </row>
    <row r="129" spans="1:17" x14ac:dyDescent="0.3">
      <c r="A129" s="10" t="s">
        <v>113</v>
      </c>
      <c r="B129" s="10" t="s">
        <v>96</v>
      </c>
      <c r="C129" s="10">
        <v>2023</v>
      </c>
      <c r="D129" s="7">
        <v>1905</v>
      </c>
      <c r="E129" s="2">
        <v>12.04</v>
      </c>
      <c r="F129" s="2">
        <v>12.04</v>
      </c>
      <c r="G129" s="2">
        <v>0</v>
      </c>
      <c r="H129" s="2">
        <v>0</v>
      </c>
      <c r="I129" s="3">
        <v>22986</v>
      </c>
      <c r="J129" s="3">
        <v>22986</v>
      </c>
      <c r="K129" s="3">
        <v>0</v>
      </c>
      <c r="L129" s="3">
        <v>0</v>
      </c>
      <c r="M129" s="15" t="s">
        <v>7</v>
      </c>
      <c r="N129" s="1">
        <v>2022</v>
      </c>
      <c r="O129" s="1" t="s">
        <v>12</v>
      </c>
      <c r="P129" s="1" t="s">
        <v>27</v>
      </c>
      <c r="Q129" s="1" t="s">
        <v>28</v>
      </c>
    </row>
    <row r="130" spans="1:17" x14ac:dyDescent="0.3">
      <c r="A130" s="10" t="s">
        <v>113</v>
      </c>
      <c r="B130" s="10" t="s">
        <v>97</v>
      </c>
      <c r="C130" s="10">
        <v>2023</v>
      </c>
      <c r="D130" s="7">
        <v>1905</v>
      </c>
      <c r="E130" s="2">
        <v>16.8</v>
      </c>
      <c r="F130" s="2">
        <v>16.8</v>
      </c>
      <c r="G130" s="2">
        <v>0</v>
      </c>
      <c r="H130" s="2">
        <v>0</v>
      </c>
      <c r="I130" s="3">
        <v>32260</v>
      </c>
      <c r="J130" s="3">
        <v>32260</v>
      </c>
      <c r="K130" s="3">
        <v>0</v>
      </c>
      <c r="L130" s="3">
        <v>0</v>
      </c>
      <c r="M130" s="15" t="s">
        <v>7</v>
      </c>
      <c r="N130" s="1">
        <v>2022</v>
      </c>
      <c r="O130" s="1" t="s">
        <v>12</v>
      </c>
      <c r="P130" s="1" t="s">
        <v>27</v>
      </c>
      <c r="Q130" s="1" t="s">
        <v>28</v>
      </c>
    </row>
    <row r="131" spans="1:17" x14ac:dyDescent="0.3">
      <c r="A131" s="10" t="s">
        <v>113</v>
      </c>
      <c r="B131" s="10" t="s">
        <v>98</v>
      </c>
      <c r="C131" s="10">
        <v>2023</v>
      </c>
      <c r="D131" s="7">
        <v>1905</v>
      </c>
      <c r="E131" s="2">
        <v>7.5</v>
      </c>
      <c r="F131" s="2">
        <v>7.5</v>
      </c>
      <c r="G131" s="2">
        <v>0</v>
      </c>
      <c r="H131" s="2">
        <v>0</v>
      </c>
      <c r="I131" s="3">
        <v>14314</v>
      </c>
      <c r="J131" s="3">
        <v>14314</v>
      </c>
      <c r="K131" s="3">
        <v>0</v>
      </c>
      <c r="L131" s="3">
        <v>0</v>
      </c>
      <c r="M131" s="15" t="s">
        <v>7</v>
      </c>
      <c r="N131" s="1">
        <v>2022</v>
      </c>
      <c r="O131" s="1" t="s">
        <v>12</v>
      </c>
      <c r="P131" s="1" t="s">
        <v>27</v>
      </c>
      <c r="Q131" s="1" t="s">
        <v>28</v>
      </c>
    </row>
    <row r="132" spans="1:17" x14ac:dyDescent="0.3">
      <c r="A132" s="10" t="s">
        <v>113</v>
      </c>
      <c r="B132" s="10" t="s">
        <v>99</v>
      </c>
      <c r="C132" s="10">
        <v>2023</v>
      </c>
      <c r="D132" s="8">
        <v>1754</v>
      </c>
      <c r="E132" s="2">
        <v>18.510000000000002</v>
      </c>
      <c r="F132" s="2">
        <v>18.510000000000002</v>
      </c>
      <c r="G132" s="2">
        <v>0</v>
      </c>
      <c r="H132" s="2">
        <v>0</v>
      </c>
      <c r="I132" s="3">
        <v>34606</v>
      </c>
      <c r="J132" s="3">
        <v>34606</v>
      </c>
      <c r="K132" s="3">
        <v>0</v>
      </c>
      <c r="L132" s="3">
        <v>0</v>
      </c>
      <c r="M132" s="15" t="s">
        <v>7</v>
      </c>
      <c r="N132" s="1">
        <v>2022</v>
      </c>
      <c r="O132" s="1" t="s">
        <v>8</v>
      </c>
      <c r="P132" s="1" t="s">
        <v>27</v>
      </c>
      <c r="Q132" s="1"/>
    </row>
    <row r="133" spans="1:17" x14ac:dyDescent="0.3">
      <c r="A133" s="10" t="s">
        <v>113</v>
      </c>
      <c r="B133" s="10" t="s">
        <v>100</v>
      </c>
      <c r="C133" s="10">
        <v>2023</v>
      </c>
      <c r="D133" s="8">
        <v>1754</v>
      </c>
      <c r="E133" s="2">
        <v>8.33</v>
      </c>
      <c r="F133" s="2">
        <v>8.33</v>
      </c>
      <c r="G133" s="2">
        <v>0</v>
      </c>
      <c r="H133" s="2">
        <v>0</v>
      </c>
      <c r="I133" s="3">
        <v>11785</v>
      </c>
      <c r="J133" s="3">
        <v>11785</v>
      </c>
      <c r="K133" s="3">
        <v>0</v>
      </c>
      <c r="L133" s="3">
        <v>0</v>
      </c>
      <c r="M133" s="15" t="s">
        <v>7</v>
      </c>
      <c r="N133" s="1">
        <v>2022</v>
      </c>
      <c r="O133" s="1" t="s">
        <v>8</v>
      </c>
      <c r="P133" s="1" t="s">
        <v>27</v>
      </c>
      <c r="Q133" s="1"/>
    </row>
    <row r="134" spans="1:17" x14ac:dyDescent="0.3">
      <c r="A134" s="12" t="s">
        <v>116</v>
      </c>
      <c r="B134" s="12" t="s">
        <v>45</v>
      </c>
      <c r="C134" s="10">
        <v>2023</v>
      </c>
      <c r="D134" s="12"/>
      <c r="E134" s="2">
        <v>8.08</v>
      </c>
      <c r="F134" s="2">
        <v>0</v>
      </c>
      <c r="G134" s="2">
        <v>8.08</v>
      </c>
      <c r="H134" s="2">
        <v>0</v>
      </c>
      <c r="I134" s="3">
        <v>15392</v>
      </c>
      <c r="J134" s="3">
        <v>0</v>
      </c>
      <c r="K134" s="3">
        <v>15392</v>
      </c>
      <c r="L134" s="3">
        <v>0</v>
      </c>
      <c r="M134" s="10" t="s">
        <v>91</v>
      </c>
      <c r="N134" s="1">
        <v>2023</v>
      </c>
      <c r="O134" s="1"/>
      <c r="P134" s="1"/>
      <c r="Q134" s="1"/>
    </row>
    <row r="135" spans="1:17" x14ac:dyDescent="0.3">
      <c r="A135" s="12" t="s">
        <v>116</v>
      </c>
      <c r="B135" s="12" t="s">
        <v>47</v>
      </c>
      <c r="C135" s="10">
        <v>2023</v>
      </c>
      <c r="D135" s="12"/>
      <c r="E135" s="2">
        <v>8.77</v>
      </c>
      <c r="F135" s="2">
        <v>0</v>
      </c>
      <c r="G135" s="2">
        <v>8.77</v>
      </c>
      <c r="H135" s="2">
        <v>0</v>
      </c>
      <c r="I135" s="3">
        <v>16707</v>
      </c>
      <c r="J135" s="3">
        <v>0</v>
      </c>
      <c r="K135" s="3">
        <v>16707</v>
      </c>
      <c r="L135" s="3">
        <v>0</v>
      </c>
      <c r="M135" s="10" t="s">
        <v>91</v>
      </c>
      <c r="N135" s="1">
        <v>2023</v>
      </c>
      <c r="O135" s="1"/>
      <c r="P135" s="1"/>
      <c r="Q135" s="1"/>
    </row>
    <row r="136" spans="1:17" x14ac:dyDescent="0.3">
      <c r="A136" s="12" t="s">
        <v>116</v>
      </c>
      <c r="B136" s="12" t="s">
        <v>83</v>
      </c>
      <c r="C136" s="10">
        <v>2023</v>
      </c>
      <c r="D136" s="12"/>
      <c r="E136" s="2">
        <v>11.6</v>
      </c>
      <c r="F136" s="2">
        <v>0</v>
      </c>
      <c r="G136" s="2">
        <v>11.6</v>
      </c>
      <c r="H136" s="2">
        <v>0</v>
      </c>
      <c r="I136" s="3">
        <v>22098</v>
      </c>
      <c r="J136" s="3">
        <v>0</v>
      </c>
      <c r="K136" s="3">
        <v>22098</v>
      </c>
      <c r="L136" s="3">
        <v>0</v>
      </c>
      <c r="M136" s="10" t="s">
        <v>91</v>
      </c>
      <c r="N136" s="1">
        <v>2023</v>
      </c>
      <c r="O136" s="1"/>
      <c r="P136" s="1"/>
      <c r="Q136" s="1"/>
    </row>
    <row r="137" spans="1:17" x14ac:dyDescent="0.3">
      <c r="A137" s="10" t="s">
        <v>116</v>
      </c>
      <c r="B137" s="10" t="s">
        <v>78</v>
      </c>
      <c r="C137" s="10">
        <v>2023</v>
      </c>
      <c r="D137" s="4">
        <v>1905</v>
      </c>
      <c r="E137" s="2">
        <v>0.68</v>
      </c>
      <c r="F137" s="2">
        <v>0.68083989501312336</v>
      </c>
      <c r="G137" s="2">
        <v>0</v>
      </c>
      <c r="H137" s="2">
        <v>0</v>
      </c>
      <c r="I137" s="3">
        <v>1297</v>
      </c>
      <c r="J137" s="3">
        <v>1297</v>
      </c>
      <c r="K137" s="3">
        <v>0</v>
      </c>
      <c r="L137" s="3">
        <v>0</v>
      </c>
      <c r="M137" s="15" t="s">
        <v>7</v>
      </c>
      <c r="N137" s="5">
        <v>2022</v>
      </c>
      <c r="O137" s="1" t="s">
        <v>12</v>
      </c>
      <c r="P137" s="1" t="s">
        <v>27</v>
      </c>
      <c r="Q137" s="1" t="s">
        <v>34</v>
      </c>
    </row>
    <row r="138" spans="1:17" x14ac:dyDescent="0.3">
      <c r="A138" s="12" t="s">
        <v>117</v>
      </c>
      <c r="B138" s="12" t="s">
        <v>101</v>
      </c>
      <c r="C138" s="10">
        <v>2023</v>
      </c>
      <c r="D138" s="12"/>
      <c r="E138" s="2">
        <v>10</v>
      </c>
      <c r="F138" s="2">
        <v>0</v>
      </c>
      <c r="G138" s="2">
        <v>10</v>
      </c>
      <c r="H138" s="2">
        <v>0</v>
      </c>
      <c r="I138" s="3">
        <v>19050</v>
      </c>
      <c r="J138" s="3">
        <v>0</v>
      </c>
      <c r="K138" s="3">
        <v>19050</v>
      </c>
      <c r="L138" s="3">
        <v>0</v>
      </c>
      <c r="M138" s="10" t="s">
        <v>91</v>
      </c>
      <c r="N138" s="1">
        <v>2023</v>
      </c>
      <c r="O138" s="1"/>
      <c r="P138" s="1"/>
      <c r="Q138" s="1"/>
    </row>
    <row r="139" spans="1:17" x14ac:dyDescent="0.3">
      <c r="A139" s="12" t="s">
        <v>117</v>
      </c>
      <c r="B139" s="12" t="s">
        <v>103</v>
      </c>
      <c r="C139" s="10">
        <v>2023</v>
      </c>
      <c r="D139" s="12"/>
      <c r="E139" s="2">
        <v>10</v>
      </c>
      <c r="F139" s="2">
        <v>0</v>
      </c>
      <c r="G139" s="2">
        <v>10</v>
      </c>
      <c r="H139" s="2">
        <v>0</v>
      </c>
      <c r="I139" s="3">
        <v>19050</v>
      </c>
      <c r="J139" s="3">
        <v>0</v>
      </c>
      <c r="K139" s="3">
        <v>19050</v>
      </c>
      <c r="L139" s="3">
        <v>0</v>
      </c>
      <c r="M139" s="10" t="s">
        <v>91</v>
      </c>
      <c r="N139" s="1">
        <v>2023</v>
      </c>
      <c r="O139" s="1"/>
      <c r="P139" s="1"/>
      <c r="Q139" s="1"/>
    </row>
    <row r="140" spans="1:17" x14ac:dyDescent="0.3">
      <c r="A140" s="10" t="s">
        <v>109</v>
      </c>
      <c r="B140" s="10" t="s">
        <v>59</v>
      </c>
      <c r="C140" s="10">
        <v>2023</v>
      </c>
      <c r="D140" s="4">
        <v>1905</v>
      </c>
      <c r="E140" s="2">
        <v>7.21</v>
      </c>
      <c r="F140" s="2">
        <v>6.91</v>
      </c>
      <c r="G140" s="2">
        <v>0</v>
      </c>
      <c r="H140" s="2">
        <v>0.29999999999999982</v>
      </c>
      <c r="I140" s="3">
        <v>13740</v>
      </c>
      <c r="J140" s="11">
        <v>13164</v>
      </c>
      <c r="K140" s="11">
        <v>0</v>
      </c>
      <c r="L140" s="11">
        <v>576</v>
      </c>
      <c r="M140" s="1" t="s">
        <v>7</v>
      </c>
      <c r="N140" s="1">
        <v>2018</v>
      </c>
      <c r="O140" s="1" t="s">
        <v>8</v>
      </c>
      <c r="P140" s="1"/>
      <c r="Q140" s="1" t="s">
        <v>34</v>
      </c>
    </row>
    <row r="141" spans="1:17" x14ac:dyDescent="0.3">
      <c r="A141" s="10" t="s">
        <v>109</v>
      </c>
      <c r="B141" s="10" t="s">
        <v>60</v>
      </c>
      <c r="C141" s="10">
        <v>2023</v>
      </c>
      <c r="D141" s="4">
        <v>1905</v>
      </c>
      <c r="E141" s="2">
        <v>3.77</v>
      </c>
      <c r="F141" s="2">
        <f>3.3+0.34</f>
        <v>3.6399999999999997</v>
      </c>
      <c r="G141" s="2">
        <v>0</v>
      </c>
      <c r="H141" s="2">
        <v>0.13000000000000034</v>
      </c>
      <c r="I141" s="3">
        <v>7176</v>
      </c>
      <c r="J141" s="11">
        <f>6291+652</f>
        <v>6943</v>
      </c>
      <c r="K141" s="11">
        <v>0</v>
      </c>
      <c r="L141" s="11">
        <v>233</v>
      </c>
      <c r="M141" s="1" t="s">
        <v>7</v>
      </c>
      <c r="N141" s="1" t="s">
        <v>61</v>
      </c>
      <c r="O141" s="1" t="s">
        <v>8</v>
      </c>
      <c r="P141" s="1"/>
      <c r="Q141" s="1" t="s">
        <v>34</v>
      </c>
    </row>
    <row r="142" spans="1:17" x14ac:dyDescent="0.3">
      <c r="A142" s="10" t="s">
        <v>109</v>
      </c>
      <c r="B142" s="10" t="s">
        <v>62</v>
      </c>
      <c r="C142" s="10">
        <v>2023</v>
      </c>
      <c r="D142" s="4">
        <v>1780</v>
      </c>
      <c r="E142" s="2">
        <v>10.67</v>
      </c>
      <c r="F142" s="2">
        <f>10.44+0.09</f>
        <v>10.53</v>
      </c>
      <c r="G142" s="2">
        <v>0</v>
      </c>
      <c r="H142" s="2">
        <v>0.14000000000000057</v>
      </c>
      <c r="I142" s="3">
        <v>18993</v>
      </c>
      <c r="J142" s="11">
        <f>18587+152</f>
        <v>18739</v>
      </c>
      <c r="K142" s="11">
        <v>0</v>
      </c>
      <c r="L142" s="11">
        <v>254</v>
      </c>
      <c r="M142" s="1" t="s">
        <v>7</v>
      </c>
      <c r="N142" s="1">
        <v>2020</v>
      </c>
      <c r="O142" s="1" t="s">
        <v>12</v>
      </c>
      <c r="P142" s="1" t="s">
        <v>27</v>
      </c>
      <c r="Q142" s="1" t="s">
        <v>34</v>
      </c>
    </row>
    <row r="143" spans="1:17" x14ac:dyDescent="0.3">
      <c r="A143" s="10" t="s">
        <v>109</v>
      </c>
      <c r="B143" s="10" t="s">
        <v>63</v>
      </c>
      <c r="C143" s="10">
        <v>2023</v>
      </c>
      <c r="D143" s="4">
        <v>1780</v>
      </c>
      <c r="E143" s="2">
        <v>14.68</v>
      </c>
      <c r="F143" s="2">
        <f>14.18+0.33</f>
        <v>14.51</v>
      </c>
      <c r="G143" s="2">
        <v>0</v>
      </c>
      <c r="H143" s="2">
        <v>0.16999999999999993</v>
      </c>
      <c r="I143" s="3">
        <v>26134</v>
      </c>
      <c r="J143" s="11">
        <f>25242+594</f>
        <v>25836</v>
      </c>
      <c r="K143" s="11">
        <v>0</v>
      </c>
      <c r="L143" s="11">
        <v>298</v>
      </c>
      <c r="M143" s="1" t="s">
        <v>7</v>
      </c>
      <c r="N143" s="1">
        <v>2020</v>
      </c>
      <c r="O143" s="1" t="s">
        <v>12</v>
      </c>
      <c r="P143" s="1" t="s">
        <v>27</v>
      </c>
      <c r="Q143" s="1" t="s">
        <v>34</v>
      </c>
    </row>
    <row r="144" spans="1:17" x14ac:dyDescent="0.3">
      <c r="A144" s="10" t="s">
        <v>109</v>
      </c>
      <c r="B144" s="10" t="s">
        <v>64</v>
      </c>
      <c r="C144" s="10">
        <v>2023</v>
      </c>
      <c r="D144" s="4">
        <v>1780</v>
      </c>
      <c r="E144" s="2">
        <v>13.64</v>
      </c>
      <c r="F144" s="2">
        <f>13.57+0.07</f>
        <v>13.64</v>
      </c>
      <c r="G144" s="2">
        <v>0</v>
      </c>
      <c r="H144" s="2">
        <v>0</v>
      </c>
      <c r="I144" s="3">
        <v>24277</v>
      </c>
      <c r="J144" s="11">
        <f>24149+116</f>
        <v>24265</v>
      </c>
      <c r="K144" s="11">
        <v>0</v>
      </c>
      <c r="L144" s="11">
        <v>12</v>
      </c>
      <c r="M144" s="1" t="s">
        <v>7</v>
      </c>
      <c r="N144" s="1">
        <v>2020</v>
      </c>
      <c r="O144" s="1" t="s">
        <v>12</v>
      </c>
      <c r="P144" s="1" t="s">
        <v>27</v>
      </c>
      <c r="Q144" s="1" t="s">
        <v>34</v>
      </c>
    </row>
    <row r="145" spans="1:17" x14ac:dyDescent="0.3">
      <c r="A145" s="10" t="s">
        <v>109</v>
      </c>
      <c r="B145" s="10" t="s">
        <v>65</v>
      </c>
      <c r="C145" s="10">
        <v>2023</v>
      </c>
      <c r="D145" s="7">
        <v>1838</v>
      </c>
      <c r="E145" s="2">
        <v>13.12</v>
      </c>
      <c r="F145" s="2">
        <f>12.43+0.64</f>
        <v>13.07</v>
      </c>
      <c r="G145" s="2">
        <v>0</v>
      </c>
      <c r="H145" s="2">
        <v>4.9999999999998934E-2</v>
      </c>
      <c r="I145" s="3">
        <v>24115</v>
      </c>
      <c r="J145" s="11">
        <f>22841+1182</f>
        <v>24023</v>
      </c>
      <c r="K145" s="11">
        <v>0</v>
      </c>
      <c r="L145" s="11">
        <v>92</v>
      </c>
      <c r="M145" s="1" t="s">
        <v>7</v>
      </c>
      <c r="N145" s="1">
        <v>2021</v>
      </c>
      <c r="O145" s="1" t="s">
        <v>12</v>
      </c>
      <c r="P145" s="1" t="s">
        <v>27</v>
      </c>
      <c r="Q145" s="1" t="s">
        <v>28</v>
      </c>
    </row>
    <row r="146" spans="1:17" x14ac:dyDescent="0.3">
      <c r="A146" s="10" t="s">
        <v>109</v>
      </c>
      <c r="B146" s="10" t="s">
        <v>66</v>
      </c>
      <c r="C146" s="10">
        <v>2023</v>
      </c>
      <c r="D146" s="7">
        <v>1838</v>
      </c>
      <c r="E146" s="2">
        <v>12.71</v>
      </c>
      <c r="F146" s="2">
        <f>11.94+0.71</f>
        <v>12.649999999999999</v>
      </c>
      <c r="G146" s="2">
        <v>0</v>
      </c>
      <c r="H146" s="2">
        <v>6.0000000000002274E-2</v>
      </c>
      <c r="I146" s="3">
        <v>23370</v>
      </c>
      <c r="J146" s="11">
        <f>21952+1311</f>
        <v>23263</v>
      </c>
      <c r="K146" s="11">
        <v>0</v>
      </c>
      <c r="L146" s="11">
        <v>107</v>
      </c>
      <c r="M146" s="1" t="s">
        <v>7</v>
      </c>
      <c r="N146" s="1">
        <v>2021</v>
      </c>
      <c r="O146" s="1" t="s">
        <v>12</v>
      </c>
      <c r="P146" s="1" t="s">
        <v>27</v>
      </c>
      <c r="Q146" s="1" t="s">
        <v>28</v>
      </c>
    </row>
    <row r="147" spans="1:17" x14ac:dyDescent="0.3">
      <c r="A147" s="13" t="s">
        <v>109</v>
      </c>
      <c r="B147" s="13" t="s">
        <v>104</v>
      </c>
      <c r="C147" s="10">
        <v>2023</v>
      </c>
      <c r="D147" s="13"/>
      <c r="E147" s="2">
        <v>10</v>
      </c>
      <c r="F147" s="2">
        <v>0</v>
      </c>
      <c r="G147" s="2">
        <v>10</v>
      </c>
      <c r="H147" s="2">
        <v>0</v>
      </c>
      <c r="I147" s="3">
        <v>19050</v>
      </c>
      <c r="J147" s="3">
        <v>0</v>
      </c>
      <c r="K147" s="3">
        <v>19050</v>
      </c>
      <c r="L147" s="3">
        <v>0</v>
      </c>
      <c r="M147" s="10" t="s">
        <v>91</v>
      </c>
      <c r="N147" s="1">
        <v>2023</v>
      </c>
      <c r="O147" s="1"/>
      <c r="P147" s="1"/>
      <c r="Q147" s="1"/>
    </row>
    <row r="148" spans="1:17" x14ac:dyDescent="0.3">
      <c r="A148" s="13" t="s">
        <v>109</v>
      </c>
      <c r="B148" s="13" t="s">
        <v>102</v>
      </c>
      <c r="C148" s="10">
        <v>2023</v>
      </c>
      <c r="D148" s="13"/>
      <c r="E148" s="2">
        <v>10</v>
      </c>
      <c r="F148" s="2">
        <v>0</v>
      </c>
      <c r="G148" s="2">
        <v>10</v>
      </c>
      <c r="H148" s="2">
        <v>0</v>
      </c>
      <c r="I148" s="3">
        <v>19050</v>
      </c>
      <c r="J148" s="3">
        <v>0</v>
      </c>
      <c r="K148" s="3">
        <v>19050</v>
      </c>
      <c r="L148" s="3">
        <v>0</v>
      </c>
      <c r="M148" s="10" t="s">
        <v>91</v>
      </c>
      <c r="N148" s="1">
        <v>2023</v>
      </c>
      <c r="O148" s="1"/>
      <c r="P148" s="1"/>
      <c r="Q148" s="1"/>
    </row>
    <row r="149" spans="1:17" x14ac:dyDescent="0.3">
      <c r="A149" s="12" t="s">
        <v>110</v>
      </c>
      <c r="B149" s="12" t="s">
        <v>48</v>
      </c>
      <c r="C149" s="10">
        <v>2023</v>
      </c>
      <c r="D149" s="12"/>
      <c r="E149" s="2">
        <v>15.88</v>
      </c>
      <c r="F149" s="2">
        <v>0</v>
      </c>
      <c r="G149" s="2">
        <v>15.88</v>
      </c>
      <c r="H149" s="2">
        <v>0</v>
      </c>
      <c r="I149" s="3">
        <v>30251</v>
      </c>
      <c r="J149" s="3">
        <v>0</v>
      </c>
      <c r="K149" s="3">
        <v>30251</v>
      </c>
      <c r="L149" s="3">
        <v>0</v>
      </c>
      <c r="M149" s="10" t="s">
        <v>91</v>
      </c>
      <c r="N149" s="1">
        <v>2023</v>
      </c>
      <c r="O149" s="1"/>
      <c r="P149" s="1"/>
      <c r="Q149" s="1"/>
    </row>
    <row r="150" spans="1:17" x14ac:dyDescent="0.3">
      <c r="A150" s="12" t="s">
        <v>110</v>
      </c>
      <c r="B150" s="12" t="s">
        <v>50</v>
      </c>
      <c r="C150" s="10">
        <v>2023</v>
      </c>
      <c r="D150" s="12"/>
      <c r="E150" s="2">
        <v>18.329999999999998</v>
      </c>
      <c r="F150" s="2">
        <v>0</v>
      </c>
      <c r="G150" s="2">
        <v>18.329999999999998</v>
      </c>
      <c r="H150" s="2">
        <v>0</v>
      </c>
      <c r="I150" s="3">
        <v>34919</v>
      </c>
      <c r="J150" s="3">
        <v>0</v>
      </c>
      <c r="K150" s="3">
        <v>34919</v>
      </c>
      <c r="L150" s="3">
        <v>0</v>
      </c>
      <c r="M150" s="10" t="s">
        <v>91</v>
      </c>
      <c r="N150" s="1">
        <v>2023</v>
      </c>
      <c r="O150" s="1"/>
      <c r="P150" s="1"/>
      <c r="Q150" s="1"/>
    </row>
    <row r="151" spans="1:17" x14ac:dyDescent="0.3">
      <c r="A151" s="10" t="s">
        <v>110</v>
      </c>
      <c r="B151" s="10" t="s">
        <v>67</v>
      </c>
      <c r="C151" s="10">
        <v>2023</v>
      </c>
      <c r="D151" s="4">
        <v>1684</v>
      </c>
      <c r="E151" s="2">
        <v>10.24</v>
      </c>
      <c r="F151" s="2">
        <f>10+0.16</f>
        <v>10.16</v>
      </c>
      <c r="G151" s="2">
        <v>0</v>
      </c>
      <c r="H151" s="2">
        <v>8.0000000000000071E-2</v>
      </c>
      <c r="I151" s="3">
        <v>17244</v>
      </c>
      <c r="J151" s="11">
        <f>16836+262</f>
        <v>17098</v>
      </c>
      <c r="K151" s="11">
        <v>0</v>
      </c>
      <c r="L151" s="11">
        <v>146</v>
      </c>
      <c r="M151" s="2" t="s">
        <v>7</v>
      </c>
      <c r="N151" s="5">
        <v>2018</v>
      </c>
      <c r="O151" s="1" t="s">
        <v>12</v>
      </c>
      <c r="P151" s="1"/>
      <c r="Q151" s="1" t="s">
        <v>53</v>
      </c>
    </row>
    <row r="152" spans="1:17" x14ac:dyDescent="0.3">
      <c r="A152" s="10" t="s">
        <v>110</v>
      </c>
      <c r="B152" s="10" t="s">
        <v>68</v>
      </c>
      <c r="C152" s="10">
        <v>2023</v>
      </c>
      <c r="D152" s="4">
        <v>1684</v>
      </c>
      <c r="E152" s="2">
        <v>13.54</v>
      </c>
      <c r="F152" s="2">
        <f>13.27+0.13</f>
        <v>13.4</v>
      </c>
      <c r="G152" s="2">
        <v>0</v>
      </c>
      <c r="H152" s="2">
        <v>0.13999999999999879</v>
      </c>
      <c r="I152" s="3">
        <v>22805</v>
      </c>
      <c r="J152" s="11">
        <f>22351+217</f>
        <v>22568</v>
      </c>
      <c r="K152" s="11">
        <v>0</v>
      </c>
      <c r="L152" s="11">
        <v>237</v>
      </c>
      <c r="M152" s="2" t="s">
        <v>7</v>
      </c>
      <c r="N152" s="5">
        <v>2018</v>
      </c>
      <c r="O152" s="1" t="s">
        <v>12</v>
      </c>
      <c r="P152" s="1"/>
      <c r="Q152" s="1" t="s">
        <v>53</v>
      </c>
    </row>
    <row r="153" spans="1:17" x14ac:dyDescent="0.3">
      <c r="A153" s="10" t="s">
        <v>110</v>
      </c>
      <c r="B153" s="10" t="s">
        <v>69</v>
      </c>
      <c r="C153" s="10">
        <v>2023</v>
      </c>
      <c r="D153" s="4">
        <v>1684</v>
      </c>
      <c r="E153" s="2">
        <v>14.81</v>
      </c>
      <c r="F153" s="2">
        <f>14.54+0.07</f>
        <v>14.61</v>
      </c>
      <c r="G153" s="2">
        <v>0</v>
      </c>
      <c r="H153" s="2">
        <v>0.20000000000000107</v>
      </c>
      <c r="I153" s="3">
        <v>24934</v>
      </c>
      <c r="J153" s="11">
        <f>24478+111</f>
        <v>24589</v>
      </c>
      <c r="K153" s="11">
        <v>0</v>
      </c>
      <c r="L153" s="11">
        <v>345</v>
      </c>
      <c r="M153" s="2" t="s">
        <v>7</v>
      </c>
      <c r="N153" s="5">
        <v>2018</v>
      </c>
      <c r="O153" s="1" t="s">
        <v>12</v>
      </c>
      <c r="P153" s="1"/>
      <c r="Q153" s="1" t="s">
        <v>53</v>
      </c>
    </row>
    <row r="154" spans="1:17" x14ac:dyDescent="0.3">
      <c r="A154" s="10" t="s">
        <v>110</v>
      </c>
      <c r="B154" s="10" t="s">
        <v>70</v>
      </c>
      <c r="C154" s="10">
        <v>2023</v>
      </c>
      <c r="D154" s="4">
        <v>1262</v>
      </c>
      <c r="E154" s="2">
        <v>12.26</v>
      </c>
      <c r="F154" s="2">
        <f>11.89+0.12</f>
        <v>12.01</v>
      </c>
      <c r="G154" s="2">
        <v>0</v>
      </c>
      <c r="H154" s="2">
        <v>0.25</v>
      </c>
      <c r="I154" s="3">
        <v>15472</v>
      </c>
      <c r="J154" s="11">
        <f>15004+153</f>
        <v>15157</v>
      </c>
      <c r="K154" s="11">
        <v>0</v>
      </c>
      <c r="L154" s="11">
        <v>315</v>
      </c>
      <c r="M154" s="2" t="s">
        <v>7</v>
      </c>
      <c r="N154" s="5">
        <v>2018</v>
      </c>
      <c r="O154" s="1" t="s">
        <v>12</v>
      </c>
      <c r="P154" s="1"/>
      <c r="Q154" s="1" t="s">
        <v>53</v>
      </c>
    </row>
    <row r="155" spans="1:17" x14ac:dyDescent="0.3">
      <c r="A155" s="10" t="s">
        <v>110</v>
      </c>
      <c r="B155" s="10" t="s">
        <v>71</v>
      </c>
      <c r="C155" s="10">
        <v>2023</v>
      </c>
      <c r="D155" s="4">
        <v>1780.2</v>
      </c>
      <c r="E155" s="2">
        <v>15</v>
      </c>
      <c r="F155" s="2">
        <f>10.97+3.84</f>
        <v>14.81</v>
      </c>
      <c r="G155" s="2">
        <v>0</v>
      </c>
      <c r="H155" s="2">
        <v>0.1899999999999995</v>
      </c>
      <c r="I155" s="3">
        <v>26703</v>
      </c>
      <c r="J155" s="11">
        <f>19530+6834</f>
        <v>26364</v>
      </c>
      <c r="K155" s="11">
        <v>0</v>
      </c>
      <c r="L155" s="11">
        <v>339</v>
      </c>
      <c r="M155" s="2" t="s">
        <v>7</v>
      </c>
      <c r="N155" s="5">
        <v>2020</v>
      </c>
      <c r="O155" s="1" t="s">
        <v>12</v>
      </c>
      <c r="P155" s="1"/>
      <c r="Q155" s="1" t="s">
        <v>46</v>
      </c>
    </row>
    <row r="156" spans="1:17" x14ac:dyDescent="0.3">
      <c r="A156" s="10" t="s">
        <v>110</v>
      </c>
      <c r="B156" s="10" t="s">
        <v>72</v>
      </c>
      <c r="C156" s="10">
        <v>2023</v>
      </c>
      <c r="D156" s="4">
        <v>1780.2</v>
      </c>
      <c r="E156" s="2">
        <v>14.99</v>
      </c>
      <c r="F156" s="2">
        <f>12.22+2.59</f>
        <v>14.81</v>
      </c>
      <c r="G156" s="2">
        <v>0</v>
      </c>
      <c r="H156" s="2">
        <v>0.17999999999999972</v>
      </c>
      <c r="I156" s="3">
        <v>26688</v>
      </c>
      <c r="J156" s="11">
        <f>21753+4615</f>
        <v>26368</v>
      </c>
      <c r="K156" s="11">
        <v>0</v>
      </c>
      <c r="L156" s="11">
        <v>320</v>
      </c>
      <c r="M156" s="2" t="s">
        <v>7</v>
      </c>
      <c r="N156" s="5">
        <v>2020</v>
      </c>
      <c r="O156" s="1" t="s">
        <v>12</v>
      </c>
      <c r="P156" s="1"/>
      <c r="Q156" s="1" t="s">
        <v>46</v>
      </c>
    </row>
    <row r="157" spans="1:17" x14ac:dyDescent="0.3">
      <c r="A157" s="10" t="s">
        <v>110</v>
      </c>
      <c r="B157" s="10" t="s">
        <v>73</v>
      </c>
      <c r="C157" s="10">
        <v>2023</v>
      </c>
      <c r="D157" s="4">
        <v>1779.3333333333333</v>
      </c>
      <c r="E157" s="2">
        <v>14.99</v>
      </c>
      <c r="F157" s="2">
        <f>13.54+0.52</f>
        <v>14.059999999999999</v>
      </c>
      <c r="G157" s="2">
        <v>0</v>
      </c>
      <c r="H157" s="2">
        <v>0.93000000000000149</v>
      </c>
      <c r="I157" s="3">
        <v>26690</v>
      </c>
      <c r="J157" s="11">
        <f>24106+929</f>
        <v>25035</v>
      </c>
      <c r="K157" s="11">
        <v>0</v>
      </c>
      <c r="L157" s="11">
        <v>1655</v>
      </c>
      <c r="M157" s="2" t="s">
        <v>7</v>
      </c>
      <c r="N157" s="5">
        <v>2020</v>
      </c>
      <c r="O157" s="1" t="s">
        <v>12</v>
      </c>
      <c r="P157" s="1"/>
      <c r="Q157" s="1" t="s">
        <v>46</v>
      </c>
    </row>
    <row r="158" spans="1:17" x14ac:dyDescent="0.3">
      <c r="A158" s="10" t="s">
        <v>110</v>
      </c>
      <c r="B158" s="10" t="s">
        <v>74</v>
      </c>
      <c r="C158" s="10">
        <v>2023</v>
      </c>
      <c r="D158" s="8">
        <v>1894</v>
      </c>
      <c r="E158" s="2">
        <v>14.96</v>
      </c>
      <c r="F158" s="2">
        <f>14.05+0.73</f>
        <v>14.780000000000001</v>
      </c>
      <c r="G158" s="2">
        <v>0</v>
      </c>
      <c r="H158" s="2">
        <v>0.17999999999999972</v>
      </c>
      <c r="I158" s="3">
        <v>28343</v>
      </c>
      <c r="J158" s="11">
        <f>26609+1383</f>
        <v>27992</v>
      </c>
      <c r="K158" s="11">
        <v>0</v>
      </c>
      <c r="L158" s="11">
        <v>351</v>
      </c>
      <c r="M158" s="2" t="s">
        <v>7</v>
      </c>
      <c r="N158" s="5">
        <v>2021</v>
      </c>
      <c r="O158" s="1" t="s">
        <v>12</v>
      </c>
      <c r="P158" s="1"/>
      <c r="Q158" s="1" t="s">
        <v>53</v>
      </c>
    </row>
    <row r="159" spans="1:17" x14ac:dyDescent="0.3">
      <c r="A159" s="10" t="s">
        <v>110</v>
      </c>
      <c r="B159" s="10" t="s">
        <v>75</v>
      </c>
      <c r="C159" s="10">
        <v>2023</v>
      </c>
      <c r="D159" s="8">
        <v>1894</v>
      </c>
      <c r="E159" s="2">
        <v>4.3600000000000003</v>
      </c>
      <c r="F159" s="2">
        <f>4.17+0.12</f>
        <v>4.29</v>
      </c>
      <c r="G159" s="2">
        <v>0</v>
      </c>
      <c r="H159" s="2">
        <v>7.0000000000000284E-2</v>
      </c>
      <c r="I159" s="3">
        <v>8256</v>
      </c>
      <c r="J159" s="11">
        <f>7897+220</f>
        <v>8117</v>
      </c>
      <c r="K159" s="11">
        <v>0</v>
      </c>
      <c r="L159" s="11">
        <v>139</v>
      </c>
      <c r="M159" s="2" t="s">
        <v>7</v>
      </c>
      <c r="N159" s="5">
        <v>2021</v>
      </c>
      <c r="O159" s="1" t="s">
        <v>12</v>
      </c>
      <c r="P159" s="1"/>
      <c r="Q159" s="1" t="s">
        <v>53</v>
      </c>
    </row>
    <row r="160" spans="1:17" x14ac:dyDescent="0.3">
      <c r="A160" s="10" t="s">
        <v>110</v>
      </c>
      <c r="B160" s="10" t="s">
        <v>76</v>
      </c>
      <c r="C160" s="10">
        <v>2023</v>
      </c>
      <c r="D160" s="8">
        <v>1894</v>
      </c>
      <c r="E160" s="2">
        <v>7.85</v>
      </c>
      <c r="F160" s="2">
        <f>7.57+0.24</f>
        <v>7.8100000000000005</v>
      </c>
      <c r="G160" s="2">
        <v>0</v>
      </c>
      <c r="H160" s="2">
        <v>3.9999999999999147E-2</v>
      </c>
      <c r="I160" s="3">
        <v>14869</v>
      </c>
      <c r="J160" s="11">
        <f>14333+463</f>
        <v>14796</v>
      </c>
      <c r="K160" s="11">
        <v>0</v>
      </c>
      <c r="L160" s="11">
        <v>73</v>
      </c>
      <c r="M160" s="2" t="s">
        <v>7</v>
      </c>
      <c r="N160" s="5">
        <v>2021</v>
      </c>
      <c r="O160" s="1" t="s">
        <v>12</v>
      </c>
      <c r="P160" s="1"/>
      <c r="Q160" s="1" t="s">
        <v>53</v>
      </c>
    </row>
    <row r="161" spans="1:17" x14ac:dyDescent="0.3">
      <c r="A161" s="10" t="s">
        <v>110</v>
      </c>
      <c r="B161" s="10" t="s">
        <v>77</v>
      </c>
      <c r="C161" s="10">
        <v>2023</v>
      </c>
      <c r="D161" s="8">
        <v>1905</v>
      </c>
      <c r="E161" s="2">
        <v>13.08</v>
      </c>
      <c r="F161" s="2">
        <f>11.76+0.88</f>
        <v>12.64</v>
      </c>
      <c r="G161" s="2">
        <v>0</v>
      </c>
      <c r="H161" s="2">
        <v>0.4399999999999995</v>
      </c>
      <c r="I161" s="3">
        <v>24926</v>
      </c>
      <c r="J161" s="11">
        <f>22407+1670</f>
        <v>24077</v>
      </c>
      <c r="K161" s="11">
        <v>0</v>
      </c>
      <c r="L161" s="11">
        <v>849</v>
      </c>
      <c r="M161" s="2" t="s">
        <v>7</v>
      </c>
      <c r="N161" s="5">
        <v>2021</v>
      </c>
      <c r="O161" s="1" t="s">
        <v>12</v>
      </c>
      <c r="P161" s="1"/>
      <c r="Q161" s="1" t="s">
        <v>53</v>
      </c>
    </row>
    <row r="162" spans="1:17" x14ac:dyDescent="0.3">
      <c r="A162" s="10" t="s">
        <v>135</v>
      </c>
      <c r="B162" s="10" t="s">
        <v>80</v>
      </c>
      <c r="C162" s="10">
        <v>2023</v>
      </c>
      <c r="D162" s="4">
        <v>1780</v>
      </c>
      <c r="E162" s="2">
        <v>2.56</v>
      </c>
      <c r="F162" s="2">
        <v>2.56</v>
      </c>
      <c r="G162" s="2">
        <v>0</v>
      </c>
      <c r="H162" s="2">
        <v>0</v>
      </c>
      <c r="I162" s="3">
        <v>4556.8</v>
      </c>
      <c r="J162" s="3">
        <v>4556.8</v>
      </c>
      <c r="K162" s="3">
        <v>0</v>
      </c>
      <c r="L162" s="3">
        <v>0</v>
      </c>
      <c r="M162" s="2" t="s">
        <v>7</v>
      </c>
      <c r="N162" s="5">
        <v>2021</v>
      </c>
      <c r="O162" s="1" t="s">
        <v>12</v>
      </c>
      <c r="P162" s="1" t="s">
        <v>27</v>
      </c>
      <c r="Q162" s="1" t="s">
        <v>34</v>
      </c>
    </row>
    <row r="163" spans="1:17" x14ac:dyDescent="0.3">
      <c r="A163" s="10" t="s">
        <v>112</v>
      </c>
      <c r="B163" s="10" t="s">
        <v>81</v>
      </c>
      <c r="C163" s="10">
        <v>2023</v>
      </c>
      <c r="D163" s="4">
        <v>1780</v>
      </c>
      <c r="E163" s="2">
        <v>14.77</v>
      </c>
      <c r="F163" s="2">
        <f>14.51+0.07</f>
        <v>14.58</v>
      </c>
      <c r="G163" s="2">
        <v>0</v>
      </c>
      <c r="H163" s="2">
        <v>0.1899999999999995</v>
      </c>
      <c r="I163" s="3">
        <v>26289</v>
      </c>
      <c r="J163" s="6">
        <f>25831+116</f>
        <v>25947</v>
      </c>
      <c r="K163" s="6">
        <v>0</v>
      </c>
      <c r="L163" s="6">
        <v>342</v>
      </c>
      <c r="M163" s="1" t="s">
        <v>7</v>
      </c>
      <c r="N163" s="1">
        <v>2020</v>
      </c>
      <c r="O163" s="1" t="s">
        <v>12</v>
      </c>
      <c r="P163" s="1"/>
      <c r="Q163" s="1" t="s">
        <v>46</v>
      </c>
    </row>
    <row r="164" spans="1:17" x14ac:dyDescent="0.3">
      <c r="A164" s="10" t="s">
        <v>112</v>
      </c>
      <c r="B164" s="10" t="s">
        <v>82</v>
      </c>
      <c r="C164" s="10">
        <v>2023</v>
      </c>
      <c r="D164" s="4">
        <v>1780</v>
      </c>
      <c r="E164" s="2">
        <v>14.77</v>
      </c>
      <c r="F164" s="2">
        <f>14.53+0.22</f>
        <v>14.75</v>
      </c>
      <c r="G164" s="2">
        <v>0</v>
      </c>
      <c r="H164" s="2">
        <v>1.9999999999999574E-2</v>
      </c>
      <c r="I164" s="3">
        <v>26289</v>
      </c>
      <c r="J164" s="6">
        <f>25867+384</f>
        <v>26251</v>
      </c>
      <c r="K164" s="6">
        <v>0</v>
      </c>
      <c r="L164" s="6">
        <v>38</v>
      </c>
      <c r="M164" s="1" t="s">
        <v>7</v>
      </c>
      <c r="N164" s="1">
        <v>2020</v>
      </c>
      <c r="O164" s="1" t="s">
        <v>12</v>
      </c>
      <c r="P164" s="1"/>
      <c r="Q164" s="1" t="s">
        <v>46</v>
      </c>
    </row>
    <row r="165" spans="1:17" x14ac:dyDescent="0.3">
      <c r="A165" s="10" t="s">
        <v>112</v>
      </c>
      <c r="B165" s="10" t="s">
        <v>51</v>
      </c>
      <c r="C165" s="10">
        <v>2023</v>
      </c>
      <c r="D165" s="4">
        <v>1780</v>
      </c>
      <c r="E165" s="2">
        <v>7.3</v>
      </c>
      <c r="F165" s="2">
        <f>6.74+0.5</f>
        <v>7.24</v>
      </c>
      <c r="G165" s="2">
        <v>0</v>
      </c>
      <c r="H165" s="2">
        <v>5.9999999999999609E-2</v>
      </c>
      <c r="I165" s="3">
        <v>12999</v>
      </c>
      <c r="J165" s="6">
        <f>12003+885</f>
        <v>12888</v>
      </c>
      <c r="K165" s="6">
        <v>0</v>
      </c>
      <c r="L165" s="6">
        <v>111</v>
      </c>
      <c r="M165" s="1" t="s">
        <v>7</v>
      </c>
      <c r="N165" s="1">
        <v>2021</v>
      </c>
      <c r="O165" s="1" t="s">
        <v>12</v>
      </c>
      <c r="P165" s="1"/>
      <c r="Q165" s="1" t="s">
        <v>46</v>
      </c>
    </row>
    <row r="166" spans="1:17" x14ac:dyDescent="0.3">
      <c r="A166" s="10" t="s">
        <v>112</v>
      </c>
      <c r="B166" s="10" t="s">
        <v>84</v>
      </c>
      <c r="C166" s="10">
        <v>2023</v>
      </c>
      <c r="D166" s="4">
        <v>1632</v>
      </c>
      <c r="E166" s="2">
        <v>15.24</v>
      </c>
      <c r="F166" s="2">
        <f>13.8+0.35</f>
        <v>14.15</v>
      </c>
      <c r="G166" s="2">
        <v>0</v>
      </c>
      <c r="H166" s="2">
        <v>1.0899999999999999</v>
      </c>
      <c r="I166" s="3">
        <v>24864</v>
      </c>
      <c r="J166" s="6">
        <f>22312+2317</f>
        <v>24629</v>
      </c>
      <c r="K166" s="6">
        <v>0</v>
      </c>
      <c r="L166" s="6">
        <v>235</v>
      </c>
      <c r="M166" s="1" t="s">
        <v>7</v>
      </c>
      <c r="N166" s="1">
        <v>2016</v>
      </c>
      <c r="O166" s="1" t="s">
        <v>12</v>
      </c>
      <c r="P166" s="1" t="s">
        <v>27</v>
      </c>
      <c r="Q166" s="1" t="s">
        <v>46</v>
      </c>
    </row>
    <row r="167" spans="1:17" x14ac:dyDescent="0.3">
      <c r="A167" s="10" t="s">
        <v>112</v>
      </c>
      <c r="B167" s="10" t="s">
        <v>85</v>
      </c>
      <c r="C167" s="10">
        <v>2023</v>
      </c>
      <c r="D167" s="4">
        <v>1632</v>
      </c>
      <c r="E167" s="2">
        <v>15.17</v>
      </c>
      <c r="F167" s="2">
        <f>14.25+0.39</f>
        <v>14.64</v>
      </c>
      <c r="G167" s="2">
        <v>0</v>
      </c>
      <c r="H167" s="2">
        <v>0.52999999999999936</v>
      </c>
      <c r="I167" s="3">
        <v>24753</v>
      </c>
      <c r="J167" s="6">
        <f>22817+1572</f>
        <v>24389</v>
      </c>
      <c r="K167" s="6">
        <v>0</v>
      </c>
      <c r="L167" s="6">
        <v>364</v>
      </c>
      <c r="M167" s="1" t="s">
        <v>7</v>
      </c>
      <c r="N167" s="1">
        <v>2016</v>
      </c>
      <c r="O167" s="1" t="s">
        <v>12</v>
      </c>
      <c r="P167" s="1" t="s">
        <v>27</v>
      </c>
      <c r="Q167" s="1" t="s">
        <v>46</v>
      </c>
    </row>
    <row r="168" spans="1:17" x14ac:dyDescent="0.3">
      <c r="A168" s="10" t="s">
        <v>112</v>
      </c>
      <c r="B168" s="10" t="s">
        <v>86</v>
      </c>
      <c r="C168" s="10">
        <v>2023</v>
      </c>
      <c r="D168" s="4">
        <v>1632</v>
      </c>
      <c r="E168" s="2">
        <v>13.7</v>
      </c>
      <c r="F168" s="2">
        <f>13.13+0.38</f>
        <v>13.510000000000002</v>
      </c>
      <c r="G168" s="2">
        <v>0</v>
      </c>
      <c r="H168" s="2">
        <v>0.18999999999999773</v>
      </c>
      <c r="I168" s="3">
        <v>22360</v>
      </c>
      <c r="J168" s="6">
        <f>21786+422</f>
        <v>22208</v>
      </c>
      <c r="K168" s="6">
        <v>0</v>
      </c>
      <c r="L168" s="6">
        <v>152</v>
      </c>
      <c r="M168" s="1" t="s">
        <v>7</v>
      </c>
      <c r="N168" s="1">
        <v>2016</v>
      </c>
      <c r="O168" s="1" t="s">
        <v>12</v>
      </c>
      <c r="P168" s="1" t="s">
        <v>27</v>
      </c>
      <c r="Q168" s="1" t="s">
        <v>46</v>
      </c>
    </row>
    <row r="169" spans="1:17" x14ac:dyDescent="0.3">
      <c r="A169" s="10" t="s">
        <v>112</v>
      </c>
      <c r="B169" s="10" t="s">
        <v>87</v>
      </c>
      <c r="C169" s="10">
        <v>2023</v>
      </c>
      <c r="D169" s="4">
        <v>1587</v>
      </c>
      <c r="E169" s="2">
        <v>6.4</v>
      </c>
      <c r="F169" s="2">
        <f>6.15+0.14</f>
        <v>6.29</v>
      </c>
      <c r="G169" s="2">
        <v>0</v>
      </c>
      <c r="H169" s="2">
        <v>0.11000000000000032</v>
      </c>
      <c r="I169" s="3">
        <v>10150</v>
      </c>
      <c r="J169" s="6">
        <f>9725+391</f>
        <v>10116</v>
      </c>
      <c r="K169" s="6">
        <v>0</v>
      </c>
      <c r="L169" s="6">
        <v>34</v>
      </c>
      <c r="M169" s="1" t="s">
        <v>7</v>
      </c>
      <c r="N169" s="1">
        <v>2019</v>
      </c>
      <c r="O169" s="1" t="s">
        <v>12</v>
      </c>
      <c r="P169" s="1" t="s">
        <v>27</v>
      </c>
      <c r="Q169" s="1" t="s">
        <v>46</v>
      </c>
    </row>
    <row r="170" spans="1:17" x14ac:dyDescent="0.3">
      <c r="A170" s="10" t="s">
        <v>111</v>
      </c>
      <c r="B170" s="10" t="s">
        <v>78</v>
      </c>
      <c r="C170" s="10">
        <v>2023</v>
      </c>
      <c r="D170" s="4">
        <v>1780</v>
      </c>
      <c r="E170" s="2">
        <v>2.81</v>
      </c>
      <c r="F170" s="2">
        <v>2.63</v>
      </c>
      <c r="G170" s="2">
        <v>0</v>
      </c>
      <c r="H170" s="2">
        <v>0.18000000000000016</v>
      </c>
      <c r="I170" s="3">
        <v>5000</v>
      </c>
      <c r="J170" s="11">
        <v>4971</v>
      </c>
      <c r="K170" s="11">
        <v>0</v>
      </c>
      <c r="L170" s="11">
        <v>29</v>
      </c>
      <c r="M170" s="2" t="s">
        <v>7</v>
      </c>
      <c r="N170" s="5">
        <v>2020</v>
      </c>
      <c r="O170" s="1" t="s">
        <v>12</v>
      </c>
      <c r="P170" s="1" t="s">
        <v>27</v>
      </c>
      <c r="Q170" s="1" t="s">
        <v>49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26"/>
  <dimension ref="A3:L49"/>
  <sheetViews>
    <sheetView workbookViewId="0"/>
  </sheetViews>
  <sheetFormatPr baseColWidth="10" defaultRowHeight="14.4" x14ac:dyDescent="0.3"/>
  <sheetData>
    <row r="3" spans="1:6" ht="28.8" x14ac:dyDescent="0.3">
      <c r="A3" s="103" t="s">
        <v>138</v>
      </c>
      <c r="B3" s="104" t="s">
        <v>339</v>
      </c>
      <c r="C3" s="104" t="s">
        <v>139</v>
      </c>
    </row>
    <row r="4" spans="1:6" x14ac:dyDescent="0.3">
      <c r="A4" s="20" t="s">
        <v>108</v>
      </c>
      <c r="B4" s="21">
        <v>69.67</v>
      </c>
      <c r="C4" s="21">
        <v>62.69</v>
      </c>
      <c r="E4">
        <v>70.44</v>
      </c>
      <c r="F4" s="21">
        <f>E4-B4</f>
        <v>0.76999999999999602</v>
      </c>
    </row>
    <row r="5" spans="1:6" x14ac:dyDescent="0.3">
      <c r="A5" s="20" t="s">
        <v>163</v>
      </c>
      <c r="B5" s="21">
        <v>286.60000000000008</v>
      </c>
      <c r="C5" s="21">
        <v>151.56</v>
      </c>
      <c r="E5">
        <v>202.07000000000002</v>
      </c>
      <c r="F5" s="21">
        <f t="shared" ref="F5:F11" si="0">E5-B5</f>
        <v>-84.530000000000058</v>
      </c>
    </row>
    <row r="6" spans="1:6" x14ac:dyDescent="0.3">
      <c r="A6" s="20" t="s">
        <v>117</v>
      </c>
      <c r="B6" s="21">
        <v>17.420000000000002</v>
      </c>
      <c r="C6" s="21">
        <v>0</v>
      </c>
      <c r="E6">
        <v>17.420000000000002</v>
      </c>
      <c r="F6" s="21">
        <f t="shared" si="0"/>
        <v>0</v>
      </c>
    </row>
    <row r="7" spans="1:6" x14ac:dyDescent="0.3">
      <c r="A7" s="20" t="s">
        <v>109</v>
      </c>
      <c r="B7" s="21">
        <v>75.56</v>
      </c>
      <c r="C7" s="21">
        <v>67.179999999999993</v>
      </c>
      <c r="E7">
        <v>75.55</v>
      </c>
      <c r="F7" s="21">
        <f t="shared" si="0"/>
        <v>-1.0000000000005116E-2</v>
      </c>
    </row>
    <row r="8" spans="1:6" x14ac:dyDescent="0.3">
      <c r="A8" s="20" t="s">
        <v>167</v>
      </c>
      <c r="B8" s="21">
        <v>160.93999999999997</v>
      </c>
      <c r="C8" s="21">
        <v>129.42000000000002</v>
      </c>
      <c r="E8">
        <v>160.92999999999998</v>
      </c>
      <c r="F8" s="21">
        <f>E8-B8</f>
        <v>-9.9999999999909051E-3</v>
      </c>
    </row>
    <row r="9" spans="1:6" x14ac:dyDescent="0.3">
      <c r="A9" s="20" t="s">
        <v>135</v>
      </c>
      <c r="B9" s="21">
        <v>2.1800000000000002</v>
      </c>
      <c r="C9" s="21">
        <v>1.73</v>
      </c>
      <c r="E9">
        <v>2</v>
      </c>
      <c r="F9" s="21">
        <f t="shared" si="0"/>
        <v>-0.18000000000000016</v>
      </c>
    </row>
    <row r="10" spans="1:6" x14ac:dyDescent="0.3">
      <c r="A10" s="20" t="s">
        <v>112</v>
      </c>
      <c r="B10" s="21">
        <v>98.58</v>
      </c>
      <c r="C10" s="21">
        <v>88.71</v>
      </c>
      <c r="E10">
        <v>98.93</v>
      </c>
      <c r="F10" s="21">
        <f t="shared" si="0"/>
        <v>0.35000000000000853</v>
      </c>
    </row>
    <row r="11" spans="1:6" x14ac:dyDescent="0.3">
      <c r="A11" s="20" t="s">
        <v>105</v>
      </c>
      <c r="B11" s="21">
        <v>391.83000000000004</v>
      </c>
      <c r="C11" s="21">
        <v>374.82</v>
      </c>
      <c r="E11">
        <v>394.66999999999996</v>
      </c>
      <c r="F11" s="21">
        <f t="shared" si="0"/>
        <v>2.8399999999999181</v>
      </c>
    </row>
    <row r="12" spans="1:6" x14ac:dyDescent="0.3">
      <c r="A12" s="20" t="s">
        <v>126</v>
      </c>
      <c r="B12" s="21">
        <v>1102.7800000000002</v>
      </c>
      <c r="C12" s="21">
        <v>876.11</v>
      </c>
      <c r="E12">
        <v>1022.0099999999999</v>
      </c>
      <c r="F12" s="21">
        <f>SUM(F4:F11)</f>
        <v>-80.770000000000138</v>
      </c>
    </row>
    <row r="17" spans="1:12" x14ac:dyDescent="0.3">
      <c r="A17" s="103" t="s">
        <v>114</v>
      </c>
      <c r="B17" t="s">
        <v>105</v>
      </c>
    </row>
    <row r="19" spans="1:12" ht="28.8" x14ac:dyDescent="0.3">
      <c r="A19" s="19" t="s">
        <v>138</v>
      </c>
      <c r="B19" s="104" t="s">
        <v>339</v>
      </c>
      <c r="C19" s="104" t="s">
        <v>139</v>
      </c>
      <c r="D19" s="104"/>
    </row>
    <row r="20" spans="1:12" x14ac:dyDescent="0.3">
      <c r="A20" s="20" t="s">
        <v>6</v>
      </c>
      <c r="B20" s="21">
        <v>14.99</v>
      </c>
      <c r="C20" s="21">
        <v>14.9</v>
      </c>
      <c r="F20" s="32" t="s">
        <v>6</v>
      </c>
      <c r="G20" s="21">
        <v>15.06</v>
      </c>
      <c r="H20" s="21">
        <v>14.96</v>
      </c>
      <c r="I20" s="21">
        <f>G20-B20</f>
        <v>7.0000000000000284E-2</v>
      </c>
    </row>
    <row r="21" spans="1:12" x14ac:dyDescent="0.3">
      <c r="A21" s="20" t="s">
        <v>11</v>
      </c>
      <c r="B21" s="21">
        <v>10</v>
      </c>
      <c r="C21" s="21">
        <v>9.93</v>
      </c>
      <c r="F21" s="33" t="s">
        <v>11</v>
      </c>
      <c r="G21" s="21">
        <v>10.090000000000002</v>
      </c>
      <c r="H21" s="21">
        <v>9.9600000000000009</v>
      </c>
      <c r="I21" s="21">
        <f t="shared" ref="I21:I47" si="1">G21-B21</f>
        <v>9.0000000000001634E-2</v>
      </c>
    </row>
    <row r="22" spans="1:12" x14ac:dyDescent="0.3">
      <c r="A22" s="20" t="s">
        <v>13</v>
      </c>
      <c r="B22" s="21">
        <v>14.28</v>
      </c>
      <c r="C22" s="21">
        <v>13.11</v>
      </c>
      <c r="F22" s="33" t="s">
        <v>13</v>
      </c>
      <c r="G22" s="21">
        <v>13.98</v>
      </c>
      <c r="H22" s="21">
        <v>11.32</v>
      </c>
      <c r="I22" s="21">
        <f t="shared" si="1"/>
        <v>-0.29999999999999893</v>
      </c>
    </row>
    <row r="23" spans="1:12" x14ac:dyDescent="0.3">
      <c r="A23" s="20" t="s">
        <v>44</v>
      </c>
      <c r="B23" s="21">
        <v>14.69</v>
      </c>
      <c r="C23" s="21">
        <v>12.55</v>
      </c>
      <c r="F23" s="35" t="s">
        <v>44</v>
      </c>
      <c r="G23">
        <v>14.77</v>
      </c>
      <c r="H23">
        <v>13.77</v>
      </c>
      <c r="I23" s="21">
        <f t="shared" si="1"/>
        <v>8.0000000000000071E-2</v>
      </c>
    </row>
    <row r="24" spans="1:12" x14ac:dyDescent="0.3">
      <c r="A24" s="20" t="s">
        <v>14</v>
      </c>
      <c r="B24" s="21">
        <v>14.7</v>
      </c>
      <c r="C24" s="21">
        <v>14.63</v>
      </c>
      <c r="F24" s="33" t="s">
        <v>14</v>
      </c>
      <c r="G24" s="21">
        <v>14.76</v>
      </c>
      <c r="H24" s="21">
        <v>14.51</v>
      </c>
      <c r="I24" s="21">
        <f t="shared" si="1"/>
        <v>6.0000000000000497E-2</v>
      </c>
    </row>
    <row r="25" spans="1:12" x14ac:dyDescent="0.3">
      <c r="A25" s="20" t="s">
        <v>15</v>
      </c>
      <c r="B25" s="21">
        <v>14.85</v>
      </c>
      <c r="C25" s="21">
        <v>14.3</v>
      </c>
      <c r="F25" s="33" t="s">
        <v>15</v>
      </c>
      <c r="G25" s="21">
        <v>14.85</v>
      </c>
      <c r="H25" s="21">
        <v>11.71</v>
      </c>
      <c r="I25" s="21">
        <f t="shared" si="1"/>
        <v>0</v>
      </c>
    </row>
    <row r="26" spans="1:12" x14ac:dyDescent="0.3">
      <c r="A26" s="20" t="s">
        <v>16</v>
      </c>
      <c r="B26" s="21">
        <v>15</v>
      </c>
      <c r="C26" s="21">
        <v>13.53</v>
      </c>
      <c r="F26" s="33" t="s">
        <v>16</v>
      </c>
      <c r="G26" s="21">
        <v>14.99</v>
      </c>
      <c r="H26" s="21">
        <v>14.28</v>
      </c>
      <c r="I26" s="21">
        <f t="shared" si="1"/>
        <v>-9.9999999999997868E-3</v>
      </c>
    </row>
    <row r="27" spans="1:12" x14ac:dyDescent="0.3">
      <c r="A27" s="20" t="s">
        <v>18</v>
      </c>
      <c r="B27" s="21">
        <v>15</v>
      </c>
      <c r="C27" s="21">
        <v>14.99</v>
      </c>
      <c r="F27" s="33" t="s">
        <v>18</v>
      </c>
      <c r="G27" s="21">
        <v>14.99</v>
      </c>
      <c r="H27" s="21">
        <v>14.78</v>
      </c>
      <c r="I27" s="21">
        <f t="shared" si="1"/>
        <v>-9.9999999999997868E-3</v>
      </c>
    </row>
    <row r="28" spans="1:12" x14ac:dyDescent="0.3">
      <c r="A28" s="20" t="s">
        <v>19</v>
      </c>
      <c r="B28" s="21">
        <v>12.8</v>
      </c>
      <c r="C28" s="21">
        <v>12.66</v>
      </c>
      <c r="F28" s="33" t="s">
        <v>19</v>
      </c>
      <c r="G28" s="21">
        <v>12.8</v>
      </c>
      <c r="H28" s="21">
        <v>12.69</v>
      </c>
      <c r="I28" s="21">
        <f t="shared" si="1"/>
        <v>0</v>
      </c>
    </row>
    <row r="29" spans="1:12" x14ac:dyDescent="0.3">
      <c r="A29" s="20" t="s">
        <v>22</v>
      </c>
      <c r="B29" s="21">
        <v>14.53</v>
      </c>
      <c r="C29" s="21">
        <v>12.73</v>
      </c>
      <c r="F29" s="33" t="s">
        <v>22</v>
      </c>
      <c r="G29" s="21">
        <v>14.45</v>
      </c>
      <c r="H29" s="21">
        <v>10.08</v>
      </c>
      <c r="I29" s="21">
        <f t="shared" si="1"/>
        <v>-8.0000000000000071E-2</v>
      </c>
      <c r="J29" s="33" t="s">
        <v>20</v>
      </c>
      <c r="K29" s="21">
        <v>14.4</v>
      </c>
      <c r="L29" s="21">
        <v>10.01</v>
      </c>
    </row>
    <row r="30" spans="1:12" x14ac:dyDescent="0.3">
      <c r="A30" s="20" t="s">
        <v>23</v>
      </c>
      <c r="B30" s="21">
        <v>13.77</v>
      </c>
      <c r="C30" s="21">
        <v>12.79</v>
      </c>
      <c r="F30" s="33" t="s">
        <v>23</v>
      </c>
      <c r="G30" s="21">
        <v>14.03</v>
      </c>
      <c r="H30" s="21">
        <v>8.92</v>
      </c>
      <c r="I30" s="21">
        <f t="shared" si="1"/>
        <v>0.25999999999999979</v>
      </c>
      <c r="J30" s="33" t="s">
        <v>21</v>
      </c>
      <c r="K30" s="21">
        <v>11.04</v>
      </c>
      <c r="L30" s="21">
        <v>9.7799999999999994</v>
      </c>
    </row>
    <row r="31" spans="1:12" x14ac:dyDescent="0.3">
      <c r="A31" s="20" t="s">
        <v>24</v>
      </c>
      <c r="B31" s="21">
        <v>12.96</v>
      </c>
      <c r="C31" s="21">
        <v>12.11</v>
      </c>
      <c r="F31" s="33" t="s">
        <v>24</v>
      </c>
      <c r="G31" s="21">
        <v>13.17</v>
      </c>
      <c r="H31" s="21">
        <v>8.2899999999999991</v>
      </c>
      <c r="I31" s="21">
        <f t="shared" si="1"/>
        <v>0.20999999999999908</v>
      </c>
    </row>
    <row r="32" spans="1:12" x14ac:dyDescent="0.3">
      <c r="A32" s="20" t="s">
        <v>25</v>
      </c>
      <c r="B32" s="21">
        <v>13.37</v>
      </c>
      <c r="C32" s="21">
        <v>11.93</v>
      </c>
      <c r="F32" s="33" t="s">
        <v>25</v>
      </c>
      <c r="G32">
        <v>14.88</v>
      </c>
      <c r="H32">
        <v>9.11</v>
      </c>
      <c r="I32" s="21">
        <f t="shared" si="1"/>
        <v>1.5100000000000016</v>
      </c>
    </row>
    <row r="33" spans="1:9" x14ac:dyDescent="0.3">
      <c r="A33" s="20" t="s">
        <v>37</v>
      </c>
      <c r="B33" s="21">
        <v>14.09</v>
      </c>
      <c r="C33" s="21">
        <v>11.91</v>
      </c>
      <c r="F33" s="33" t="s">
        <v>37</v>
      </c>
      <c r="G33">
        <v>14.87</v>
      </c>
      <c r="H33">
        <v>9.1999999999999993</v>
      </c>
      <c r="I33" s="21">
        <f t="shared" si="1"/>
        <v>0.77999999999999936</v>
      </c>
    </row>
    <row r="34" spans="1:9" x14ac:dyDescent="0.3">
      <c r="A34" s="20" t="s">
        <v>38</v>
      </c>
      <c r="B34" s="21">
        <v>14.74</v>
      </c>
      <c r="C34" s="21">
        <v>14.69</v>
      </c>
      <c r="F34" s="33" t="s">
        <v>38</v>
      </c>
      <c r="G34">
        <v>14.74</v>
      </c>
      <c r="H34">
        <v>14.67</v>
      </c>
      <c r="I34" s="21">
        <f t="shared" si="1"/>
        <v>0</v>
      </c>
    </row>
    <row r="35" spans="1:9" x14ac:dyDescent="0.3">
      <c r="A35" s="20" t="s">
        <v>39</v>
      </c>
      <c r="B35" s="21">
        <v>14.96</v>
      </c>
      <c r="C35" s="21">
        <v>14.47</v>
      </c>
      <c r="F35" s="33" t="s">
        <v>39</v>
      </c>
      <c r="G35">
        <v>14.96</v>
      </c>
      <c r="H35">
        <v>14.88</v>
      </c>
      <c r="I35" s="21">
        <f t="shared" si="1"/>
        <v>0</v>
      </c>
    </row>
    <row r="36" spans="1:9" x14ac:dyDescent="0.3">
      <c r="A36" s="20" t="s">
        <v>40</v>
      </c>
      <c r="B36" s="21">
        <v>13.73</v>
      </c>
      <c r="C36" s="21">
        <v>13.39</v>
      </c>
      <c r="F36" s="33" t="s">
        <v>40</v>
      </c>
      <c r="G36">
        <v>13.73</v>
      </c>
      <c r="H36">
        <v>13.52</v>
      </c>
      <c r="I36" s="21">
        <f t="shared" si="1"/>
        <v>0</v>
      </c>
    </row>
    <row r="37" spans="1:9" x14ac:dyDescent="0.3">
      <c r="A37" s="20" t="s">
        <v>41</v>
      </c>
      <c r="B37" s="21">
        <v>12.29</v>
      </c>
      <c r="C37" s="21">
        <v>11.83</v>
      </c>
      <c r="F37" s="33" t="s">
        <v>41</v>
      </c>
      <c r="G37">
        <v>12.29</v>
      </c>
      <c r="H37">
        <v>11.13</v>
      </c>
      <c r="I37" s="21">
        <f t="shared" si="1"/>
        <v>0</v>
      </c>
    </row>
    <row r="38" spans="1:9" x14ac:dyDescent="0.3">
      <c r="A38" s="20" t="s">
        <v>26</v>
      </c>
      <c r="B38" s="21">
        <v>12.63</v>
      </c>
      <c r="C38" s="21">
        <v>12.32</v>
      </c>
      <c r="F38" s="33" t="s">
        <v>26</v>
      </c>
      <c r="G38">
        <v>12.63</v>
      </c>
      <c r="H38">
        <v>12.36</v>
      </c>
      <c r="I38" s="21">
        <f t="shared" si="1"/>
        <v>0</v>
      </c>
    </row>
    <row r="39" spans="1:9" x14ac:dyDescent="0.3">
      <c r="A39" s="20" t="s">
        <v>29</v>
      </c>
      <c r="B39" s="21">
        <v>11.78</v>
      </c>
      <c r="C39" s="21">
        <v>10.78</v>
      </c>
      <c r="F39" s="33" t="s">
        <v>29</v>
      </c>
      <c r="G39">
        <v>11.78</v>
      </c>
      <c r="H39">
        <v>10.8</v>
      </c>
      <c r="I39" s="21">
        <f t="shared" si="1"/>
        <v>0</v>
      </c>
    </row>
    <row r="40" spans="1:9" x14ac:dyDescent="0.3">
      <c r="A40" s="20" t="s">
        <v>30</v>
      </c>
      <c r="B40" s="21">
        <v>16.3</v>
      </c>
      <c r="C40" s="21">
        <v>16.190000000000001</v>
      </c>
      <c r="F40" s="33" t="s">
        <v>30</v>
      </c>
      <c r="G40">
        <v>16.3</v>
      </c>
      <c r="H40">
        <v>16.170000000000002</v>
      </c>
      <c r="I40" s="21">
        <f t="shared" si="1"/>
        <v>0</v>
      </c>
    </row>
    <row r="41" spans="1:9" x14ac:dyDescent="0.3">
      <c r="A41" s="20" t="s">
        <v>33</v>
      </c>
      <c r="B41" s="21">
        <v>14.42</v>
      </c>
      <c r="C41" s="21">
        <v>14.25</v>
      </c>
      <c r="F41" s="33" t="s">
        <v>33</v>
      </c>
      <c r="G41">
        <v>14.41</v>
      </c>
      <c r="H41">
        <v>13.74</v>
      </c>
      <c r="I41" s="21">
        <f t="shared" si="1"/>
        <v>-9.9999999999997868E-3</v>
      </c>
    </row>
    <row r="42" spans="1:9" x14ac:dyDescent="0.3">
      <c r="A42" s="20" t="s">
        <v>35</v>
      </c>
      <c r="B42" s="21">
        <v>14.27</v>
      </c>
      <c r="C42" s="21">
        <v>14.25</v>
      </c>
      <c r="F42" s="33" t="s">
        <v>35</v>
      </c>
      <c r="G42">
        <v>14.27</v>
      </c>
      <c r="H42">
        <v>14.26</v>
      </c>
      <c r="I42" s="21">
        <f t="shared" si="1"/>
        <v>0</v>
      </c>
    </row>
    <row r="43" spans="1:9" x14ac:dyDescent="0.3">
      <c r="A43" s="20" t="s">
        <v>36</v>
      </c>
      <c r="B43" s="21">
        <v>14.65</v>
      </c>
      <c r="C43" s="21">
        <v>14.64</v>
      </c>
      <c r="F43" s="33" t="s">
        <v>36</v>
      </c>
      <c r="G43">
        <v>14.65</v>
      </c>
      <c r="H43">
        <v>14.63</v>
      </c>
      <c r="I43" s="21">
        <f t="shared" si="1"/>
        <v>0</v>
      </c>
    </row>
    <row r="44" spans="1:9" x14ac:dyDescent="0.3">
      <c r="A44" s="20" t="s">
        <v>42</v>
      </c>
      <c r="B44" s="21">
        <v>15</v>
      </c>
      <c r="C44" s="21">
        <v>14.77</v>
      </c>
      <c r="F44" s="33" t="s">
        <v>42</v>
      </c>
      <c r="G44">
        <v>15</v>
      </c>
      <c r="H44">
        <v>14.74</v>
      </c>
      <c r="I44" s="21">
        <f t="shared" si="1"/>
        <v>0</v>
      </c>
    </row>
    <row r="45" spans="1:9" x14ac:dyDescent="0.3">
      <c r="A45" s="20" t="s">
        <v>43</v>
      </c>
      <c r="B45" s="21">
        <v>15</v>
      </c>
      <c r="C45" s="21">
        <v>14.66</v>
      </c>
      <c r="F45" s="33" t="s">
        <v>43</v>
      </c>
      <c r="G45">
        <v>15</v>
      </c>
      <c r="H45">
        <v>14.3</v>
      </c>
      <c r="I45" s="21">
        <f t="shared" si="1"/>
        <v>0</v>
      </c>
    </row>
    <row r="46" spans="1:9" x14ac:dyDescent="0.3">
      <c r="A46" s="20" t="s">
        <v>31</v>
      </c>
      <c r="B46" s="21">
        <v>13.23</v>
      </c>
      <c r="C46" s="21">
        <v>12.73</v>
      </c>
      <c r="F46" s="33" t="s">
        <v>31</v>
      </c>
      <c r="G46">
        <v>13.23</v>
      </c>
      <c r="H46">
        <v>13.12</v>
      </c>
      <c r="I46" s="21">
        <f t="shared" si="1"/>
        <v>0</v>
      </c>
    </row>
    <row r="47" spans="1:9" x14ac:dyDescent="0.3">
      <c r="A47" s="20" t="s">
        <v>32</v>
      </c>
      <c r="B47" s="21">
        <v>13.8</v>
      </c>
      <c r="C47" s="21">
        <v>13.78</v>
      </c>
      <c r="F47" s="33" t="s">
        <v>32</v>
      </c>
      <c r="G47">
        <v>13.99</v>
      </c>
      <c r="H47">
        <v>13.97</v>
      </c>
      <c r="I47" s="21">
        <f t="shared" si="1"/>
        <v>0.1899999999999995</v>
      </c>
    </row>
    <row r="48" spans="1:9" x14ac:dyDescent="0.3">
      <c r="A48" s="20" t="s">
        <v>126</v>
      </c>
      <c r="B48" s="21">
        <v>391.83</v>
      </c>
      <c r="C48" s="21">
        <v>374.81999999999994</v>
      </c>
    </row>
    <row r="49" spans="7:8" x14ac:dyDescent="0.3">
      <c r="G49" s="21">
        <f>SUM(G20:G47)</f>
        <v>394.66999999999996</v>
      </c>
      <c r="H49" s="21">
        <f>SUM(H20:H47)</f>
        <v>355.87000000000006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28">
    <pageSetUpPr fitToPage="1"/>
  </sheetPr>
  <dimension ref="C1:T92"/>
  <sheetViews>
    <sheetView zoomScale="80" zoomScaleNormal="80" workbookViewId="0">
      <selection activeCell="I8" sqref="C1:I8"/>
    </sheetView>
  </sheetViews>
  <sheetFormatPr baseColWidth="10" defaultRowHeight="14.4" x14ac:dyDescent="0.3"/>
  <cols>
    <col min="1" max="2" width="10.5546875" customWidth="1"/>
    <col min="3" max="3" width="17.21875" bestFit="1" customWidth="1"/>
    <col min="4" max="4" width="13.77734375" bestFit="1" customWidth="1"/>
    <col min="5" max="5" width="12.77734375" bestFit="1" customWidth="1"/>
    <col min="6" max="6" width="8.21875" bestFit="1" customWidth="1"/>
    <col min="7" max="7" width="10.88671875" bestFit="1" customWidth="1"/>
    <col min="8" max="8" width="9.21875" customWidth="1"/>
    <col min="9" max="9" width="9.21875" bestFit="1" customWidth="1"/>
    <col min="10" max="11" width="9.21875" customWidth="1"/>
    <col min="12" max="12" width="18.109375" bestFit="1" customWidth="1"/>
    <col min="13" max="13" width="18.21875" bestFit="1" customWidth="1"/>
    <col min="14" max="15" width="14.21875" bestFit="1" customWidth="1"/>
    <col min="16" max="16" width="10.88671875" bestFit="1" customWidth="1"/>
    <col min="17" max="17" width="21" bestFit="1" customWidth="1"/>
    <col min="18" max="18" width="18.21875" bestFit="1" customWidth="1"/>
    <col min="19" max="19" width="19.88671875" bestFit="1" customWidth="1"/>
  </cols>
  <sheetData>
    <row r="1" spans="3:20" ht="18" x14ac:dyDescent="0.35">
      <c r="C1" s="328" t="s">
        <v>641</v>
      </c>
      <c r="D1" s="328"/>
      <c r="E1" s="328"/>
      <c r="F1" s="328"/>
      <c r="G1" s="328"/>
      <c r="H1" s="328"/>
      <c r="L1" s="19" t="s">
        <v>1</v>
      </c>
      <c r="M1" t="s" vm="2">
        <v>638</v>
      </c>
    </row>
    <row r="2" spans="3:20" ht="15" thickBot="1" x14ac:dyDescent="0.35">
      <c r="C2" s="304"/>
      <c r="D2" s="304"/>
      <c r="E2" s="304"/>
      <c r="F2" s="304"/>
      <c r="G2" s="304"/>
      <c r="H2" s="304"/>
    </row>
    <row r="3" spans="3:20" x14ac:dyDescent="0.3">
      <c r="C3" s="19" t="s">
        <v>1</v>
      </c>
      <c r="D3" s="19" t="s">
        <v>210</v>
      </c>
      <c r="E3" s="19" t="s">
        <v>114</v>
      </c>
      <c r="F3" s="19" t="s">
        <v>115</v>
      </c>
      <c r="G3" t="s">
        <v>639</v>
      </c>
      <c r="H3" t="s">
        <v>640</v>
      </c>
      <c r="I3" t="s">
        <v>602</v>
      </c>
      <c r="L3" s="19" t="s">
        <v>114</v>
      </c>
      <c r="M3" s="19" t="s">
        <v>115</v>
      </c>
      <c r="N3" s="19" t="s">
        <v>0</v>
      </c>
      <c r="O3" s="19" t="s">
        <v>3</v>
      </c>
      <c r="P3" t="s">
        <v>639</v>
      </c>
      <c r="Q3" s="318" t="s">
        <v>658</v>
      </c>
      <c r="R3" s="318" t="s">
        <v>659</v>
      </c>
      <c r="S3" s="318" t="s">
        <v>660</v>
      </c>
      <c r="T3" s="318" t="s">
        <v>661</v>
      </c>
    </row>
    <row r="4" spans="3:20" x14ac:dyDescent="0.3">
      <c r="C4" t="s">
        <v>370</v>
      </c>
      <c r="G4">
        <v>174.68</v>
      </c>
      <c r="H4">
        <v>169.53</v>
      </c>
      <c r="I4">
        <v>0</v>
      </c>
      <c r="L4" t="s">
        <v>163</v>
      </c>
      <c r="P4">
        <v>53.74</v>
      </c>
      <c r="Q4" s="320">
        <f>SUMPRODUCT(Q5:Q8,$P$5:$P$8)/SUM($P$5:$P$8)</f>
        <v>2.7912169705991811E-2</v>
      </c>
      <c r="R4" s="320">
        <f t="shared" ref="R4:T4" si="0">SUMPRODUCT(R5:R8,$P$5:$P$8)/SUM($P$5:$P$8)</f>
        <v>0</v>
      </c>
      <c r="S4" s="320">
        <f t="shared" si="0"/>
        <v>0</v>
      </c>
      <c r="T4" s="320">
        <f t="shared" si="0"/>
        <v>0</v>
      </c>
    </row>
    <row r="5" spans="3:20" x14ac:dyDescent="0.3">
      <c r="C5" t="s">
        <v>638</v>
      </c>
      <c r="G5">
        <v>106.12</v>
      </c>
      <c r="H5">
        <v>0</v>
      </c>
      <c r="I5">
        <v>0</v>
      </c>
      <c r="M5" t="s">
        <v>130</v>
      </c>
      <c r="N5" s="317">
        <v>1905</v>
      </c>
      <c r="O5" t="s">
        <v>8</v>
      </c>
      <c r="P5">
        <v>10.65</v>
      </c>
    </row>
    <row r="6" spans="3:20" x14ac:dyDescent="0.3">
      <c r="C6" t="s">
        <v>7</v>
      </c>
      <c r="G6">
        <v>818.62</v>
      </c>
      <c r="H6">
        <v>8.8699999999999992</v>
      </c>
      <c r="I6">
        <v>793.64</v>
      </c>
      <c r="M6" t="s">
        <v>63</v>
      </c>
      <c r="N6" s="317">
        <v>1905</v>
      </c>
      <c r="O6" t="s">
        <v>8</v>
      </c>
      <c r="P6">
        <v>14.45</v>
      </c>
    </row>
    <row r="7" spans="3:20" x14ac:dyDescent="0.3">
      <c r="C7" t="s">
        <v>414</v>
      </c>
      <c r="G7">
        <v>7.7</v>
      </c>
      <c r="H7">
        <v>0.46</v>
      </c>
      <c r="I7">
        <v>7</v>
      </c>
      <c r="M7" t="s">
        <v>64</v>
      </c>
      <c r="N7" s="317">
        <v>1905</v>
      </c>
      <c r="O7" t="s">
        <v>8</v>
      </c>
      <c r="P7">
        <v>13.64</v>
      </c>
    </row>
    <row r="8" spans="3:20" x14ac:dyDescent="0.3">
      <c r="C8" t="s">
        <v>126</v>
      </c>
      <c r="G8">
        <v>1107.1199999999999</v>
      </c>
      <c r="H8">
        <v>178.86</v>
      </c>
      <c r="I8">
        <v>800.64</v>
      </c>
      <c r="M8" t="s">
        <v>369</v>
      </c>
      <c r="N8" s="317">
        <v>1905</v>
      </c>
      <c r="O8" t="s">
        <v>663</v>
      </c>
      <c r="P8">
        <v>15</v>
      </c>
      <c r="Q8" s="285">
        <v>0.1</v>
      </c>
      <c r="R8" s="285">
        <v>0</v>
      </c>
      <c r="S8" s="285">
        <v>0</v>
      </c>
      <c r="T8" s="285">
        <v>0</v>
      </c>
    </row>
    <row r="9" spans="3:20" x14ac:dyDescent="0.3">
      <c r="L9" s="317" t="s">
        <v>109</v>
      </c>
      <c r="P9">
        <v>32.619999999999997</v>
      </c>
      <c r="Q9" s="320">
        <f>SUMPRODUCT(Q10:Q12,$P$10:$P$12)/SUM($P$10:$P$12)</f>
        <v>9.9632127529123218E-2</v>
      </c>
      <c r="R9" s="320">
        <f t="shared" ref="R9:T9" si="1">SUMPRODUCT(R10:R12,$P$10:$P$12)/SUM($P$10:$P$12)</f>
        <v>0</v>
      </c>
      <c r="S9" s="320">
        <f t="shared" si="1"/>
        <v>0</v>
      </c>
      <c r="T9" s="320">
        <f t="shared" si="1"/>
        <v>0</v>
      </c>
    </row>
    <row r="10" spans="3:20" x14ac:dyDescent="0.3">
      <c r="L10" s="317"/>
      <c r="M10" t="s">
        <v>31</v>
      </c>
      <c r="N10" s="317">
        <v>1905.1398337112623</v>
      </c>
      <c r="O10" t="s">
        <v>8</v>
      </c>
      <c r="P10">
        <v>13</v>
      </c>
      <c r="Q10" s="285">
        <v>0.25</v>
      </c>
      <c r="R10" s="285">
        <v>0</v>
      </c>
      <c r="S10" s="285">
        <v>0</v>
      </c>
      <c r="T10" s="285">
        <v>0</v>
      </c>
    </row>
    <row r="11" spans="3:20" x14ac:dyDescent="0.3">
      <c r="L11" s="317"/>
      <c r="M11" t="s">
        <v>102</v>
      </c>
      <c r="N11" s="317">
        <v>1905</v>
      </c>
      <c r="O11" t="s">
        <v>663</v>
      </c>
      <c r="P11">
        <v>9.81</v>
      </c>
      <c r="Q11" s="285">
        <v>0</v>
      </c>
      <c r="R11" s="285">
        <v>0</v>
      </c>
      <c r="S11" s="285">
        <v>0</v>
      </c>
      <c r="T11" s="285">
        <v>0</v>
      </c>
    </row>
    <row r="12" spans="3:20" x14ac:dyDescent="0.3">
      <c r="L12" s="317"/>
      <c r="M12" t="s">
        <v>103</v>
      </c>
      <c r="N12" s="317">
        <v>1905</v>
      </c>
      <c r="O12" t="s">
        <v>663</v>
      </c>
      <c r="P12">
        <v>9.81</v>
      </c>
      <c r="Q12" s="285">
        <v>0</v>
      </c>
      <c r="R12" s="285">
        <v>0</v>
      </c>
      <c r="S12" s="285">
        <v>0</v>
      </c>
      <c r="T12" s="285">
        <v>0</v>
      </c>
    </row>
    <row r="13" spans="3:20" x14ac:dyDescent="0.3">
      <c r="L13" s="317" t="s">
        <v>599</v>
      </c>
      <c r="P13">
        <v>5</v>
      </c>
      <c r="Q13" s="321">
        <f>Q14</f>
        <v>1</v>
      </c>
      <c r="R13" s="321">
        <f t="shared" ref="R13:T13" si="2">R14</f>
        <v>1</v>
      </c>
      <c r="S13" s="321">
        <f t="shared" si="2"/>
        <v>1</v>
      </c>
      <c r="T13" s="321">
        <f t="shared" si="2"/>
        <v>0</v>
      </c>
    </row>
    <row r="14" spans="3:20" x14ac:dyDescent="0.3">
      <c r="L14" s="317"/>
      <c r="M14" t="s">
        <v>85</v>
      </c>
      <c r="N14" s="317">
        <v>1905</v>
      </c>
      <c r="O14" t="s">
        <v>662</v>
      </c>
      <c r="P14">
        <v>5</v>
      </c>
      <c r="Q14" s="285">
        <v>1</v>
      </c>
      <c r="R14" s="285">
        <v>1</v>
      </c>
      <c r="S14" s="285">
        <v>1</v>
      </c>
      <c r="T14" s="285">
        <v>0</v>
      </c>
    </row>
    <row r="15" spans="3:20" x14ac:dyDescent="0.3">
      <c r="L15" s="317" t="s">
        <v>105</v>
      </c>
      <c r="P15">
        <v>14.76</v>
      </c>
      <c r="Q15" s="321">
        <f>Q16</f>
        <v>1</v>
      </c>
      <c r="R15" s="321">
        <f t="shared" ref="R15:T15" si="3">R16</f>
        <v>0.75</v>
      </c>
      <c r="S15" s="321">
        <f t="shared" si="3"/>
        <v>0</v>
      </c>
      <c r="T15" s="321">
        <f t="shared" si="3"/>
        <v>0</v>
      </c>
    </row>
    <row r="16" spans="3:20" x14ac:dyDescent="0.3">
      <c r="L16" s="317"/>
      <c r="M16" t="s">
        <v>14</v>
      </c>
      <c r="N16" s="317">
        <v>1905</v>
      </c>
      <c r="O16" t="s">
        <v>663</v>
      </c>
      <c r="P16">
        <v>14.76</v>
      </c>
      <c r="Q16" s="285">
        <v>1</v>
      </c>
      <c r="R16" s="285">
        <v>0.75</v>
      </c>
      <c r="T16" s="285">
        <v>0</v>
      </c>
    </row>
    <row r="17" spans="12:20" ht="15" thickBot="1" x14ac:dyDescent="0.35">
      <c r="L17" t="s">
        <v>126</v>
      </c>
      <c r="P17">
        <v>106.12</v>
      </c>
      <c r="Q17" s="319"/>
      <c r="R17" s="319"/>
      <c r="S17" s="319"/>
      <c r="T17" s="319"/>
    </row>
    <row r="28" spans="12:20" x14ac:dyDescent="0.3">
      <c r="L28" s="19" t="s">
        <v>1</v>
      </c>
      <c r="M28" t="s" vm="2">
        <v>638</v>
      </c>
    </row>
    <row r="30" spans="12:20" x14ac:dyDescent="0.3">
      <c r="L30" s="19" t="s">
        <v>5</v>
      </c>
      <c r="M30" s="19" t="s">
        <v>114</v>
      </c>
      <c r="N30" s="19" t="s">
        <v>115</v>
      </c>
      <c r="O30" s="19" t="s">
        <v>3</v>
      </c>
      <c r="P30" t="s">
        <v>639</v>
      </c>
      <c r="Q30" t="s">
        <v>147</v>
      </c>
    </row>
    <row r="31" spans="12:20" x14ac:dyDescent="0.3">
      <c r="L31" t="s">
        <v>28</v>
      </c>
      <c r="P31">
        <v>47.62</v>
      </c>
      <c r="Q31">
        <v>0</v>
      </c>
    </row>
    <row r="32" spans="12:20" x14ac:dyDescent="0.3">
      <c r="M32" t="s">
        <v>163</v>
      </c>
      <c r="N32" t="s">
        <v>369</v>
      </c>
      <c r="O32" t="s">
        <v>663</v>
      </c>
      <c r="P32">
        <v>15</v>
      </c>
      <c r="Q32">
        <v>0</v>
      </c>
    </row>
    <row r="33" spans="12:17" x14ac:dyDescent="0.3">
      <c r="M33" s="317" t="s">
        <v>109</v>
      </c>
      <c r="N33" t="s">
        <v>31</v>
      </c>
      <c r="O33" t="s">
        <v>8</v>
      </c>
      <c r="P33">
        <v>13</v>
      </c>
      <c r="Q33">
        <v>0</v>
      </c>
    </row>
    <row r="34" spans="12:17" x14ac:dyDescent="0.3">
      <c r="M34" s="317" t="s">
        <v>109</v>
      </c>
      <c r="N34" t="s">
        <v>102</v>
      </c>
      <c r="O34" t="s">
        <v>663</v>
      </c>
      <c r="P34">
        <v>9.81</v>
      </c>
      <c r="Q34">
        <v>0</v>
      </c>
    </row>
    <row r="35" spans="12:17" x14ac:dyDescent="0.3">
      <c r="M35" s="317" t="s">
        <v>109</v>
      </c>
      <c r="N35" t="s">
        <v>103</v>
      </c>
      <c r="O35" t="s">
        <v>663</v>
      </c>
      <c r="P35">
        <v>9.81</v>
      </c>
      <c r="Q35">
        <v>0</v>
      </c>
    </row>
    <row r="36" spans="12:17" x14ac:dyDescent="0.3">
      <c r="L36" t="s">
        <v>34</v>
      </c>
      <c r="P36">
        <v>38.74</v>
      </c>
      <c r="Q36">
        <v>0</v>
      </c>
    </row>
    <row r="37" spans="12:17" x14ac:dyDescent="0.3">
      <c r="M37" t="s">
        <v>163</v>
      </c>
      <c r="N37" t="s">
        <v>130</v>
      </c>
      <c r="O37" t="s">
        <v>8</v>
      </c>
      <c r="P37">
        <v>10.65</v>
      </c>
      <c r="Q37">
        <v>0</v>
      </c>
    </row>
    <row r="38" spans="12:17" x14ac:dyDescent="0.3">
      <c r="M38" t="s">
        <v>163</v>
      </c>
      <c r="N38" t="s">
        <v>63</v>
      </c>
      <c r="O38" t="s">
        <v>8</v>
      </c>
      <c r="P38">
        <v>14.45</v>
      </c>
      <c r="Q38">
        <v>0</v>
      </c>
    </row>
    <row r="39" spans="12:17" x14ac:dyDescent="0.3">
      <c r="M39" t="s">
        <v>163</v>
      </c>
      <c r="N39" t="s">
        <v>64</v>
      </c>
      <c r="O39" t="s">
        <v>8</v>
      </c>
      <c r="P39">
        <v>13.64</v>
      </c>
      <c r="Q39">
        <v>0</v>
      </c>
    </row>
    <row r="40" spans="12:17" x14ac:dyDescent="0.3">
      <c r="L40" t="s">
        <v>126</v>
      </c>
      <c r="P40">
        <v>86.36</v>
      </c>
      <c r="Q40">
        <v>0</v>
      </c>
    </row>
    <row r="44" spans="12:17" x14ac:dyDescent="0.3">
      <c r="L44" s="322" t="s">
        <v>655</v>
      </c>
      <c r="M44" s="323">
        <f>SUM(G9,H18,H20)</f>
        <v>0</v>
      </c>
    </row>
    <row r="92" ht="15" thickBot="1" x14ac:dyDescent="0.35"/>
  </sheetData>
  <mergeCells count="1">
    <mergeCell ref="C1:H1"/>
  </mergeCells>
  <pageMargins left="0.70866141732283472" right="0.70866141732283472" top="0.74803149606299213" bottom="0.47244094488188981" header="0.31496062992125984" footer="0.31496062992125984"/>
  <pageSetup paperSize="9" scale="68" fitToHeight="0" orientation="landscape" r:id="rId4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42">
    <pageSetUpPr fitToPage="1"/>
  </sheetPr>
  <dimension ref="B1:G35"/>
  <sheetViews>
    <sheetView showGridLines="0" view="pageBreakPreview" zoomScale="80" zoomScaleNormal="90" zoomScaleSheetLayoutView="80" workbookViewId="0">
      <selection activeCell="B8" sqref="B8"/>
    </sheetView>
  </sheetViews>
  <sheetFormatPr baseColWidth="10" defaultRowHeight="14.4" x14ac:dyDescent="0.3"/>
  <cols>
    <col min="2" max="2" width="17.44140625" customWidth="1"/>
    <col min="3" max="3" width="18.44140625" customWidth="1"/>
    <col min="4" max="4" width="24.21875" customWidth="1"/>
    <col min="5" max="5" width="15.77734375" customWidth="1"/>
  </cols>
  <sheetData>
    <row r="1" spans="2:7" x14ac:dyDescent="0.3">
      <c r="B1" s="329" t="s">
        <v>465</v>
      </c>
      <c r="C1" s="329"/>
      <c r="D1" s="329"/>
      <c r="E1" s="329"/>
      <c r="F1" s="329"/>
    </row>
    <row r="3" spans="2:7" x14ac:dyDescent="0.3">
      <c r="B3" s="330" t="str">
        <f>"Yo "&amp;D8&amp;", Jefe de Campo del Pedregalsa SA, declaro como has productivas de los lotes que tengo a cargo lo siguiente:"</f>
        <v>Yo Fernando Fernández, Jefe de Campo del Pedregalsa SA, declaro como has productivas de los lotes que tengo a cargo lo siguiente:</v>
      </c>
      <c r="C3" s="330"/>
      <c r="D3" s="330"/>
      <c r="E3" s="330"/>
      <c r="F3" s="330"/>
      <c r="G3" s="330"/>
    </row>
    <row r="4" spans="2:7" x14ac:dyDescent="0.3">
      <c r="B4" s="330"/>
      <c r="C4" s="330"/>
      <c r="D4" s="330"/>
      <c r="E4" s="330"/>
      <c r="F4" s="330"/>
      <c r="G4" s="330"/>
    </row>
    <row r="5" spans="2:7" x14ac:dyDescent="0.3">
      <c r="B5" s="231"/>
      <c r="C5" s="231"/>
      <c r="D5" s="231"/>
      <c r="E5" s="231"/>
      <c r="F5" s="231"/>
      <c r="G5" s="231"/>
    </row>
    <row r="6" spans="2:7" x14ac:dyDescent="0.3">
      <c r="B6" s="231"/>
      <c r="C6" s="231"/>
      <c r="D6" s="231"/>
      <c r="E6" s="231"/>
      <c r="F6" s="231"/>
      <c r="G6" s="231"/>
    </row>
    <row r="7" spans="2:7" x14ac:dyDescent="0.3">
      <c r="B7" s="231"/>
      <c r="C7" s="231"/>
      <c r="D7" s="231"/>
      <c r="E7" s="231"/>
      <c r="F7" s="231"/>
      <c r="G7" s="231"/>
    </row>
    <row r="8" spans="2:7" x14ac:dyDescent="0.3">
      <c r="C8" s="19" t="s">
        <v>5</v>
      </c>
      <c r="D8" t="s">
        <v>372</v>
      </c>
    </row>
    <row r="9" spans="2:7" x14ac:dyDescent="0.3">
      <c r="C9" s="19" t="s">
        <v>1</v>
      </c>
      <c r="D9" t="s">
        <v>7</v>
      </c>
    </row>
    <row r="11" spans="2:7" x14ac:dyDescent="0.3">
      <c r="C11" s="19" t="s">
        <v>138</v>
      </c>
      <c r="D11" s="19" t="s">
        <v>115</v>
      </c>
      <c r="E11" t="s">
        <v>384</v>
      </c>
    </row>
    <row r="12" spans="2:7" x14ac:dyDescent="0.3">
      <c r="C12" s="20" t="s">
        <v>246</v>
      </c>
      <c r="D12" s="20" t="s">
        <v>59</v>
      </c>
      <c r="E12">
        <v>6.89</v>
      </c>
    </row>
    <row r="13" spans="2:7" x14ac:dyDescent="0.3">
      <c r="C13" s="20" t="s">
        <v>246</v>
      </c>
      <c r="D13" s="20" t="s">
        <v>60</v>
      </c>
      <c r="E13">
        <v>3.62</v>
      </c>
    </row>
    <row r="14" spans="2:7" x14ac:dyDescent="0.3">
      <c r="C14" s="20" t="s">
        <v>242</v>
      </c>
      <c r="D14" s="20" t="s">
        <v>6</v>
      </c>
      <c r="E14">
        <v>9.82</v>
      </c>
    </row>
    <row r="15" spans="2:7" x14ac:dyDescent="0.3">
      <c r="C15" s="20" t="s">
        <v>242</v>
      </c>
      <c r="D15" s="20" t="s">
        <v>11</v>
      </c>
      <c r="E15">
        <v>7.23</v>
      </c>
    </row>
    <row r="16" spans="2:7" x14ac:dyDescent="0.3">
      <c r="C16" s="20" t="s">
        <v>242</v>
      </c>
      <c r="D16" s="20" t="s">
        <v>13</v>
      </c>
      <c r="E16">
        <v>6.08</v>
      </c>
    </row>
    <row r="17" spans="2:5" x14ac:dyDescent="0.3">
      <c r="C17" s="20" t="s">
        <v>242</v>
      </c>
      <c r="D17" s="20" t="s">
        <v>44</v>
      </c>
      <c r="E17">
        <v>14.21</v>
      </c>
    </row>
    <row r="18" spans="2:5" x14ac:dyDescent="0.3">
      <c r="C18" s="20" t="s">
        <v>242</v>
      </c>
      <c r="D18" s="20" t="s">
        <v>14</v>
      </c>
      <c r="E18">
        <v>14.4</v>
      </c>
    </row>
    <row r="19" spans="2:5" x14ac:dyDescent="0.3">
      <c r="C19" s="20" t="s">
        <v>242</v>
      </c>
      <c r="D19" s="20" t="s">
        <v>15</v>
      </c>
      <c r="E19">
        <v>11.51</v>
      </c>
    </row>
    <row r="20" spans="2:5" x14ac:dyDescent="0.3">
      <c r="C20" s="20" t="s">
        <v>242</v>
      </c>
      <c r="D20" s="20" t="s">
        <v>16</v>
      </c>
      <c r="E20">
        <v>14.11</v>
      </c>
    </row>
    <row r="21" spans="2:5" x14ac:dyDescent="0.3">
      <c r="C21" s="20" t="s">
        <v>242</v>
      </c>
      <c r="D21" s="20" t="s">
        <v>18</v>
      </c>
      <c r="E21">
        <v>14.96</v>
      </c>
    </row>
    <row r="22" spans="2:5" x14ac:dyDescent="0.3">
      <c r="C22" s="20" t="s">
        <v>242</v>
      </c>
      <c r="D22" s="20" t="s">
        <v>19</v>
      </c>
      <c r="E22">
        <v>12.77</v>
      </c>
    </row>
    <row r="23" spans="2:5" x14ac:dyDescent="0.3">
      <c r="C23" s="20" t="s">
        <v>126</v>
      </c>
      <c r="E23">
        <v>115.60000000000001</v>
      </c>
    </row>
    <row r="26" spans="2:5" x14ac:dyDescent="0.3">
      <c r="B26" s="20" t="s">
        <v>463</v>
      </c>
    </row>
    <row r="28" spans="2:5" x14ac:dyDescent="0.3">
      <c r="B28" s="20" t="s">
        <v>464</v>
      </c>
    </row>
    <row r="34" spans="3:5" ht="15" thickBot="1" x14ac:dyDescent="0.35">
      <c r="C34" s="232"/>
      <c r="D34" s="232"/>
      <c r="E34" s="232"/>
    </row>
    <row r="35" spans="3:5" x14ac:dyDescent="0.3">
      <c r="D35" t="str">
        <f>D8</f>
        <v>Fernando Fernández</v>
      </c>
    </row>
  </sheetData>
  <mergeCells count="2">
    <mergeCell ref="B1:F1"/>
    <mergeCell ref="B3:G4"/>
  </mergeCells>
  <pageMargins left="0.70866141732283472" right="0.70866141732283472" top="0.74803149606299213" bottom="0.74803149606299213" header="0.31496062992125984" footer="0.31496062992125984"/>
  <pageSetup paperSize="9" scale="88"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44"/>
  <dimension ref="A3:C26"/>
  <sheetViews>
    <sheetView workbookViewId="0"/>
  </sheetViews>
  <sheetFormatPr baseColWidth="10" defaultRowHeight="14.4" x14ac:dyDescent="0.3"/>
  <cols>
    <col min="1" max="1" width="17.5546875" bestFit="1" customWidth="1"/>
    <col min="2" max="2" width="19.21875" bestFit="1" customWidth="1"/>
    <col min="3" max="3" width="23.21875" bestFit="1" customWidth="1"/>
  </cols>
  <sheetData>
    <row r="3" spans="1:3" x14ac:dyDescent="0.3">
      <c r="A3" s="19" t="s">
        <v>138</v>
      </c>
      <c r="B3" s="19" t="s">
        <v>5</v>
      </c>
      <c r="C3" t="s">
        <v>139</v>
      </c>
    </row>
    <row r="4" spans="1:3" x14ac:dyDescent="0.3">
      <c r="A4" s="20" t="s">
        <v>245</v>
      </c>
      <c r="B4" s="20" t="s">
        <v>49</v>
      </c>
      <c r="C4">
        <v>43.04</v>
      </c>
    </row>
    <row r="5" spans="1:3" x14ac:dyDescent="0.3">
      <c r="A5" s="20" t="s">
        <v>245</v>
      </c>
      <c r="B5" s="20" t="s">
        <v>53</v>
      </c>
      <c r="C5">
        <v>36.24</v>
      </c>
    </row>
    <row r="6" spans="1:3" x14ac:dyDescent="0.3">
      <c r="A6" s="20" t="s">
        <v>245</v>
      </c>
      <c r="B6" s="20" t="s">
        <v>136</v>
      </c>
      <c r="C6">
        <v>21.77</v>
      </c>
    </row>
    <row r="7" spans="1:3" x14ac:dyDescent="0.3">
      <c r="A7" s="20" t="s">
        <v>245</v>
      </c>
      <c r="B7" s="20" t="s">
        <v>28</v>
      </c>
      <c r="C7">
        <v>66.44</v>
      </c>
    </row>
    <row r="8" spans="1:3" x14ac:dyDescent="0.3">
      <c r="A8" s="20" t="s">
        <v>245</v>
      </c>
      <c r="B8" s="20" t="s">
        <v>34</v>
      </c>
      <c r="C8">
        <v>25.36</v>
      </c>
    </row>
    <row r="9" spans="1:3" x14ac:dyDescent="0.3">
      <c r="A9" s="20" t="s">
        <v>248</v>
      </c>
      <c r="B9" s="20" t="s">
        <v>49</v>
      </c>
      <c r="C9">
        <v>6.21</v>
      </c>
    </row>
    <row r="10" spans="1:3" x14ac:dyDescent="0.3">
      <c r="A10" s="20" t="s">
        <v>248</v>
      </c>
      <c r="B10" s="20" t="s">
        <v>53</v>
      </c>
      <c r="C10">
        <v>56.519999999999996</v>
      </c>
    </row>
    <row r="11" spans="1:3" x14ac:dyDescent="0.3">
      <c r="A11" s="20" t="s">
        <v>246</v>
      </c>
      <c r="B11" s="20" t="s">
        <v>53</v>
      </c>
      <c r="C11">
        <v>38.44</v>
      </c>
    </row>
    <row r="12" spans="1:3" x14ac:dyDescent="0.3">
      <c r="A12" s="20" t="s">
        <v>246</v>
      </c>
      <c r="B12" s="20" t="s">
        <v>372</v>
      </c>
      <c r="C12">
        <v>10.51</v>
      </c>
    </row>
    <row r="13" spans="1:3" x14ac:dyDescent="0.3">
      <c r="A13" s="20" t="s">
        <v>246</v>
      </c>
      <c r="B13" s="20" t="s">
        <v>34</v>
      </c>
      <c r="C13">
        <v>22.71</v>
      </c>
    </row>
    <row r="14" spans="1:3" x14ac:dyDescent="0.3">
      <c r="A14" s="20" t="s">
        <v>243</v>
      </c>
      <c r="B14" s="20" t="s">
        <v>136</v>
      </c>
      <c r="C14">
        <v>14.82</v>
      </c>
    </row>
    <row r="15" spans="1:3" x14ac:dyDescent="0.3">
      <c r="A15" s="20" t="s">
        <v>244</v>
      </c>
      <c r="B15" s="20" t="s">
        <v>49</v>
      </c>
      <c r="C15">
        <v>37.159999999999997</v>
      </c>
    </row>
    <row r="16" spans="1:3" x14ac:dyDescent="0.3">
      <c r="A16" s="20" t="s">
        <v>244</v>
      </c>
      <c r="B16" s="20" t="s">
        <v>153</v>
      </c>
      <c r="C16">
        <v>107.7</v>
      </c>
    </row>
    <row r="17" spans="1:3" x14ac:dyDescent="0.3">
      <c r="A17" s="20" t="s">
        <v>247</v>
      </c>
      <c r="B17" s="20" t="s">
        <v>49</v>
      </c>
      <c r="C17">
        <v>33.46</v>
      </c>
    </row>
    <row r="18" spans="1:3" x14ac:dyDescent="0.3">
      <c r="A18" s="20" t="s">
        <v>247</v>
      </c>
      <c r="B18" s="20" t="s">
        <v>136</v>
      </c>
      <c r="C18">
        <v>30.33</v>
      </c>
    </row>
    <row r="19" spans="1:3" x14ac:dyDescent="0.3">
      <c r="A19" s="20" t="s">
        <v>414</v>
      </c>
      <c r="B19" s="20" t="s">
        <v>415</v>
      </c>
      <c r="C19">
        <v>3.65</v>
      </c>
    </row>
    <row r="20" spans="1:3" x14ac:dyDescent="0.3">
      <c r="A20" s="20" t="s">
        <v>242</v>
      </c>
      <c r="B20" s="20" t="s">
        <v>371</v>
      </c>
      <c r="C20">
        <v>138.51999999999998</v>
      </c>
    </row>
    <row r="21" spans="1:3" x14ac:dyDescent="0.3">
      <c r="A21" s="20" t="s">
        <v>242</v>
      </c>
      <c r="B21" s="20" t="s">
        <v>372</v>
      </c>
      <c r="C21">
        <v>105.09</v>
      </c>
    </row>
    <row r="22" spans="1:3" x14ac:dyDescent="0.3">
      <c r="A22" s="20" t="s">
        <v>242</v>
      </c>
      <c r="B22" s="20" t="s">
        <v>28</v>
      </c>
      <c r="C22">
        <v>15.92</v>
      </c>
    </row>
    <row r="23" spans="1:3" x14ac:dyDescent="0.3">
      <c r="A23" s="20" t="s">
        <v>242</v>
      </c>
      <c r="B23" s="20" t="s">
        <v>34</v>
      </c>
      <c r="C23">
        <v>76.41</v>
      </c>
    </row>
    <row r="24" spans="1:3" x14ac:dyDescent="0.3">
      <c r="A24" s="20" t="s">
        <v>525</v>
      </c>
      <c r="B24" s="20" t="s">
        <v>524</v>
      </c>
      <c r="C24">
        <v>0</v>
      </c>
    </row>
    <row r="25" spans="1:3" x14ac:dyDescent="0.3">
      <c r="A25" s="20" t="s">
        <v>527</v>
      </c>
      <c r="B25" s="20" t="s">
        <v>136</v>
      </c>
      <c r="C25">
        <v>0</v>
      </c>
    </row>
    <row r="26" spans="1:3" x14ac:dyDescent="0.3">
      <c r="A26" s="20" t="s">
        <v>126</v>
      </c>
      <c r="C26">
        <v>890.3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45"/>
  <dimension ref="A1:B12"/>
  <sheetViews>
    <sheetView workbookViewId="0">
      <selection activeCell="A14" sqref="A14"/>
    </sheetView>
  </sheetViews>
  <sheetFormatPr baseColWidth="10" defaultRowHeight="14.4" x14ac:dyDescent="0.3"/>
  <cols>
    <col min="1" max="1" width="34.77734375" bestFit="1" customWidth="1"/>
    <col min="2" max="2" width="13.21875" bestFit="1" customWidth="1"/>
  </cols>
  <sheetData>
    <row r="1" spans="1:2" x14ac:dyDescent="0.3">
      <c r="A1" s="19" t="s">
        <v>1</v>
      </c>
      <c r="B1" t="s">
        <v>7</v>
      </c>
    </row>
    <row r="3" spans="1:2" x14ac:dyDescent="0.3">
      <c r="A3" s="19" t="s">
        <v>138</v>
      </c>
      <c r="B3" s="19" t="s">
        <v>115</v>
      </c>
    </row>
    <row r="4" spans="1:2" x14ac:dyDescent="0.3">
      <c r="A4" s="20" t="s">
        <v>136</v>
      </c>
    </row>
    <row r="5" spans="1:2" x14ac:dyDescent="0.3">
      <c r="A5" s="184" t="s">
        <v>442</v>
      </c>
      <c r="B5" s="20" t="s">
        <v>85</v>
      </c>
    </row>
    <row r="6" spans="1:2" x14ac:dyDescent="0.3">
      <c r="A6" s="184" t="s">
        <v>442</v>
      </c>
      <c r="B6" s="20" t="s">
        <v>86</v>
      </c>
    </row>
    <row r="7" spans="1:2" x14ac:dyDescent="0.3">
      <c r="A7" s="184" t="s">
        <v>401</v>
      </c>
      <c r="B7" s="20" t="s">
        <v>99</v>
      </c>
    </row>
    <row r="8" spans="1:2" x14ac:dyDescent="0.3">
      <c r="A8" s="184" t="s">
        <v>401</v>
      </c>
      <c r="B8" s="20" t="s">
        <v>100</v>
      </c>
    </row>
    <row r="9" spans="1:2" x14ac:dyDescent="0.3">
      <c r="A9" s="184" t="s">
        <v>400</v>
      </c>
      <c r="B9" s="20" t="s">
        <v>87</v>
      </c>
    </row>
    <row r="10" spans="1:2" x14ac:dyDescent="0.3">
      <c r="A10" s="184" t="s">
        <v>477</v>
      </c>
      <c r="B10" s="20" t="s">
        <v>45</v>
      </c>
    </row>
    <row r="11" spans="1:2" x14ac:dyDescent="0.3">
      <c r="A11" s="184" t="s">
        <v>477</v>
      </c>
      <c r="B11" s="20" t="s">
        <v>47</v>
      </c>
    </row>
    <row r="12" spans="1:2" x14ac:dyDescent="0.3">
      <c r="A12" s="20" t="s">
        <v>126</v>
      </c>
    </row>
  </sheetData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48"/>
  <dimension ref="A3:AI102"/>
  <sheetViews>
    <sheetView showGridLines="0" topLeftCell="G1" workbookViewId="0">
      <selection activeCell="H10" sqref="H10"/>
    </sheetView>
  </sheetViews>
  <sheetFormatPr baseColWidth="10" defaultRowHeight="14.4" x14ac:dyDescent="0.3"/>
  <cols>
    <col min="1" max="1" width="18" bestFit="1" customWidth="1"/>
    <col min="2" max="2" width="17" customWidth="1"/>
    <col min="3" max="3" width="21.21875" bestFit="1" customWidth="1"/>
    <col min="4" max="4" width="15.21875" bestFit="1" customWidth="1"/>
    <col min="5" max="5" width="10.21875" customWidth="1"/>
    <col min="6" max="6" width="9.21875" customWidth="1"/>
    <col min="7" max="7" width="17.5546875" bestFit="1" customWidth="1"/>
    <col min="8" max="8" width="13.44140625" customWidth="1"/>
    <col min="9" max="9" width="4" customWidth="1"/>
    <col min="10" max="15" width="5.21875" bestFit="1" customWidth="1"/>
    <col min="16" max="24" width="4.21875" bestFit="1" customWidth="1"/>
    <col min="25" max="28" width="3.77734375" customWidth="1"/>
    <col min="29" max="29" width="4.77734375" bestFit="1" customWidth="1"/>
    <col min="30" max="35" width="4.21875" customWidth="1"/>
    <col min="36" max="38" width="3.77734375" customWidth="1"/>
    <col min="39" max="49" width="4.21875" customWidth="1"/>
    <col min="50" max="73" width="3.77734375" customWidth="1"/>
    <col min="74" max="91" width="4.21875" customWidth="1"/>
    <col min="92" max="95" width="3.44140625" customWidth="1"/>
    <col min="96" max="96" width="11.77734375" bestFit="1" customWidth="1"/>
  </cols>
  <sheetData>
    <row r="3" spans="1:35" x14ac:dyDescent="0.3">
      <c r="A3" s="19" t="s">
        <v>138</v>
      </c>
      <c r="B3" s="19"/>
    </row>
    <row r="4" spans="1:35" x14ac:dyDescent="0.3">
      <c r="A4" s="20" t="s">
        <v>338</v>
      </c>
      <c r="B4" s="20"/>
      <c r="C4" t="s">
        <v>499</v>
      </c>
      <c r="D4" s="247" t="s">
        <v>214</v>
      </c>
      <c r="E4" t="s">
        <v>501</v>
      </c>
    </row>
    <row r="5" spans="1:35" ht="15" thickBot="1" x14ac:dyDescent="0.35">
      <c r="A5" s="184" t="s">
        <v>83</v>
      </c>
      <c r="B5" s="184"/>
      <c r="C5" s="247" t="s">
        <v>7</v>
      </c>
      <c r="D5" s="184" t="s">
        <v>71</v>
      </c>
      <c r="E5" t="str">
        <f>LEFT(D5)</f>
        <v>A</v>
      </c>
      <c r="F5">
        <f>RIGHT(D5,2)*1</f>
        <v>1</v>
      </c>
      <c r="G5" s="19" t="s">
        <v>138</v>
      </c>
      <c r="J5">
        <v>15</v>
      </c>
      <c r="K5">
        <v>14</v>
      </c>
      <c r="L5">
        <v>13</v>
      </c>
      <c r="M5">
        <v>12</v>
      </c>
      <c r="N5">
        <v>11</v>
      </c>
      <c r="O5">
        <v>10</v>
      </c>
      <c r="P5">
        <v>9</v>
      </c>
      <c r="Q5">
        <f>P5-1</f>
        <v>8</v>
      </c>
      <c r="R5">
        <f t="shared" ref="R5:X5" si="0">Q5-1</f>
        <v>7</v>
      </c>
      <c r="S5">
        <f t="shared" si="0"/>
        <v>6</v>
      </c>
      <c r="T5">
        <f t="shared" si="0"/>
        <v>5</v>
      </c>
      <c r="U5">
        <f t="shared" si="0"/>
        <v>4</v>
      </c>
      <c r="V5">
        <f t="shared" si="0"/>
        <v>3</v>
      </c>
      <c r="W5">
        <f t="shared" si="0"/>
        <v>2</v>
      </c>
      <c r="X5">
        <f t="shared" si="0"/>
        <v>1</v>
      </c>
    </row>
    <row r="6" spans="1:35" ht="15" thickBot="1" x14ac:dyDescent="0.35">
      <c r="A6" s="184" t="s">
        <v>84</v>
      </c>
      <c r="B6" s="184"/>
      <c r="C6" s="247" t="s">
        <v>7</v>
      </c>
      <c r="D6" s="184" t="s">
        <v>72</v>
      </c>
      <c r="E6" t="str">
        <f t="shared" ref="E6:E69" si="1">LEFT(D6)</f>
        <v>A</v>
      </c>
      <c r="F6">
        <f t="shared" ref="F6:F69" si="2">RIGHT(D6,2)*1</f>
        <v>2</v>
      </c>
      <c r="G6" s="20" t="s">
        <v>502</v>
      </c>
      <c r="I6" t="s">
        <v>502</v>
      </c>
      <c r="L6" t="str">
        <f t="shared" ref="K6:X14" si="3">IF(LEN(L$5)=2,$I6&amp;L$5,$I6&amp;"0"&amp;L$5)</f>
        <v>A13</v>
      </c>
      <c r="M6" t="str">
        <f t="shared" si="3"/>
        <v>A12</v>
      </c>
      <c r="S6" t="str">
        <f t="shared" si="3"/>
        <v>A06</v>
      </c>
      <c r="T6" s="252" t="str">
        <f t="shared" si="3"/>
        <v>A05</v>
      </c>
      <c r="U6" t="str">
        <f t="shared" si="3"/>
        <v>A04</v>
      </c>
      <c r="V6" t="str">
        <f t="shared" si="3"/>
        <v>A03</v>
      </c>
      <c r="W6" t="str">
        <f t="shared" si="3"/>
        <v>A02</v>
      </c>
      <c r="X6" t="str">
        <f t="shared" si="3"/>
        <v>A01</v>
      </c>
      <c r="AC6" s="254"/>
      <c r="AD6" s="250" t="s">
        <v>515</v>
      </c>
      <c r="AE6" s="250"/>
      <c r="AF6" s="250"/>
      <c r="AG6" s="250"/>
      <c r="AH6" s="254"/>
      <c r="AI6" s="254"/>
    </row>
    <row r="7" spans="1:35" ht="15" thickBot="1" x14ac:dyDescent="0.35">
      <c r="A7" s="20" t="s">
        <v>370</v>
      </c>
      <c r="B7" s="20"/>
      <c r="C7" s="247" t="s">
        <v>7</v>
      </c>
      <c r="D7" s="184" t="s">
        <v>73</v>
      </c>
      <c r="E7" t="str">
        <f t="shared" si="1"/>
        <v>A</v>
      </c>
      <c r="F7">
        <f t="shared" si="2"/>
        <v>3</v>
      </c>
      <c r="G7" s="184" t="s">
        <v>71</v>
      </c>
      <c r="I7" t="s">
        <v>503</v>
      </c>
      <c r="K7" t="str">
        <f t="shared" si="3"/>
        <v>B14</v>
      </c>
      <c r="L7" t="str">
        <f t="shared" si="3"/>
        <v>B13</v>
      </c>
      <c r="M7" t="str">
        <f t="shared" si="3"/>
        <v>B12</v>
      </c>
      <c r="Q7" s="250" t="str">
        <f t="shared" si="3"/>
        <v>B08</v>
      </c>
      <c r="R7" t="str">
        <f t="shared" si="3"/>
        <v>B07</v>
      </c>
      <c r="S7" t="str">
        <f t="shared" si="3"/>
        <v>B06</v>
      </c>
      <c r="T7" t="str">
        <f t="shared" si="3"/>
        <v>B05</v>
      </c>
      <c r="U7" t="str">
        <f t="shared" si="3"/>
        <v>B04</v>
      </c>
      <c r="V7" t="str">
        <f t="shared" si="3"/>
        <v>B03</v>
      </c>
      <c r="W7" t="str">
        <f t="shared" si="3"/>
        <v>B02</v>
      </c>
      <c r="X7" t="str">
        <f t="shared" si="3"/>
        <v>B01</v>
      </c>
      <c r="AC7" s="253">
        <v>2024</v>
      </c>
      <c r="AD7" s="254" t="s">
        <v>516</v>
      </c>
      <c r="AE7" s="254"/>
      <c r="AF7" s="254"/>
      <c r="AG7" s="254"/>
      <c r="AH7" s="254"/>
      <c r="AI7" s="254"/>
    </row>
    <row r="8" spans="1:35" x14ac:dyDescent="0.3">
      <c r="A8" s="184" t="s">
        <v>363</v>
      </c>
      <c r="B8" s="184"/>
      <c r="C8" s="247" t="s">
        <v>7</v>
      </c>
      <c r="D8" s="184" t="s">
        <v>6</v>
      </c>
      <c r="E8" t="str">
        <f t="shared" si="1"/>
        <v>A</v>
      </c>
      <c r="F8">
        <f t="shared" si="2"/>
        <v>4</v>
      </c>
      <c r="G8" s="184" t="s">
        <v>72</v>
      </c>
      <c r="I8" t="s">
        <v>504</v>
      </c>
      <c r="J8" t="str">
        <f t="shared" ref="J8:J14" si="4">IF(LEN(J$5)=2,$I8&amp;J$5,$I8&amp;"0"&amp;J$5)</f>
        <v>C15</v>
      </c>
      <c r="K8" t="str">
        <f t="shared" si="3"/>
        <v>C14</v>
      </c>
      <c r="L8" s="246" t="str">
        <f t="shared" si="3"/>
        <v>C13</v>
      </c>
      <c r="M8" s="246" t="str">
        <f t="shared" si="3"/>
        <v>C12</v>
      </c>
      <c r="R8" t="str">
        <f t="shared" si="3"/>
        <v>C07</v>
      </c>
      <c r="S8" t="str">
        <f t="shared" si="3"/>
        <v>C06</v>
      </c>
      <c r="T8" t="str">
        <f t="shared" si="3"/>
        <v>C05</v>
      </c>
      <c r="U8" t="str">
        <f t="shared" si="3"/>
        <v>C04</v>
      </c>
      <c r="V8" t="str">
        <f t="shared" si="3"/>
        <v>C03</v>
      </c>
      <c r="W8" t="str">
        <f t="shared" si="3"/>
        <v>C02</v>
      </c>
      <c r="X8" t="str">
        <f t="shared" si="3"/>
        <v>C01</v>
      </c>
      <c r="AC8" s="250">
        <v>2023</v>
      </c>
      <c r="AD8" s="254" t="s">
        <v>521</v>
      </c>
      <c r="AE8" s="254"/>
      <c r="AF8" s="254"/>
      <c r="AG8" s="254"/>
      <c r="AH8" s="254"/>
      <c r="AI8" s="254"/>
    </row>
    <row r="9" spans="1:35" x14ac:dyDescent="0.3">
      <c r="A9" s="184" t="s">
        <v>364</v>
      </c>
      <c r="B9" s="184"/>
      <c r="C9" s="247" t="s">
        <v>7</v>
      </c>
      <c r="D9" s="184" t="s">
        <v>11</v>
      </c>
      <c r="E9" t="str">
        <f t="shared" si="1"/>
        <v>A</v>
      </c>
      <c r="F9">
        <f t="shared" si="2"/>
        <v>5</v>
      </c>
      <c r="G9" s="184" t="s">
        <v>73</v>
      </c>
      <c r="I9" t="s">
        <v>505</v>
      </c>
      <c r="J9" t="str">
        <f t="shared" si="4"/>
        <v>D15</v>
      </c>
      <c r="K9" t="str">
        <f t="shared" si="3"/>
        <v>D14</v>
      </c>
      <c r="L9" t="str">
        <f t="shared" si="3"/>
        <v>D13</v>
      </c>
      <c r="M9" t="str">
        <f t="shared" si="3"/>
        <v>D12</v>
      </c>
      <c r="R9" s="250" t="str">
        <f t="shared" si="3"/>
        <v>D07</v>
      </c>
      <c r="S9" t="str">
        <f t="shared" si="3"/>
        <v>D06</v>
      </c>
      <c r="T9" t="str">
        <f t="shared" si="3"/>
        <v>D05</v>
      </c>
      <c r="U9" t="str">
        <f t="shared" si="3"/>
        <v>D04</v>
      </c>
      <c r="V9" t="str">
        <f t="shared" si="3"/>
        <v>D03</v>
      </c>
      <c r="W9" t="str">
        <f t="shared" si="3"/>
        <v>D02</v>
      </c>
      <c r="X9" t="str">
        <f t="shared" si="3"/>
        <v>D01</v>
      </c>
      <c r="AC9" s="250">
        <v>2022</v>
      </c>
      <c r="AD9" s="254" t="s">
        <v>517</v>
      </c>
      <c r="AE9" s="254"/>
      <c r="AF9" s="254"/>
      <c r="AG9" s="254"/>
      <c r="AH9" s="254"/>
      <c r="AI9" s="254"/>
    </row>
    <row r="10" spans="1:35" x14ac:dyDescent="0.3">
      <c r="A10" s="184" t="s">
        <v>26</v>
      </c>
      <c r="B10" s="184"/>
      <c r="C10" s="247" t="s">
        <v>7</v>
      </c>
      <c r="D10" s="184" t="s">
        <v>13</v>
      </c>
      <c r="E10" t="str">
        <f t="shared" si="1"/>
        <v>A</v>
      </c>
      <c r="F10">
        <f t="shared" si="2"/>
        <v>6</v>
      </c>
      <c r="G10" s="184" t="s">
        <v>6</v>
      </c>
      <c r="I10" t="s">
        <v>506</v>
      </c>
      <c r="J10" t="str">
        <f t="shared" si="4"/>
        <v>E15</v>
      </c>
      <c r="K10" t="str">
        <f t="shared" si="3"/>
        <v>E14</v>
      </c>
      <c r="L10" t="str">
        <f t="shared" si="3"/>
        <v>E13</v>
      </c>
      <c r="M10" t="str">
        <f t="shared" si="3"/>
        <v>E12</v>
      </c>
      <c r="P10" t="str">
        <f t="shared" si="3"/>
        <v>E09</v>
      </c>
      <c r="Q10" t="str">
        <f t="shared" si="3"/>
        <v>E08</v>
      </c>
      <c r="R10" t="str">
        <f t="shared" si="3"/>
        <v>E07</v>
      </c>
      <c r="S10" t="str">
        <f t="shared" si="3"/>
        <v>E06</v>
      </c>
      <c r="T10" t="str">
        <f t="shared" si="3"/>
        <v>E05</v>
      </c>
      <c r="U10" t="str">
        <f t="shared" si="3"/>
        <v>E04</v>
      </c>
      <c r="V10" t="str">
        <f t="shared" si="3"/>
        <v>E03</v>
      </c>
      <c r="W10" t="str">
        <f t="shared" si="3"/>
        <v>E02</v>
      </c>
      <c r="X10" t="str">
        <f t="shared" si="3"/>
        <v>E01</v>
      </c>
      <c r="AC10" s="250">
        <v>2021</v>
      </c>
      <c r="AD10" s="254" t="s">
        <v>518</v>
      </c>
      <c r="AE10" s="254"/>
      <c r="AF10" s="254"/>
      <c r="AG10" s="254"/>
      <c r="AH10" s="254"/>
      <c r="AI10" s="254"/>
    </row>
    <row r="11" spans="1:35" x14ac:dyDescent="0.3">
      <c r="A11" s="184" t="s">
        <v>29</v>
      </c>
      <c r="B11" s="184"/>
      <c r="C11" s="247" t="s">
        <v>7</v>
      </c>
      <c r="D11" s="184" t="s">
        <v>99</v>
      </c>
      <c r="E11" t="str">
        <f t="shared" si="1"/>
        <v>A</v>
      </c>
      <c r="F11">
        <f t="shared" si="2"/>
        <v>12</v>
      </c>
      <c r="G11" s="184" t="s">
        <v>11</v>
      </c>
      <c r="I11" t="s">
        <v>507</v>
      </c>
      <c r="L11" t="str">
        <f t="shared" si="3"/>
        <v>F13</v>
      </c>
      <c r="M11" t="str">
        <f t="shared" si="3"/>
        <v>F12</v>
      </c>
      <c r="N11" s="228" t="s">
        <v>78</v>
      </c>
      <c r="P11" t="str">
        <f t="shared" si="3"/>
        <v>F09</v>
      </c>
      <c r="Q11" t="str">
        <f t="shared" si="3"/>
        <v>F08</v>
      </c>
      <c r="R11" t="str">
        <f t="shared" si="3"/>
        <v>F07</v>
      </c>
      <c r="S11" t="str">
        <f t="shared" si="3"/>
        <v>F06</v>
      </c>
      <c r="T11" t="str">
        <f t="shared" si="3"/>
        <v>F05</v>
      </c>
      <c r="U11" t="str">
        <f t="shared" si="3"/>
        <v>F04</v>
      </c>
      <c r="V11" t="str">
        <f t="shared" si="3"/>
        <v>F03</v>
      </c>
      <c r="W11" t="str">
        <f t="shared" si="3"/>
        <v>F02</v>
      </c>
      <c r="X11" t="str">
        <f t="shared" si="3"/>
        <v>F01</v>
      </c>
      <c r="AC11" s="250">
        <v>2020</v>
      </c>
      <c r="AD11" s="254" t="s">
        <v>519</v>
      </c>
      <c r="AE11" s="254"/>
      <c r="AF11" s="254"/>
      <c r="AG11" s="254"/>
      <c r="AH11" s="254"/>
      <c r="AI11" s="254"/>
    </row>
    <row r="12" spans="1:35" x14ac:dyDescent="0.3">
      <c r="A12" s="184" t="s">
        <v>101</v>
      </c>
      <c r="B12" s="184"/>
      <c r="C12" s="247" t="s">
        <v>7</v>
      </c>
      <c r="D12" s="184" t="s">
        <v>100</v>
      </c>
      <c r="E12" t="str">
        <f t="shared" si="1"/>
        <v>A</v>
      </c>
      <c r="F12">
        <f t="shared" si="2"/>
        <v>13</v>
      </c>
      <c r="G12" s="184" t="s">
        <v>13</v>
      </c>
      <c r="I12" t="s">
        <v>508</v>
      </c>
      <c r="J12" t="str">
        <f t="shared" si="4"/>
        <v>G15</v>
      </c>
      <c r="K12" t="str">
        <f t="shared" si="3"/>
        <v>G14</v>
      </c>
      <c r="L12" t="str">
        <f t="shared" si="3"/>
        <v>G13</v>
      </c>
      <c r="N12" t="str">
        <f t="shared" si="3"/>
        <v>G11</v>
      </c>
      <c r="O12" t="str">
        <f t="shared" si="3"/>
        <v>G10</v>
      </c>
      <c r="P12" t="str">
        <f t="shared" si="3"/>
        <v>G09</v>
      </c>
      <c r="S12" t="str">
        <f t="shared" si="3"/>
        <v>G06</v>
      </c>
      <c r="T12" t="str">
        <f t="shared" si="3"/>
        <v>G05</v>
      </c>
      <c r="U12" t="str">
        <f t="shared" si="3"/>
        <v>G04</v>
      </c>
      <c r="V12" t="str">
        <f t="shared" si="3"/>
        <v>G03</v>
      </c>
      <c r="W12" t="str">
        <f t="shared" si="3"/>
        <v>G02</v>
      </c>
      <c r="X12" t="str">
        <f t="shared" si="3"/>
        <v>G01</v>
      </c>
      <c r="AC12" s="254"/>
      <c r="AD12" s="254" t="s">
        <v>520</v>
      </c>
      <c r="AE12" s="254"/>
      <c r="AF12" s="254"/>
      <c r="AG12" s="254"/>
      <c r="AH12" s="254"/>
      <c r="AI12" s="254"/>
    </row>
    <row r="13" spans="1:35" x14ac:dyDescent="0.3">
      <c r="A13" s="184" t="s">
        <v>369</v>
      </c>
      <c r="B13" s="184"/>
      <c r="C13" s="247" t="s">
        <v>7</v>
      </c>
      <c r="D13" s="184" t="s">
        <v>81</v>
      </c>
      <c r="E13" t="str">
        <f t="shared" si="1"/>
        <v>B</v>
      </c>
      <c r="F13">
        <f t="shared" si="2"/>
        <v>1</v>
      </c>
      <c r="G13" s="184" t="s">
        <v>99</v>
      </c>
      <c r="I13" t="s">
        <v>509</v>
      </c>
      <c r="J13" s="250" t="str">
        <f t="shared" si="4"/>
        <v>H15</v>
      </c>
      <c r="K13" s="250" t="str">
        <f t="shared" si="3"/>
        <v>H14</v>
      </c>
      <c r="L13" t="str">
        <f t="shared" si="3"/>
        <v>H13</v>
      </c>
      <c r="N13" t="str">
        <f t="shared" si="3"/>
        <v>H11</v>
      </c>
      <c r="O13" t="str">
        <f t="shared" si="3"/>
        <v>H10</v>
      </c>
      <c r="P13" t="str">
        <f t="shared" si="3"/>
        <v>H09</v>
      </c>
    </row>
    <row r="14" spans="1:35" x14ac:dyDescent="0.3">
      <c r="A14" s="184" t="s">
        <v>102</v>
      </c>
      <c r="B14" s="184"/>
      <c r="C14" s="247" t="s">
        <v>7</v>
      </c>
      <c r="D14" s="184" t="s">
        <v>82</v>
      </c>
      <c r="E14" t="str">
        <f t="shared" si="1"/>
        <v>B</v>
      </c>
      <c r="F14">
        <f t="shared" si="2"/>
        <v>2</v>
      </c>
      <c r="G14" s="184" t="s">
        <v>100</v>
      </c>
      <c r="I14" t="s">
        <v>510</v>
      </c>
      <c r="J14" s="250" t="str">
        <f t="shared" si="4"/>
        <v>I15</v>
      </c>
      <c r="K14" s="250" t="str">
        <f t="shared" si="3"/>
        <v>I14</v>
      </c>
      <c r="L14" s="250" t="str">
        <f t="shared" si="3"/>
        <v>I13</v>
      </c>
      <c r="M14" s="250" t="str">
        <f t="shared" si="3"/>
        <v>I12</v>
      </c>
    </row>
    <row r="15" spans="1:35" x14ac:dyDescent="0.3">
      <c r="A15" s="184" t="s">
        <v>103</v>
      </c>
      <c r="B15" s="184"/>
      <c r="C15" s="247" t="s">
        <v>7</v>
      </c>
      <c r="D15" s="184" t="s">
        <v>51</v>
      </c>
      <c r="E15" t="str">
        <f t="shared" si="1"/>
        <v>B</v>
      </c>
      <c r="F15">
        <f t="shared" si="2"/>
        <v>3</v>
      </c>
      <c r="G15" s="20" t="s">
        <v>503</v>
      </c>
    </row>
    <row r="16" spans="1:35" x14ac:dyDescent="0.3">
      <c r="A16" s="184" t="s">
        <v>104</v>
      </c>
      <c r="B16" s="20"/>
      <c r="C16" s="247" t="s">
        <v>7</v>
      </c>
      <c r="D16" s="184" t="s">
        <v>44</v>
      </c>
      <c r="E16" t="str">
        <f t="shared" si="1"/>
        <v>B</v>
      </c>
      <c r="F16">
        <f t="shared" si="2"/>
        <v>4</v>
      </c>
      <c r="G16" s="184" t="s">
        <v>81</v>
      </c>
      <c r="J16" s="251" t="s">
        <v>511</v>
      </c>
    </row>
    <row r="17" spans="1:11" x14ac:dyDescent="0.3">
      <c r="A17" s="184" t="s">
        <v>368</v>
      </c>
      <c r="B17" s="184"/>
      <c r="C17" s="247" t="s">
        <v>7</v>
      </c>
      <c r="D17" s="184" t="s">
        <v>14</v>
      </c>
      <c r="E17" t="str">
        <f t="shared" si="1"/>
        <v>B</v>
      </c>
      <c r="F17">
        <f t="shared" si="2"/>
        <v>5</v>
      </c>
      <c r="G17" s="184" t="s">
        <v>82</v>
      </c>
      <c r="J17" s="226"/>
      <c r="K17" t="s">
        <v>512</v>
      </c>
    </row>
    <row r="18" spans="1:11" x14ac:dyDescent="0.3">
      <c r="A18" s="20" t="s">
        <v>7</v>
      </c>
      <c r="B18" s="184"/>
      <c r="C18" s="247" t="s">
        <v>7</v>
      </c>
      <c r="D18" s="184" t="s">
        <v>15</v>
      </c>
      <c r="E18" t="str">
        <f t="shared" si="1"/>
        <v>B</v>
      </c>
      <c r="F18">
        <f t="shared" si="2"/>
        <v>6</v>
      </c>
      <c r="G18" s="184" t="s">
        <v>51</v>
      </c>
      <c r="J18" s="248"/>
      <c r="K18" t="s">
        <v>513</v>
      </c>
    </row>
    <row r="19" spans="1:11" x14ac:dyDescent="0.3">
      <c r="A19" s="184" t="s">
        <v>71</v>
      </c>
      <c r="B19" s="184"/>
      <c r="C19" s="247" t="s">
        <v>7</v>
      </c>
      <c r="D19" s="184" t="s">
        <v>59</v>
      </c>
      <c r="E19" t="str">
        <f t="shared" si="1"/>
        <v>B</v>
      </c>
      <c r="F19">
        <f t="shared" si="2"/>
        <v>7</v>
      </c>
      <c r="G19" s="184" t="s">
        <v>44</v>
      </c>
      <c r="J19" s="228"/>
      <c r="K19" t="s">
        <v>414</v>
      </c>
    </row>
    <row r="20" spans="1:11" x14ac:dyDescent="0.3">
      <c r="A20" s="184" t="s">
        <v>72</v>
      </c>
      <c r="B20" s="184"/>
      <c r="C20" s="247" t="s">
        <v>7</v>
      </c>
      <c r="D20" s="184" t="s">
        <v>87</v>
      </c>
      <c r="E20" t="str">
        <f t="shared" si="1"/>
        <v>B</v>
      </c>
      <c r="F20">
        <f t="shared" si="2"/>
        <v>12</v>
      </c>
      <c r="G20" s="184" t="s">
        <v>14</v>
      </c>
      <c r="J20" s="249"/>
      <c r="K20" t="s">
        <v>514</v>
      </c>
    </row>
    <row r="21" spans="1:11" x14ac:dyDescent="0.3">
      <c r="A21" s="184" t="s">
        <v>73</v>
      </c>
      <c r="B21" s="184"/>
      <c r="C21" s="247" t="s">
        <v>7</v>
      </c>
      <c r="D21" s="184" t="s">
        <v>45</v>
      </c>
      <c r="E21" t="str">
        <f t="shared" si="1"/>
        <v>B</v>
      </c>
      <c r="F21">
        <f t="shared" si="2"/>
        <v>13</v>
      </c>
      <c r="G21" s="184" t="s">
        <v>15</v>
      </c>
    </row>
    <row r="22" spans="1:11" x14ac:dyDescent="0.3">
      <c r="A22" s="184" t="s">
        <v>6</v>
      </c>
      <c r="B22" s="184"/>
      <c r="C22" s="247" t="s">
        <v>7</v>
      </c>
      <c r="D22" s="184" t="s">
        <v>47</v>
      </c>
      <c r="E22" t="str">
        <f t="shared" si="1"/>
        <v>B</v>
      </c>
      <c r="F22">
        <f t="shared" si="2"/>
        <v>14</v>
      </c>
      <c r="G22" s="184" t="s">
        <v>59</v>
      </c>
    </row>
    <row r="23" spans="1:11" x14ac:dyDescent="0.3">
      <c r="A23" s="184" t="s">
        <v>11</v>
      </c>
      <c r="B23" s="184"/>
      <c r="C23" s="247" t="s">
        <v>7</v>
      </c>
      <c r="D23" s="184" t="s">
        <v>93</v>
      </c>
      <c r="E23" t="str">
        <f t="shared" si="1"/>
        <v>C</v>
      </c>
      <c r="F23">
        <f t="shared" si="2"/>
        <v>1</v>
      </c>
      <c r="G23" s="184" t="s">
        <v>363</v>
      </c>
    </row>
    <row r="24" spans="1:11" x14ac:dyDescent="0.3">
      <c r="A24" s="184" t="s">
        <v>13</v>
      </c>
      <c r="B24" s="184"/>
      <c r="C24" s="247" t="s">
        <v>7</v>
      </c>
      <c r="D24" s="184" t="s">
        <v>94</v>
      </c>
      <c r="E24" t="str">
        <f t="shared" si="1"/>
        <v>C</v>
      </c>
      <c r="F24">
        <f t="shared" si="2"/>
        <v>2</v>
      </c>
      <c r="G24" s="184" t="s">
        <v>87</v>
      </c>
    </row>
    <row r="25" spans="1:11" x14ac:dyDescent="0.3">
      <c r="A25" s="184" t="s">
        <v>99</v>
      </c>
      <c r="B25" s="184"/>
      <c r="C25" s="247" t="s">
        <v>7</v>
      </c>
      <c r="D25" s="184" t="s">
        <v>95</v>
      </c>
      <c r="E25" t="str">
        <f t="shared" si="1"/>
        <v>C</v>
      </c>
      <c r="F25">
        <f t="shared" si="2"/>
        <v>3</v>
      </c>
      <c r="G25" s="184" t="s">
        <v>45</v>
      </c>
    </row>
    <row r="26" spans="1:11" x14ac:dyDescent="0.3">
      <c r="A26" s="184" t="s">
        <v>100</v>
      </c>
      <c r="B26" s="184"/>
      <c r="C26" s="247" t="s">
        <v>7</v>
      </c>
      <c r="D26" s="184" t="s">
        <v>16</v>
      </c>
      <c r="E26" t="str">
        <f t="shared" si="1"/>
        <v>C</v>
      </c>
      <c r="F26">
        <f t="shared" si="2"/>
        <v>4</v>
      </c>
      <c r="G26" s="184" t="s">
        <v>47</v>
      </c>
    </row>
    <row r="27" spans="1:11" x14ac:dyDescent="0.3">
      <c r="A27" s="184" t="s">
        <v>81</v>
      </c>
      <c r="B27" s="184"/>
      <c r="C27" s="247" t="s">
        <v>7</v>
      </c>
      <c r="D27" s="184" t="s">
        <v>18</v>
      </c>
      <c r="E27" t="str">
        <f t="shared" si="1"/>
        <v>C</v>
      </c>
      <c r="F27">
        <f t="shared" si="2"/>
        <v>5</v>
      </c>
      <c r="G27" s="20" t="s">
        <v>504</v>
      </c>
    </row>
    <row r="28" spans="1:11" x14ac:dyDescent="0.3">
      <c r="A28" s="184" t="s">
        <v>82</v>
      </c>
      <c r="B28" s="184"/>
      <c r="C28" s="247" t="s">
        <v>7</v>
      </c>
      <c r="D28" s="184" t="s">
        <v>19</v>
      </c>
      <c r="E28" t="str">
        <f t="shared" si="1"/>
        <v>C</v>
      </c>
      <c r="F28">
        <f t="shared" si="2"/>
        <v>6</v>
      </c>
      <c r="G28" s="184" t="s">
        <v>93</v>
      </c>
    </row>
    <row r="29" spans="1:11" x14ac:dyDescent="0.3">
      <c r="A29" s="184" t="s">
        <v>51</v>
      </c>
      <c r="B29" s="184"/>
      <c r="C29" s="247" t="s">
        <v>7</v>
      </c>
      <c r="D29" s="184" t="s">
        <v>60</v>
      </c>
      <c r="E29" t="str">
        <f t="shared" si="1"/>
        <v>C</v>
      </c>
      <c r="F29">
        <f t="shared" si="2"/>
        <v>7</v>
      </c>
      <c r="G29" s="184" t="s">
        <v>94</v>
      </c>
    </row>
    <row r="30" spans="1:11" x14ac:dyDescent="0.3">
      <c r="A30" s="184" t="s">
        <v>44</v>
      </c>
      <c r="B30" s="184"/>
      <c r="C30" s="247" t="s">
        <v>7</v>
      </c>
      <c r="D30" s="184" t="s">
        <v>85</v>
      </c>
      <c r="E30" t="str">
        <f t="shared" si="1"/>
        <v>C</v>
      </c>
      <c r="F30">
        <f t="shared" si="2"/>
        <v>14</v>
      </c>
      <c r="G30" s="184" t="s">
        <v>95</v>
      </c>
    </row>
    <row r="31" spans="1:11" x14ac:dyDescent="0.3">
      <c r="A31" s="184" t="s">
        <v>14</v>
      </c>
      <c r="B31" s="184"/>
      <c r="C31" s="247" t="s">
        <v>7</v>
      </c>
      <c r="D31" s="184" t="s">
        <v>86</v>
      </c>
      <c r="E31" t="str">
        <f t="shared" si="1"/>
        <v>C</v>
      </c>
      <c r="F31">
        <f t="shared" si="2"/>
        <v>15</v>
      </c>
      <c r="G31" s="184" t="s">
        <v>16</v>
      </c>
    </row>
    <row r="32" spans="1:11" x14ac:dyDescent="0.3">
      <c r="A32" s="184" t="s">
        <v>15</v>
      </c>
      <c r="B32" s="184"/>
      <c r="C32" s="247" t="s">
        <v>7</v>
      </c>
      <c r="D32" s="184" t="s">
        <v>20</v>
      </c>
      <c r="E32" t="str">
        <f t="shared" si="1"/>
        <v>D</v>
      </c>
      <c r="F32">
        <f t="shared" si="2"/>
        <v>1</v>
      </c>
      <c r="G32" s="184" t="s">
        <v>18</v>
      </c>
    </row>
    <row r="33" spans="1:7" x14ac:dyDescent="0.3">
      <c r="A33" s="184" t="s">
        <v>59</v>
      </c>
      <c r="B33" s="184"/>
      <c r="C33" s="247" t="s">
        <v>7</v>
      </c>
      <c r="D33" s="184" t="s">
        <v>21</v>
      </c>
      <c r="E33" t="str">
        <f t="shared" si="1"/>
        <v>D</v>
      </c>
      <c r="F33">
        <f t="shared" si="2"/>
        <v>2</v>
      </c>
      <c r="G33" s="184" t="s">
        <v>19</v>
      </c>
    </row>
    <row r="34" spans="1:7" x14ac:dyDescent="0.3">
      <c r="A34" s="184" t="s">
        <v>87</v>
      </c>
      <c r="B34" s="184"/>
      <c r="C34" s="247" t="s">
        <v>7</v>
      </c>
      <c r="D34" s="184" t="s">
        <v>22</v>
      </c>
      <c r="E34" t="str">
        <f t="shared" si="1"/>
        <v>D</v>
      </c>
      <c r="F34">
        <f t="shared" si="2"/>
        <v>3</v>
      </c>
      <c r="G34" s="184" t="s">
        <v>60</v>
      </c>
    </row>
    <row r="35" spans="1:7" x14ac:dyDescent="0.3">
      <c r="A35" s="184" t="s">
        <v>45</v>
      </c>
      <c r="B35" s="184"/>
      <c r="C35" s="247" t="s">
        <v>7</v>
      </c>
      <c r="D35" s="184" t="s">
        <v>23</v>
      </c>
      <c r="E35" t="str">
        <f t="shared" si="1"/>
        <v>D</v>
      </c>
      <c r="F35">
        <f t="shared" si="2"/>
        <v>4</v>
      </c>
      <c r="G35" s="184" t="s">
        <v>83</v>
      </c>
    </row>
    <row r="36" spans="1:7" x14ac:dyDescent="0.3">
      <c r="A36" s="184" t="s">
        <v>47</v>
      </c>
      <c r="B36" s="184"/>
      <c r="C36" s="247" t="s">
        <v>7</v>
      </c>
      <c r="D36" s="184" t="s">
        <v>24</v>
      </c>
      <c r="E36" t="str">
        <f t="shared" si="1"/>
        <v>D</v>
      </c>
      <c r="F36">
        <f t="shared" si="2"/>
        <v>5</v>
      </c>
      <c r="G36" s="184" t="s">
        <v>84</v>
      </c>
    </row>
    <row r="37" spans="1:7" x14ac:dyDescent="0.3">
      <c r="A37" s="184" t="s">
        <v>93</v>
      </c>
      <c r="B37" s="184"/>
      <c r="C37" s="247" t="s">
        <v>7</v>
      </c>
      <c r="D37" s="184" t="s">
        <v>25</v>
      </c>
      <c r="E37" t="str">
        <f t="shared" si="1"/>
        <v>D</v>
      </c>
      <c r="F37">
        <f t="shared" si="2"/>
        <v>6</v>
      </c>
      <c r="G37" s="184" t="s">
        <v>85</v>
      </c>
    </row>
    <row r="38" spans="1:7" x14ac:dyDescent="0.3">
      <c r="A38" s="184" t="s">
        <v>94</v>
      </c>
      <c r="B38" s="184"/>
      <c r="C38" s="247" t="s">
        <v>7</v>
      </c>
      <c r="D38" s="184" t="s">
        <v>48</v>
      </c>
      <c r="E38" t="str">
        <f t="shared" si="1"/>
        <v>D</v>
      </c>
      <c r="F38">
        <f t="shared" si="2"/>
        <v>12</v>
      </c>
      <c r="G38" s="184" t="s">
        <v>86</v>
      </c>
    </row>
    <row r="39" spans="1:7" x14ac:dyDescent="0.3">
      <c r="A39" s="184" t="s">
        <v>95</v>
      </c>
      <c r="B39" s="184"/>
      <c r="C39" s="247" t="s">
        <v>7</v>
      </c>
      <c r="D39" s="184" t="s">
        <v>50</v>
      </c>
      <c r="E39" t="str">
        <f t="shared" si="1"/>
        <v>D</v>
      </c>
      <c r="F39">
        <f t="shared" si="2"/>
        <v>13</v>
      </c>
      <c r="G39" s="20" t="s">
        <v>505</v>
      </c>
    </row>
    <row r="40" spans="1:7" x14ac:dyDescent="0.3">
      <c r="A40" s="184" t="s">
        <v>16</v>
      </c>
      <c r="B40" s="184"/>
      <c r="C40" s="247" t="s">
        <v>7</v>
      </c>
      <c r="D40" s="184" t="s">
        <v>96</v>
      </c>
      <c r="E40" t="str">
        <f t="shared" si="1"/>
        <v>D</v>
      </c>
      <c r="F40">
        <f t="shared" si="2"/>
        <v>14</v>
      </c>
      <c r="G40" s="184" t="s">
        <v>20</v>
      </c>
    </row>
    <row r="41" spans="1:7" x14ac:dyDescent="0.3">
      <c r="A41" s="184" t="s">
        <v>18</v>
      </c>
      <c r="B41" s="184"/>
      <c r="C41" s="247" t="s">
        <v>7</v>
      </c>
      <c r="D41" s="184" t="s">
        <v>97</v>
      </c>
      <c r="E41" t="str">
        <f t="shared" si="1"/>
        <v>D</v>
      </c>
      <c r="F41">
        <f t="shared" si="2"/>
        <v>15</v>
      </c>
      <c r="G41" s="184" t="s">
        <v>21</v>
      </c>
    </row>
    <row r="42" spans="1:7" x14ac:dyDescent="0.3">
      <c r="A42" s="184" t="s">
        <v>19</v>
      </c>
      <c r="B42" s="184"/>
      <c r="C42" s="247" t="s">
        <v>7</v>
      </c>
      <c r="D42" s="184" t="s">
        <v>74</v>
      </c>
      <c r="E42" t="str">
        <f t="shared" si="1"/>
        <v>E</v>
      </c>
      <c r="F42">
        <f t="shared" si="2"/>
        <v>1</v>
      </c>
      <c r="G42" s="184" t="s">
        <v>22</v>
      </c>
    </row>
    <row r="43" spans="1:7" x14ac:dyDescent="0.3">
      <c r="A43" s="184" t="s">
        <v>60</v>
      </c>
      <c r="B43" s="184"/>
      <c r="C43" s="247" t="s">
        <v>7</v>
      </c>
      <c r="D43" s="184" t="s">
        <v>75</v>
      </c>
      <c r="E43" t="str">
        <f t="shared" si="1"/>
        <v>E</v>
      </c>
      <c r="F43">
        <f t="shared" si="2"/>
        <v>2</v>
      </c>
      <c r="G43" s="184" t="s">
        <v>23</v>
      </c>
    </row>
    <row r="44" spans="1:7" x14ac:dyDescent="0.3">
      <c r="A44" s="184" t="s">
        <v>85</v>
      </c>
      <c r="B44" s="184"/>
      <c r="C44" s="247" t="s">
        <v>7</v>
      </c>
      <c r="D44" s="184" t="s">
        <v>76</v>
      </c>
      <c r="E44" t="str">
        <f t="shared" si="1"/>
        <v>E</v>
      </c>
      <c r="F44">
        <f t="shared" si="2"/>
        <v>3</v>
      </c>
      <c r="G44" s="184" t="s">
        <v>24</v>
      </c>
    </row>
    <row r="45" spans="1:7" x14ac:dyDescent="0.3">
      <c r="A45" s="184" t="s">
        <v>86</v>
      </c>
      <c r="B45" s="184"/>
      <c r="C45" s="247" t="s">
        <v>7</v>
      </c>
      <c r="D45" s="184" t="s">
        <v>77</v>
      </c>
      <c r="E45" t="str">
        <f t="shared" si="1"/>
        <v>E</v>
      </c>
      <c r="F45">
        <f t="shared" si="2"/>
        <v>4</v>
      </c>
      <c r="G45" s="184" t="s">
        <v>25</v>
      </c>
    </row>
    <row r="46" spans="1:7" x14ac:dyDescent="0.3">
      <c r="A46" s="184" t="s">
        <v>20</v>
      </c>
      <c r="B46" s="184"/>
      <c r="C46" s="247" t="s">
        <v>7</v>
      </c>
      <c r="D46" s="184" t="s">
        <v>37</v>
      </c>
      <c r="E46" t="str">
        <f t="shared" si="1"/>
        <v>E</v>
      </c>
      <c r="F46">
        <f t="shared" si="2"/>
        <v>5</v>
      </c>
      <c r="G46" s="184" t="s">
        <v>364</v>
      </c>
    </row>
    <row r="47" spans="1:7" x14ac:dyDescent="0.3">
      <c r="A47" s="184" t="s">
        <v>21</v>
      </c>
      <c r="B47" s="184"/>
      <c r="C47" s="247" t="s">
        <v>7</v>
      </c>
      <c r="D47" s="184" t="s">
        <v>38</v>
      </c>
      <c r="E47" t="str">
        <f t="shared" si="1"/>
        <v>E</v>
      </c>
      <c r="F47">
        <f t="shared" si="2"/>
        <v>6</v>
      </c>
      <c r="G47" s="184" t="s">
        <v>48</v>
      </c>
    </row>
    <row r="48" spans="1:7" x14ac:dyDescent="0.3">
      <c r="A48" s="184" t="s">
        <v>22</v>
      </c>
      <c r="B48" s="184"/>
      <c r="C48" s="247" t="s">
        <v>7</v>
      </c>
      <c r="D48" s="184" t="s">
        <v>39</v>
      </c>
      <c r="E48" t="str">
        <f t="shared" si="1"/>
        <v>E</v>
      </c>
      <c r="F48">
        <f t="shared" si="2"/>
        <v>7</v>
      </c>
      <c r="G48" s="184" t="s">
        <v>50</v>
      </c>
    </row>
    <row r="49" spans="1:7" x14ac:dyDescent="0.3">
      <c r="A49" s="184" t="s">
        <v>23</v>
      </c>
      <c r="B49" s="184"/>
      <c r="C49" s="247" t="s">
        <v>7</v>
      </c>
      <c r="D49" s="184" t="s">
        <v>40</v>
      </c>
      <c r="E49" t="str">
        <f t="shared" si="1"/>
        <v>E</v>
      </c>
      <c r="F49">
        <f t="shared" si="2"/>
        <v>8</v>
      </c>
      <c r="G49" s="184" t="s">
        <v>96</v>
      </c>
    </row>
    <row r="50" spans="1:7" x14ac:dyDescent="0.3">
      <c r="A50" s="184" t="s">
        <v>24</v>
      </c>
      <c r="B50" s="184"/>
      <c r="C50" s="247" t="s">
        <v>7</v>
      </c>
      <c r="D50" s="184" t="s">
        <v>41</v>
      </c>
      <c r="E50" t="str">
        <f t="shared" si="1"/>
        <v>E</v>
      </c>
      <c r="F50">
        <f t="shared" si="2"/>
        <v>9</v>
      </c>
      <c r="G50" s="184" t="s">
        <v>97</v>
      </c>
    </row>
    <row r="51" spans="1:7" x14ac:dyDescent="0.3">
      <c r="A51" s="184" t="s">
        <v>25</v>
      </c>
      <c r="B51" s="184"/>
      <c r="C51" s="247" t="s">
        <v>7</v>
      </c>
      <c r="D51" s="184" t="s">
        <v>26</v>
      </c>
      <c r="E51" t="str">
        <f t="shared" si="1"/>
        <v>E</v>
      </c>
      <c r="F51">
        <f t="shared" si="2"/>
        <v>12</v>
      </c>
      <c r="G51" s="20" t="s">
        <v>506</v>
      </c>
    </row>
    <row r="52" spans="1:7" x14ac:dyDescent="0.3">
      <c r="A52" s="184" t="s">
        <v>48</v>
      </c>
      <c r="B52" s="184"/>
      <c r="C52" s="247" t="s">
        <v>7</v>
      </c>
      <c r="D52" s="184" t="s">
        <v>29</v>
      </c>
      <c r="E52" t="str">
        <f t="shared" si="1"/>
        <v>E</v>
      </c>
      <c r="F52">
        <f t="shared" si="2"/>
        <v>13</v>
      </c>
      <c r="G52" s="184" t="s">
        <v>74</v>
      </c>
    </row>
    <row r="53" spans="1:7" x14ac:dyDescent="0.3">
      <c r="A53" s="184" t="s">
        <v>50</v>
      </c>
      <c r="B53" s="184"/>
      <c r="C53" s="247" t="s">
        <v>7</v>
      </c>
      <c r="D53" s="184" t="s">
        <v>30</v>
      </c>
      <c r="E53" t="str">
        <f t="shared" si="1"/>
        <v>E</v>
      </c>
      <c r="F53">
        <f t="shared" si="2"/>
        <v>14</v>
      </c>
      <c r="G53" s="184" t="s">
        <v>75</v>
      </c>
    </row>
    <row r="54" spans="1:7" x14ac:dyDescent="0.3">
      <c r="A54" s="184" t="s">
        <v>96</v>
      </c>
      <c r="B54" s="184"/>
      <c r="C54" s="247" t="s">
        <v>7</v>
      </c>
      <c r="D54" s="184" t="s">
        <v>98</v>
      </c>
      <c r="E54" t="str">
        <f t="shared" si="1"/>
        <v>E</v>
      </c>
      <c r="F54">
        <f t="shared" si="2"/>
        <v>15</v>
      </c>
      <c r="G54" s="184" t="s">
        <v>76</v>
      </c>
    </row>
    <row r="55" spans="1:7" x14ac:dyDescent="0.3">
      <c r="A55" s="184" t="s">
        <v>97</v>
      </c>
      <c r="B55" s="184"/>
      <c r="C55" s="247" t="s">
        <v>7</v>
      </c>
      <c r="D55" s="184" t="s">
        <v>67</v>
      </c>
      <c r="E55" t="str">
        <f t="shared" si="1"/>
        <v>F</v>
      </c>
      <c r="F55">
        <f t="shared" si="2"/>
        <v>1</v>
      </c>
      <c r="G55" s="184" t="s">
        <v>77</v>
      </c>
    </row>
    <row r="56" spans="1:7" x14ac:dyDescent="0.3">
      <c r="A56" s="184" t="s">
        <v>74</v>
      </c>
      <c r="B56" s="184"/>
      <c r="C56" s="247" t="s">
        <v>7</v>
      </c>
      <c r="D56" s="184" t="s">
        <v>68</v>
      </c>
      <c r="E56" t="str">
        <f t="shared" si="1"/>
        <v>F</v>
      </c>
      <c r="F56">
        <f t="shared" si="2"/>
        <v>2</v>
      </c>
      <c r="G56" s="184" t="s">
        <v>37</v>
      </c>
    </row>
    <row r="57" spans="1:7" x14ac:dyDescent="0.3">
      <c r="A57" s="184" t="s">
        <v>75</v>
      </c>
      <c r="B57" s="184"/>
      <c r="C57" s="247" t="s">
        <v>7</v>
      </c>
      <c r="D57" s="184" t="s">
        <v>69</v>
      </c>
      <c r="E57" t="str">
        <f t="shared" si="1"/>
        <v>F</v>
      </c>
      <c r="F57">
        <f t="shared" si="2"/>
        <v>3</v>
      </c>
      <c r="G57" s="184" t="s">
        <v>38</v>
      </c>
    </row>
    <row r="58" spans="1:7" x14ac:dyDescent="0.3">
      <c r="A58" s="184" t="s">
        <v>76</v>
      </c>
      <c r="B58" s="184"/>
      <c r="C58" s="247" t="s">
        <v>7</v>
      </c>
      <c r="D58" s="184" t="s">
        <v>70</v>
      </c>
      <c r="E58" t="str">
        <f t="shared" si="1"/>
        <v>F</v>
      </c>
      <c r="F58">
        <f t="shared" si="2"/>
        <v>4</v>
      </c>
      <c r="G58" s="184" t="s">
        <v>39</v>
      </c>
    </row>
    <row r="59" spans="1:7" x14ac:dyDescent="0.3">
      <c r="A59" s="184" t="s">
        <v>77</v>
      </c>
      <c r="B59" s="184"/>
      <c r="C59" s="247" t="s">
        <v>7</v>
      </c>
      <c r="D59" s="184" t="s">
        <v>33</v>
      </c>
      <c r="E59" t="str">
        <f t="shared" si="1"/>
        <v>F</v>
      </c>
      <c r="F59">
        <f t="shared" si="2"/>
        <v>5</v>
      </c>
      <c r="G59" s="184" t="s">
        <v>40</v>
      </c>
    </row>
    <row r="60" spans="1:7" x14ac:dyDescent="0.3">
      <c r="A60" s="184" t="s">
        <v>37</v>
      </c>
      <c r="B60" s="184"/>
      <c r="C60" s="247" t="s">
        <v>7</v>
      </c>
      <c r="D60" s="184" t="s">
        <v>35</v>
      </c>
      <c r="E60" t="str">
        <f t="shared" si="1"/>
        <v>F</v>
      </c>
      <c r="F60">
        <f t="shared" si="2"/>
        <v>6</v>
      </c>
      <c r="G60" s="184" t="s">
        <v>41</v>
      </c>
    </row>
    <row r="61" spans="1:7" x14ac:dyDescent="0.3">
      <c r="A61" s="184" t="s">
        <v>38</v>
      </c>
      <c r="B61" s="184"/>
      <c r="C61" s="247" t="s">
        <v>7</v>
      </c>
      <c r="D61" s="184" t="s">
        <v>36</v>
      </c>
      <c r="E61" t="str">
        <f t="shared" si="1"/>
        <v>F</v>
      </c>
      <c r="F61">
        <f t="shared" si="2"/>
        <v>7</v>
      </c>
      <c r="G61" s="184" t="s">
        <v>26</v>
      </c>
    </row>
    <row r="62" spans="1:7" x14ac:dyDescent="0.3">
      <c r="A62" s="184" t="s">
        <v>39</v>
      </c>
      <c r="B62" s="184"/>
      <c r="C62" s="247" t="s">
        <v>7</v>
      </c>
      <c r="D62" s="184" t="s">
        <v>42</v>
      </c>
      <c r="E62" t="str">
        <f t="shared" si="1"/>
        <v>F</v>
      </c>
      <c r="F62">
        <f t="shared" si="2"/>
        <v>8</v>
      </c>
      <c r="G62" s="184" t="s">
        <v>29</v>
      </c>
    </row>
    <row r="63" spans="1:7" x14ac:dyDescent="0.3">
      <c r="A63" s="184" t="s">
        <v>40</v>
      </c>
      <c r="B63" s="184"/>
      <c r="C63" s="247" t="s">
        <v>7</v>
      </c>
      <c r="D63" s="184" t="s">
        <v>43</v>
      </c>
      <c r="E63" t="str">
        <f t="shared" si="1"/>
        <v>F</v>
      </c>
      <c r="F63">
        <f t="shared" si="2"/>
        <v>9</v>
      </c>
      <c r="G63" s="184" t="s">
        <v>30</v>
      </c>
    </row>
    <row r="64" spans="1:7" x14ac:dyDescent="0.3">
      <c r="A64" s="184" t="s">
        <v>41</v>
      </c>
      <c r="B64" s="184"/>
      <c r="C64" s="247" t="s">
        <v>7</v>
      </c>
      <c r="D64" s="184" t="s">
        <v>31</v>
      </c>
      <c r="E64" t="str">
        <f t="shared" si="1"/>
        <v>F</v>
      </c>
      <c r="F64">
        <f t="shared" si="2"/>
        <v>12</v>
      </c>
      <c r="G64" s="184" t="s">
        <v>98</v>
      </c>
    </row>
    <row r="65" spans="1:7" x14ac:dyDescent="0.3">
      <c r="A65" s="184" t="s">
        <v>30</v>
      </c>
      <c r="B65" s="184"/>
      <c r="C65" s="247" t="s">
        <v>7</v>
      </c>
      <c r="D65" s="184" t="s">
        <v>32</v>
      </c>
      <c r="E65" t="str">
        <f t="shared" si="1"/>
        <v>F</v>
      </c>
      <c r="F65">
        <f t="shared" si="2"/>
        <v>13</v>
      </c>
      <c r="G65" s="20" t="s">
        <v>507</v>
      </c>
    </row>
    <row r="66" spans="1:7" x14ac:dyDescent="0.3">
      <c r="A66" s="184" t="s">
        <v>98</v>
      </c>
      <c r="B66" s="184"/>
      <c r="C66" s="247" t="s">
        <v>7</v>
      </c>
      <c r="D66" s="184" t="s">
        <v>52</v>
      </c>
      <c r="E66" t="str">
        <f t="shared" si="1"/>
        <v>G</v>
      </c>
      <c r="F66">
        <f t="shared" si="2"/>
        <v>1</v>
      </c>
      <c r="G66" s="184" t="s">
        <v>67</v>
      </c>
    </row>
    <row r="67" spans="1:7" x14ac:dyDescent="0.3">
      <c r="A67" s="184" t="s">
        <v>67</v>
      </c>
      <c r="B67" s="184"/>
      <c r="C67" s="247" t="s">
        <v>7</v>
      </c>
      <c r="D67" s="184" t="s">
        <v>54</v>
      </c>
      <c r="E67" t="str">
        <f t="shared" si="1"/>
        <v>G</v>
      </c>
      <c r="F67">
        <f t="shared" si="2"/>
        <v>2</v>
      </c>
      <c r="G67" s="184" t="s">
        <v>68</v>
      </c>
    </row>
    <row r="68" spans="1:7" x14ac:dyDescent="0.3">
      <c r="A68" s="184" t="s">
        <v>68</v>
      </c>
      <c r="B68" s="184"/>
      <c r="C68" s="247" t="s">
        <v>7</v>
      </c>
      <c r="D68" s="184" t="s">
        <v>55</v>
      </c>
      <c r="E68" t="str">
        <f t="shared" si="1"/>
        <v>G</v>
      </c>
      <c r="F68">
        <f t="shared" si="2"/>
        <v>3</v>
      </c>
      <c r="G68" s="184" t="s">
        <v>69</v>
      </c>
    </row>
    <row r="69" spans="1:7" x14ac:dyDescent="0.3">
      <c r="A69" s="184" t="s">
        <v>69</v>
      </c>
      <c r="B69" s="184"/>
      <c r="C69" s="247" t="s">
        <v>7</v>
      </c>
      <c r="D69" s="184" t="s">
        <v>56</v>
      </c>
      <c r="E69" t="str">
        <f t="shared" si="1"/>
        <v>G</v>
      </c>
      <c r="F69">
        <f t="shared" si="2"/>
        <v>4</v>
      </c>
      <c r="G69" s="184" t="s">
        <v>70</v>
      </c>
    </row>
    <row r="70" spans="1:7" x14ac:dyDescent="0.3">
      <c r="A70" s="184" t="s">
        <v>70</v>
      </c>
      <c r="B70" s="184"/>
      <c r="C70" s="247" t="s">
        <v>7</v>
      </c>
      <c r="D70" s="184" t="s">
        <v>57</v>
      </c>
      <c r="E70" t="str">
        <f t="shared" ref="E70:E91" si="5">LEFT(D70)</f>
        <v>G</v>
      </c>
      <c r="F70">
        <f t="shared" ref="F70:F91" si="6">RIGHT(D70,2)*1</f>
        <v>5</v>
      </c>
      <c r="G70" s="184" t="s">
        <v>33</v>
      </c>
    </row>
    <row r="71" spans="1:7" x14ac:dyDescent="0.3">
      <c r="A71" s="184" t="s">
        <v>33</v>
      </c>
      <c r="B71" s="184"/>
      <c r="C71" s="247" t="s">
        <v>7</v>
      </c>
      <c r="D71" s="184" t="s">
        <v>58</v>
      </c>
      <c r="E71" t="str">
        <f t="shared" si="5"/>
        <v>G</v>
      </c>
      <c r="F71">
        <f t="shared" si="6"/>
        <v>6</v>
      </c>
      <c r="G71" s="184" t="s">
        <v>35</v>
      </c>
    </row>
    <row r="72" spans="1:7" x14ac:dyDescent="0.3">
      <c r="A72" s="184" t="s">
        <v>35</v>
      </c>
      <c r="B72" s="184"/>
      <c r="C72" s="247" t="s">
        <v>7</v>
      </c>
      <c r="D72" s="184" t="s">
        <v>90</v>
      </c>
      <c r="E72" t="str">
        <f t="shared" si="5"/>
        <v>G</v>
      </c>
      <c r="F72">
        <f t="shared" si="6"/>
        <v>9</v>
      </c>
      <c r="G72" s="184" t="s">
        <v>36</v>
      </c>
    </row>
    <row r="73" spans="1:7" x14ac:dyDescent="0.3">
      <c r="A73" s="184" t="s">
        <v>36</v>
      </c>
      <c r="B73" s="184"/>
      <c r="C73" s="247" t="s">
        <v>7</v>
      </c>
      <c r="D73" s="184" t="s">
        <v>92</v>
      </c>
      <c r="E73" t="str">
        <f t="shared" si="5"/>
        <v>G</v>
      </c>
      <c r="F73">
        <f t="shared" si="6"/>
        <v>10</v>
      </c>
      <c r="G73" s="184" t="s">
        <v>42</v>
      </c>
    </row>
    <row r="74" spans="1:7" x14ac:dyDescent="0.3">
      <c r="A74" s="184" t="s">
        <v>42</v>
      </c>
      <c r="B74" s="184"/>
      <c r="C74" s="247" t="s">
        <v>7</v>
      </c>
      <c r="D74" s="184" t="s">
        <v>80</v>
      </c>
      <c r="E74" t="str">
        <f t="shared" si="5"/>
        <v>G</v>
      </c>
      <c r="F74">
        <f t="shared" si="6"/>
        <v>11</v>
      </c>
      <c r="G74" s="184" t="s">
        <v>43</v>
      </c>
    </row>
    <row r="75" spans="1:7" x14ac:dyDescent="0.3">
      <c r="A75" s="184" t="s">
        <v>43</v>
      </c>
      <c r="B75" s="184"/>
      <c r="C75" s="247" t="s">
        <v>7</v>
      </c>
      <c r="D75" s="184" t="s">
        <v>65</v>
      </c>
      <c r="E75" t="str">
        <f t="shared" si="5"/>
        <v>G</v>
      </c>
      <c r="F75">
        <f t="shared" si="6"/>
        <v>13</v>
      </c>
      <c r="G75" s="184" t="s">
        <v>31</v>
      </c>
    </row>
    <row r="76" spans="1:7" x14ac:dyDescent="0.3">
      <c r="A76" s="184" t="s">
        <v>31</v>
      </c>
      <c r="B76" s="184"/>
      <c r="C76" s="247" t="s">
        <v>7</v>
      </c>
      <c r="D76" s="184" t="s">
        <v>88</v>
      </c>
      <c r="E76" t="str">
        <f t="shared" si="5"/>
        <v>G</v>
      </c>
      <c r="F76">
        <f t="shared" si="6"/>
        <v>14</v>
      </c>
      <c r="G76" s="184" t="s">
        <v>32</v>
      </c>
    </row>
    <row r="77" spans="1:7" x14ac:dyDescent="0.3">
      <c r="A77" s="184" t="s">
        <v>32</v>
      </c>
      <c r="B77" s="184"/>
      <c r="C77" s="247" t="s">
        <v>7</v>
      </c>
      <c r="D77" s="184" t="s">
        <v>89</v>
      </c>
      <c r="E77" t="str">
        <f t="shared" si="5"/>
        <v>G</v>
      </c>
      <c r="F77">
        <f t="shared" si="6"/>
        <v>15</v>
      </c>
      <c r="G77" s="20" t="s">
        <v>508</v>
      </c>
    </row>
    <row r="78" spans="1:7" x14ac:dyDescent="0.3">
      <c r="A78" s="184" t="s">
        <v>52</v>
      </c>
      <c r="B78" s="184"/>
      <c r="C78" s="247" t="s">
        <v>7</v>
      </c>
      <c r="D78" s="184" t="s">
        <v>130</v>
      </c>
      <c r="E78" t="str">
        <f t="shared" si="5"/>
        <v>H</v>
      </c>
      <c r="F78">
        <f t="shared" si="6"/>
        <v>9</v>
      </c>
      <c r="G78" s="184" t="s">
        <v>52</v>
      </c>
    </row>
    <row r="79" spans="1:7" x14ac:dyDescent="0.3">
      <c r="A79" s="184" t="s">
        <v>54</v>
      </c>
      <c r="B79" s="184"/>
      <c r="C79" s="247" t="s">
        <v>7</v>
      </c>
      <c r="D79" s="184" t="s">
        <v>63</v>
      </c>
      <c r="E79" t="str">
        <f t="shared" si="5"/>
        <v>H</v>
      </c>
      <c r="F79">
        <f t="shared" si="6"/>
        <v>10</v>
      </c>
      <c r="G79" s="184" t="s">
        <v>54</v>
      </c>
    </row>
    <row r="80" spans="1:7" x14ac:dyDescent="0.3">
      <c r="A80" s="184" t="s">
        <v>55</v>
      </c>
      <c r="B80" s="184"/>
      <c r="C80" s="247" t="s">
        <v>7</v>
      </c>
      <c r="D80" s="184" t="s">
        <v>64</v>
      </c>
      <c r="E80" t="str">
        <f t="shared" si="5"/>
        <v>H</v>
      </c>
      <c r="F80">
        <f t="shared" si="6"/>
        <v>11</v>
      </c>
      <c r="G80" s="184" t="s">
        <v>55</v>
      </c>
    </row>
    <row r="81" spans="1:7" x14ac:dyDescent="0.3">
      <c r="A81" s="184" t="s">
        <v>56</v>
      </c>
      <c r="B81" s="184"/>
      <c r="C81" s="247" t="s">
        <v>7</v>
      </c>
      <c r="D81" s="184" t="s">
        <v>66</v>
      </c>
      <c r="E81" t="str">
        <f t="shared" si="5"/>
        <v>H</v>
      </c>
      <c r="F81">
        <f t="shared" si="6"/>
        <v>13</v>
      </c>
      <c r="G81" s="184" t="s">
        <v>56</v>
      </c>
    </row>
    <row r="82" spans="1:7" x14ac:dyDescent="0.3">
      <c r="A82" s="184" t="s">
        <v>57</v>
      </c>
      <c r="B82" s="184"/>
      <c r="C82" s="247" t="s">
        <v>338</v>
      </c>
      <c r="D82" s="184" t="s">
        <v>83</v>
      </c>
      <c r="E82" t="str">
        <f t="shared" si="5"/>
        <v>C</v>
      </c>
      <c r="F82">
        <f t="shared" si="6"/>
        <v>12</v>
      </c>
      <c r="G82" s="184" t="s">
        <v>57</v>
      </c>
    </row>
    <row r="83" spans="1:7" x14ac:dyDescent="0.3">
      <c r="A83" s="184" t="s">
        <v>58</v>
      </c>
      <c r="B83" s="184"/>
      <c r="C83" s="247" t="s">
        <v>338</v>
      </c>
      <c r="D83" s="184" t="s">
        <v>84</v>
      </c>
      <c r="E83" t="str">
        <f t="shared" si="5"/>
        <v>C</v>
      </c>
      <c r="F83">
        <f t="shared" si="6"/>
        <v>13</v>
      </c>
      <c r="G83" s="184" t="s">
        <v>58</v>
      </c>
    </row>
    <row r="84" spans="1:7" x14ac:dyDescent="0.3">
      <c r="A84" s="184" t="s">
        <v>90</v>
      </c>
      <c r="B84" s="184"/>
      <c r="C84" s="247" t="s">
        <v>500</v>
      </c>
      <c r="D84" s="184" t="s">
        <v>363</v>
      </c>
      <c r="E84" t="str">
        <f t="shared" si="5"/>
        <v>B</v>
      </c>
      <c r="F84">
        <f t="shared" si="6"/>
        <v>8</v>
      </c>
      <c r="G84" s="184" t="s">
        <v>90</v>
      </c>
    </row>
    <row r="85" spans="1:7" x14ac:dyDescent="0.3">
      <c r="A85" s="184" t="s">
        <v>92</v>
      </c>
      <c r="B85" s="184"/>
      <c r="C85" s="247" t="s">
        <v>500</v>
      </c>
      <c r="D85" s="184" t="s">
        <v>364</v>
      </c>
      <c r="E85" t="str">
        <f t="shared" si="5"/>
        <v>D</v>
      </c>
      <c r="F85">
        <f t="shared" si="6"/>
        <v>7</v>
      </c>
      <c r="G85" s="184" t="s">
        <v>92</v>
      </c>
    </row>
    <row r="86" spans="1:7" x14ac:dyDescent="0.3">
      <c r="A86" s="184" t="s">
        <v>80</v>
      </c>
      <c r="B86" s="184"/>
      <c r="C86" s="247" t="s">
        <v>500</v>
      </c>
      <c r="D86" s="184" t="s">
        <v>101</v>
      </c>
      <c r="E86" t="str">
        <f t="shared" si="5"/>
        <v>H</v>
      </c>
      <c r="F86">
        <f t="shared" si="6"/>
        <v>14</v>
      </c>
      <c r="G86" s="184" t="s">
        <v>80</v>
      </c>
    </row>
    <row r="87" spans="1:7" x14ac:dyDescent="0.3">
      <c r="A87" s="184" t="s">
        <v>65</v>
      </c>
      <c r="B87" s="184"/>
      <c r="C87" s="247" t="s">
        <v>500</v>
      </c>
      <c r="D87" s="184" t="s">
        <v>369</v>
      </c>
      <c r="E87" t="str">
        <f t="shared" si="5"/>
        <v>H</v>
      </c>
      <c r="F87">
        <f t="shared" si="6"/>
        <v>15</v>
      </c>
      <c r="G87" s="184" t="s">
        <v>65</v>
      </c>
    </row>
    <row r="88" spans="1:7" x14ac:dyDescent="0.3">
      <c r="A88" s="184" t="s">
        <v>88</v>
      </c>
      <c r="B88" s="184"/>
      <c r="C88" s="247" t="s">
        <v>500</v>
      </c>
      <c r="D88" s="184" t="s">
        <v>102</v>
      </c>
      <c r="E88" t="str">
        <f t="shared" si="5"/>
        <v>I</v>
      </c>
      <c r="F88">
        <f t="shared" si="6"/>
        <v>12</v>
      </c>
      <c r="G88" s="184" t="s">
        <v>88</v>
      </c>
    </row>
    <row r="89" spans="1:7" x14ac:dyDescent="0.3">
      <c r="A89" s="184" t="s">
        <v>89</v>
      </c>
      <c r="B89" s="184"/>
      <c r="C89" s="247" t="s">
        <v>500</v>
      </c>
      <c r="D89" s="184" t="s">
        <v>103</v>
      </c>
      <c r="E89" t="str">
        <f t="shared" si="5"/>
        <v>I</v>
      </c>
      <c r="F89">
        <f t="shared" si="6"/>
        <v>13</v>
      </c>
      <c r="G89" s="184" t="s">
        <v>89</v>
      </c>
    </row>
    <row r="90" spans="1:7" x14ac:dyDescent="0.3">
      <c r="A90" s="184" t="s">
        <v>130</v>
      </c>
      <c r="B90" s="184"/>
      <c r="C90" s="247" t="s">
        <v>500</v>
      </c>
      <c r="D90" s="184" t="s">
        <v>104</v>
      </c>
      <c r="E90" t="str">
        <f t="shared" si="5"/>
        <v>I</v>
      </c>
      <c r="F90">
        <f t="shared" si="6"/>
        <v>14</v>
      </c>
      <c r="G90" s="20" t="s">
        <v>509</v>
      </c>
    </row>
    <row r="91" spans="1:7" x14ac:dyDescent="0.3">
      <c r="A91" s="184" t="s">
        <v>63</v>
      </c>
      <c r="B91" s="184"/>
      <c r="C91" s="247" t="s">
        <v>500</v>
      </c>
      <c r="D91" s="184" t="s">
        <v>368</v>
      </c>
      <c r="E91" t="str">
        <f t="shared" si="5"/>
        <v>I</v>
      </c>
      <c r="F91">
        <f t="shared" si="6"/>
        <v>15</v>
      </c>
      <c r="G91" s="184" t="s">
        <v>130</v>
      </c>
    </row>
    <row r="92" spans="1:7" x14ac:dyDescent="0.3">
      <c r="A92" s="184" t="s">
        <v>64</v>
      </c>
      <c r="B92" s="184"/>
      <c r="G92" s="184" t="s">
        <v>63</v>
      </c>
    </row>
    <row r="93" spans="1:7" x14ac:dyDescent="0.3">
      <c r="A93" s="184" t="s">
        <v>66</v>
      </c>
      <c r="B93" s="184"/>
      <c r="G93" s="184" t="s">
        <v>64</v>
      </c>
    </row>
    <row r="94" spans="1:7" x14ac:dyDescent="0.3">
      <c r="A94" s="20" t="s">
        <v>414</v>
      </c>
      <c r="B94" s="20"/>
      <c r="G94" s="184" t="s">
        <v>66</v>
      </c>
    </row>
    <row r="95" spans="1:7" x14ac:dyDescent="0.3">
      <c r="A95" s="184" t="s">
        <v>417</v>
      </c>
      <c r="B95" s="184"/>
      <c r="G95" s="184" t="s">
        <v>101</v>
      </c>
    </row>
    <row r="96" spans="1:7" x14ac:dyDescent="0.3">
      <c r="A96" s="20" t="s">
        <v>126</v>
      </c>
      <c r="B96" s="20"/>
      <c r="G96" s="184" t="s">
        <v>369</v>
      </c>
    </row>
    <row r="97" spans="7:7" x14ac:dyDescent="0.3">
      <c r="G97" s="20" t="s">
        <v>510</v>
      </c>
    </row>
    <row r="98" spans="7:7" x14ac:dyDescent="0.3">
      <c r="G98" s="184" t="s">
        <v>102</v>
      </c>
    </row>
    <row r="99" spans="7:7" x14ac:dyDescent="0.3">
      <c r="G99" s="184" t="s">
        <v>103</v>
      </c>
    </row>
    <row r="100" spans="7:7" x14ac:dyDescent="0.3">
      <c r="G100" s="184" t="s">
        <v>104</v>
      </c>
    </row>
    <row r="101" spans="7:7" x14ac:dyDescent="0.3">
      <c r="G101" s="184" t="s">
        <v>368</v>
      </c>
    </row>
    <row r="102" spans="7:7" x14ac:dyDescent="0.3">
      <c r="G102" s="20" t="s">
        <v>126</v>
      </c>
    </row>
  </sheetData>
  <conditionalFormatting sqref="J6:X6 D5:D91 J10:X12 J8:K8 N8:X8 J9:Q9 S9:X9 J7:P7 R7:X7 N14:X14 L13:X13">
    <cfRule type="duplicateValues" dxfId="3" priority="1"/>
  </conditionalFormatting>
  <pageMargins left="0.7" right="0.7" top="0.75" bottom="0.75" header="0.3" footer="0.3"/>
  <pageSetup paperSize="9" orientation="portrait" r:id="rId3"/>
  <drawing r:id="rId4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49"/>
  <dimension ref="A1:F92"/>
  <sheetViews>
    <sheetView showGridLines="0" zoomScale="70" zoomScaleNormal="70" workbookViewId="0">
      <selection activeCell="H11" sqref="H11"/>
    </sheetView>
  </sheetViews>
  <sheetFormatPr baseColWidth="10" defaultRowHeight="14.4" x14ac:dyDescent="0.3"/>
  <cols>
    <col min="1" max="1" width="26" bestFit="1" customWidth="1"/>
    <col min="2" max="2" width="16.44140625" bestFit="1" customWidth="1"/>
    <col min="3" max="3" width="10.77734375" bestFit="1" customWidth="1"/>
    <col min="4" max="4" width="21.44140625" bestFit="1" customWidth="1"/>
    <col min="5" max="5" width="14.44140625" bestFit="1" customWidth="1"/>
    <col min="6" max="6" width="20.77734375" bestFit="1" customWidth="1"/>
  </cols>
  <sheetData>
    <row r="1" spans="1:6" x14ac:dyDescent="0.3">
      <c r="A1" s="19" t="s">
        <v>145</v>
      </c>
      <c r="B1" s="20">
        <v>2024</v>
      </c>
    </row>
    <row r="3" spans="1:6" x14ac:dyDescent="0.3">
      <c r="A3" s="19" t="s">
        <v>1</v>
      </c>
      <c r="B3" s="19" t="s">
        <v>522</v>
      </c>
      <c r="C3" s="19" t="s">
        <v>115</v>
      </c>
      <c r="D3" s="19" t="s">
        <v>5</v>
      </c>
      <c r="E3" t="s">
        <v>367</v>
      </c>
      <c r="F3" t="s">
        <v>523</v>
      </c>
    </row>
    <row r="4" spans="1:6" x14ac:dyDescent="0.3">
      <c r="A4" t="s">
        <v>338</v>
      </c>
      <c r="B4" t="s">
        <v>527</v>
      </c>
      <c r="C4" t="s">
        <v>83</v>
      </c>
      <c r="D4" t="s">
        <v>136</v>
      </c>
      <c r="E4">
        <v>13.27</v>
      </c>
      <c r="F4">
        <v>0</v>
      </c>
    </row>
    <row r="5" spans="1:6" x14ac:dyDescent="0.3">
      <c r="A5" t="s">
        <v>338</v>
      </c>
      <c r="B5" t="s">
        <v>527</v>
      </c>
      <c r="C5" t="s">
        <v>84</v>
      </c>
      <c r="D5" t="s">
        <v>136</v>
      </c>
      <c r="E5">
        <v>15.47</v>
      </c>
      <c r="F5">
        <v>0</v>
      </c>
    </row>
    <row r="6" spans="1:6" x14ac:dyDescent="0.3">
      <c r="A6" t="s">
        <v>514</v>
      </c>
      <c r="B6" t="s">
        <v>242</v>
      </c>
      <c r="C6" t="s">
        <v>26</v>
      </c>
      <c r="D6" t="s">
        <v>28</v>
      </c>
      <c r="E6">
        <v>5.92</v>
      </c>
      <c r="F6">
        <v>0</v>
      </c>
    </row>
    <row r="7" spans="1:6" x14ac:dyDescent="0.3">
      <c r="A7" t="s">
        <v>514</v>
      </c>
      <c r="B7" t="s">
        <v>242</v>
      </c>
      <c r="C7" t="s">
        <v>29</v>
      </c>
      <c r="D7" t="s">
        <v>28</v>
      </c>
      <c r="E7">
        <v>8.7899999999999991</v>
      </c>
      <c r="F7">
        <v>0</v>
      </c>
    </row>
    <row r="8" spans="1:6" x14ac:dyDescent="0.3">
      <c r="A8" t="s">
        <v>514</v>
      </c>
      <c r="B8" t="s">
        <v>525</v>
      </c>
      <c r="C8" t="s">
        <v>363</v>
      </c>
      <c r="D8" t="s">
        <v>524</v>
      </c>
      <c r="E8">
        <v>3.8</v>
      </c>
      <c r="F8">
        <v>0</v>
      </c>
    </row>
    <row r="9" spans="1:6" x14ac:dyDescent="0.3">
      <c r="A9" t="s">
        <v>514</v>
      </c>
      <c r="B9" t="s">
        <v>525</v>
      </c>
      <c r="C9" t="s">
        <v>364</v>
      </c>
      <c r="D9" t="s">
        <v>524</v>
      </c>
      <c r="E9">
        <v>13</v>
      </c>
      <c r="F9">
        <v>0</v>
      </c>
    </row>
    <row r="10" spans="1:6" x14ac:dyDescent="0.3">
      <c r="A10" t="s">
        <v>514</v>
      </c>
      <c r="B10" t="s">
        <v>525</v>
      </c>
      <c r="C10" t="s">
        <v>101</v>
      </c>
      <c r="D10" t="s">
        <v>524</v>
      </c>
      <c r="E10">
        <v>12.9</v>
      </c>
      <c r="F10">
        <v>0</v>
      </c>
    </row>
    <row r="11" spans="1:6" x14ac:dyDescent="0.3">
      <c r="A11" t="s">
        <v>514</v>
      </c>
      <c r="B11" t="s">
        <v>525</v>
      </c>
      <c r="C11" t="s">
        <v>369</v>
      </c>
      <c r="D11" t="s">
        <v>524</v>
      </c>
      <c r="E11">
        <v>12.9</v>
      </c>
      <c r="F11">
        <v>0</v>
      </c>
    </row>
    <row r="12" spans="1:6" x14ac:dyDescent="0.3">
      <c r="A12" t="s">
        <v>514</v>
      </c>
      <c r="B12" t="s">
        <v>525</v>
      </c>
      <c r="C12" t="s">
        <v>102</v>
      </c>
      <c r="D12" t="s">
        <v>524</v>
      </c>
      <c r="E12">
        <v>9.81</v>
      </c>
      <c r="F12">
        <v>0</v>
      </c>
    </row>
    <row r="13" spans="1:6" x14ac:dyDescent="0.3">
      <c r="A13" t="s">
        <v>514</v>
      </c>
      <c r="B13" t="s">
        <v>525</v>
      </c>
      <c r="C13" t="s">
        <v>103</v>
      </c>
      <c r="D13" t="s">
        <v>524</v>
      </c>
      <c r="E13">
        <v>9.81</v>
      </c>
      <c r="F13">
        <v>0</v>
      </c>
    </row>
    <row r="14" spans="1:6" x14ac:dyDescent="0.3">
      <c r="A14" t="s">
        <v>514</v>
      </c>
      <c r="B14" t="s">
        <v>525</v>
      </c>
      <c r="C14" t="s">
        <v>104</v>
      </c>
      <c r="D14" t="s">
        <v>524</v>
      </c>
      <c r="E14">
        <v>7.36</v>
      </c>
      <c r="F14">
        <v>0</v>
      </c>
    </row>
    <row r="15" spans="1:6" x14ac:dyDescent="0.3">
      <c r="A15" t="s">
        <v>514</v>
      </c>
      <c r="B15" t="s">
        <v>525</v>
      </c>
      <c r="C15" t="s">
        <v>368</v>
      </c>
      <c r="D15" t="s">
        <v>524</v>
      </c>
      <c r="E15">
        <v>7.36</v>
      </c>
      <c r="F15">
        <v>0</v>
      </c>
    </row>
    <row r="16" spans="1:6" x14ac:dyDescent="0.3">
      <c r="A16" t="s">
        <v>7</v>
      </c>
      <c r="B16" t="s">
        <v>245</v>
      </c>
      <c r="C16" t="s">
        <v>99</v>
      </c>
      <c r="D16" t="s">
        <v>136</v>
      </c>
      <c r="E16">
        <v>19.46</v>
      </c>
      <c r="F16">
        <v>15.83</v>
      </c>
    </row>
    <row r="17" spans="1:6" x14ac:dyDescent="0.3">
      <c r="A17" t="s">
        <v>7</v>
      </c>
      <c r="B17" t="s">
        <v>245</v>
      </c>
      <c r="C17" t="s">
        <v>100</v>
      </c>
      <c r="D17" t="s">
        <v>136</v>
      </c>
      <c r="E17">
        <v>6.72</v>
      </c>
      <c r="F17">
        <v>5.94</v>
      </c>
    </row>
    <row r="18" spans="1:6" x14ac:dyDescent="0.3">
      <c r="A18" t="s">
        <v>7</v>
      </c>
      <c r="B18" t="s">
        <v>245</v>
      </c>
      <c r="C18" t="s">
        <v>93</v>
      </c>
      <c r="D18" t="s">
        <v>49</v>
      </c>
      <c r="E18">
        <v>14.9</v>
      </c>
      <c r="F18">
        <v>14.52</v>
      </c>
    </row>
    <row r="19" spans="1:6" x14ac:dyDescent="0.3">
      <c r="A19" t="s">
        <v>7</v>
      </c>
      <c r="B19" t="s">
        <v>245</v>
      </c>
      <c r="C19" t="s">
        <v>94</v>
      </c>
      <c r="D19" t="s">
        <v>49</v>
      </c>
      <c r="E19">
        <v>14.9</v>
      </c>
      <c r="F19">
        <v>14.17</v>
      </c>
    </row>
    <row r="20" spans="1:6" x14ac:dyDescent="0.3">
      <c r="A20" t="s">
        <v>7</v>
      </c>
      <c r="B20" t="s">
        <v>245</v>
      </c>
      <c r="C20" t="s">
        <v>95</v>
      </c>
      <c r="D20" t="s">
        <v>49</v>
      </c>
      <c r="E20">
        <v>14.9</v>
      </c>
      <c r="F20">
        <v>14.35</v>
      </c>
    </row>
    <row r="21" spans="1:6" x14ac:dyDescent="0.3">
      <c r="A21" t="s">
        <v>7</v>
      </c>
      <c r="B21" t="s">
        <v>245</v>
      </c>
      <c r="C21" t="s">
        <v>48</v>
      </c>
      <c r="D21" t="s">
        <v>28</v>
      </c>
      <c r="E21">
        <v>18.32</v>
      </c>
      <c r="F21">
        <v>15.69</v>
      </c>
    </row>
    <row r="22" spans="1:6" x14ac:dyDescent="0.3">
      <c r="A22" t="s">
        <v>7</v>
      </c>
      <c r="B22" t="s">
        <v>245</v>
      </c>
      <c r="C22" t="s">
        <v>50</v>
      </c>
      <c r="D22" t="s">
        <v>28</v>
      </c>
      <c r="E22">
        <v>16.53</v>
      </c>
      <c r="F22">
        <v>15.65</v>
      </c>
    </row>
    <row r="23" spans="1:6" x14ac:dyDescent="0.3">
      <c r="A23" t="s">
        <v>7</v>
      </c>
      <c r="B23" t="s">
        <v>245</v>
      </c>
      <c r="C23" t="s">
        <v>96</v>
      </c>
      <c r="D23" t="s">
        <v>28</v>
      </c>
      <c r="E23">
        <v>12.07</v>
      </c>
      <c r="F23">
        <v>11.29</v>
      </c>
    </row>
    <row r="24" spans="1:6" x14ac:dyDescent="0.3">
      <c r="A24" t="s">
        <v>7</v>
      </c>
      <c r="B24" t="s">
        <v>245</v>
      </c>
      <c r="C24" t="s">
        <v>97</v>
      </c>
      <c r="D24" t="s">
        <v>28</v>
      </c>
      <c r="E24">
        <v>16.93</v>
      </c>
      <c r="F24">
        <v>16.43</v>
      </c>
    </row>
    <row r="25" spans="1:6" x14ac:dyDescent="0.3">
      <c r="A25" t="s">
        <v>7</v>
      </c>
      <c r="B25" t="s">
        <v>245</v>
      </c>
      <c r="C25" t="s">
        <v>98</v>
      </c>
      <c r="D25" t="s">
        <v>28</v>
      </c>
      <c r="E25">
        <v>7.51</v>
      </c>
      <c r="F25">
        <v>7.38</v>
      </c>
    </row>
    <row r="26" spans="1:6" x14ac:dyDescent="0.3">
      <c r="A26" t="s">
        <v>7</v>
      </c>
      <c r="B26" t="s">
        <v>245</v>
      </c>
      <c r="C26" t="s">
        <v>90</v>
      </c>
      <c r="D26" t="s">
        <v>53</v>
      </c>
      <c r="E26">
        <v>11.75</v>
      </c>
      <c r="F26">
        <v>11.66</v>
      </c>
    </row>
    <row r="27" spans="1:6" x14ac:dyDescent="0.3">
      <c r="A27" t="s">
        <v>7</v>
      </c>
      <c r="B27" t="s">
        <v>245</v>
      </c>
      <c r="C27" t="s">
        <v>92</v>
      </c>
      <c r="D27" t="s">
        <v>53</v>
      </c>
      <c r="E27">
        <v>14.89</v>
      </c>
      <c r="F27">
        <v>14.75</v>
      </c>
    </row>
    <row r="28" spans="1:6" x14ac:dyDescent="0.3">
      <c r="A28" t="s">
        <v>7</v>
      </c>
      <c r="B28" t="s">
        <v>245</v>
      </c>
      <c r="C28" t="s">
        <v>80</v>
      </c>
      <c r="D28" t="s">
        <v>53</v>
      </c>
      <c r="E28">
        <v>10.7</v>
      </c>
      <c r="F28">
        <v>9.83</v>
      </c>
    </row>
    <row r="29" spans="1:6" x14ac:dyDescent="0.3">
      <c r="A29" t="s">
        <v>7</v>
      </c>
      <c r="B29" t="s">
        <v>245</v>
      </c>
      <c r="C29" t="s">
        <v>88</v>
      </c>
      <c r="D29" t="s">
        <v>34</v>
      </c>
      <c r="E29">
        <v>15.43</v>
      </c>
      <c r="F29">
        <v>14.63</v>
      </c>
    </row>
    <row r="30" spans="1:6" x14ac:dyDescent="0.3">
      <c r="A30" t="s">
        <v>7</v>
      </c>
      <c r="B30" t="s">
        <v>245</v>
      </c>
      <c r="C30" t="s">
        <v>89</v>
      </c>
      <c r="D30" t="s">
        <v>34</v>
      </c>
      <c r="E30">
        <v>11.39</v>
      </c>
      <c r="F30">
        <v>10.73</v>
      </c>
    </row>
    <row r="31" spans="1:6" x14ac:dyDescent="0.3">
      <c r="A31" t="s">
        <v>7</v>
      </c>
      <c r="B31" t="s">
        <v>248</v>
      </c>
      <c r="C31" t="s">
        <v>51</v>
      </c>
      <c r="D31" t="s">
        <v>49</v>
      </c>
      <c r="E31">
        <v>7.05</v>
      </c>
      <c r="F31">
        <v>6.21</v>
      </c>
    </row>
    <row r="32" spans="1:6" x14ac:dyDescent="0.3">
      <c r="A32" t="s">
        <v>7</v>
      </c>
      <c r="B32" t="s">
        <v>248</v>
      </c>
      <c r="C32" t="s">
        <v>52</v>
      </c>
      <c r="D32" t="s">
        <v>53</v>
      </c>
      <c r="E32">
        <v>2.29</v>
      </c>
      <c r="F32">
        <v>2.2400000000000002</v>
      </c>
    </row>
    <row r="33" spans="1:6" x14ac:dyDescent="0.3">
      <c r="A33" t="s">
        <v>7</v>
      </c>
      <c r="B33" t="s">
        <v>248</v>
      </c>
      <c r="C33" t="s">
        <v>54</v>
      </c>
      <c r="D33" t="s">
        <v>53</v>
      </c>
      <c r="E33">
        <v>13.61</v>
      </c>
      <c r="F33">
        <v>13.27</v>
      </c>
    </row>
    <row r="34" spans="1:6" x14ac:dyDescent="0.3">
      <c r="A34" t="s">
        <v>7</v>
      </c>
      <c r="B34" t="s">
        <v>248</v>
      </c>
      <c r="C34" t="s">
        <v>55</v>
      </c>
      <c r="D34" t="s">
        <v>53</v>
      </c>
      <c r="E34">
        <v>9.73</v>
      </c>
      <c r="F34">
        <v>8.2200000000000006</v>
      </c>
    </row>
    <row r="35" spans="1:6" x14ac:dyDescent="0.3">
      <c r="A35" t="s">
        <v>7</v>
      </c>
      <c r="B35" t="s">
        <v>248</v>
      </c>
      <c r="C35" t="s">
        <v>56</v>
      </c>
      <c r="D35" t="s">
        <v>53</v>
      </c>
      <c r="E35">
        <v>13.81</v>
      </c>
      <c r="F35">
        <v>12.94</v>
      </c>
    </row>
    <row r="36" spans="1:6" x14ac:dyDescent="0.3">
      <c r="A36" t="s">
        <v>7</v>
      </c>
      <c r="B36" t="s">
        <v>248</v>
      </c>
      <c r="C36" t="s">
        <v>57</v>
      </c>
      <c r="D36" t="s">
        <v>53</v>
      </c>
      <c r="E36">
        <v>14.15</v>
      </c>
      <c r="F36">
        <v>14.01</v>
      </c>
    </row>
    <row r="37" spans="1:6" x14ac:dyDescent="0.3">
      <c r="A37" t="s">
        <v>7</v>
      </c>
      <c r="B37" t="s">
        <v>248</v>
      </c>
      <c r="C37" t="s">
        <v>58</v>
      </c>
      <c r="D37" t="s">
        <v>53</v>
      </c>
      <c r="E37">
        <v>6.85</v>
      </c>
      <c r="F37">
        <v>5.84</v>
      </c>
    </row>
    <row r="38" spans="1:6" x14ac:dyDescent="0.3">
      <c r="A38" t="s">
        <v>7</v>
      </c>
      <c r="B38" t="s">
        <v>246</v>
      </c>
      <c r="C38" t="s">
        <v>59</v>
      </c>
      <c r="D38" t="s">
        <v>372</v>
      </c>
      <c r="E38">
        <v>7.21</v>
      </c>
      <c r="F38">
        <v>6.89</v>
      </c>
    </row>
    <row r="39" spans="1:6" x14ac:dyDescent="0.3">
      <c r="A39" t="s">
        <v>7</v>
      </c>
      <c r="B39" t="s">
        <v>246</v>
      </c>
      <c r="C39" t="s">
        <v>60</v>
      </c>
      <c r="D39" t="s">
        <v>372</v>
      </c>
      <c r="E39">
        <v>3.77</v>
      </c>
      <c r="F39">
        <v>3.62</v>
      </c>
    </row>
    <row r="40" spans="1:6" x14ac:dyDescent="0.3">
      <c r="A40" t="s">
        <v>7</v>
      </c>
      <c r="B40" t="s">
        <v>246</v>
      </c>
      <c r="C40" t="s">
        <v>65</v>
      </c>
      <c r="D40" t="s">
        <v>34</v>
      </c>
      <c r="E40">
        <v>12.27</v>
      </c>
      <c r="F40">
        <v>10.79</v>
      </c>
    </row>
    <row r="41" spans="1:6" x14ac:dyDescent="0.3">
      <c r="A41" t="s">
        <v>7</v>
      </c>
      <c r="B41" t="s">
        <v>246</v>
      </c>
      <c r="C41" t="s">
        <v>130</v>
      </c>
      <c r="D41" t="s">
        <v>53</v>
      </c>
      <c r="E41">
        <v>10.65</v>
      </c>
      <c r="F41">
        <v>10.55</v>
      </c>
    </row>
    <row r="42" spans="1:6" x14ac:dyDescent="0.3">
      <c r="A42" t="s">
        <v>7</v>
      </c>
      <c r="B42" t="s">
        <v>246</v>
      </c>
      <c r="C42" t="s">
        <v>63</v>
      </c>
      <c r="D42" t="s">
        <v>53</v>
      </c>
      <c r="E42">
        <v>14.45</v>
      </c>
      <c r="F42">
        <v>14.28</v>
      </c>
    </row>
    <row r="43" spans="1:6" x14ac:dyDescent="0.3">
      <c r="A43" t="s">
        <v>7</v>
      </c>
      <c r="B43" t="s">
        <v>246</v>
      </c>
      <c r="C43" t="s">
        <v>64</v>
      </c>
      <c r="D43" t="s">
        <v>53</v>
      </c>
      <c r="E43">
        <v>13.64</v>
      </c>
      <c r="F43">
        <v>13.61</v>
      </c>
    </row>
    <row r="44" spans="1:6" x14ac:dyDescent="0.3">
      <c r="A44" t="s">
        <v>7</v>
      </c>
      <c r="B44" t="s">
        <v>246</v>
      </c>
      <c r="C44" t="s">
        <v>66</v>
      </c>
      <c r="D44" t="s">
        <v>34</v>
      </c>
      <c r="E44">
        <v>12.72</v>
      </c>
      <c r="F44">
        <v>11.92</v>
      </c>
    </row>
    <row r="45" spans="1:6" x14ac:dyDescent="0.3">
      <c r="A45" t="s">
        <v>7</v>
      </c>
      <c r="B45" t="s">
        <v>243</v>
      </c>
      <c r="C45" t="s">
        <v>45</v>
      </c>
      <c r="D45" t="s">
        <v>136</v>
      </c>
      <c r="E45">
        <v>8.36</v>
      </c>
      <c r="F45">
        <v>7.91</v>
      </c>
    </row>
    <row r="46" spans="1:6" x14ac:dyDescent="0.3">
      <c r="A46" t="s">
        <v>7</v>
      </c>
      <c r="B46" t="s">
        <v>243</v>
      </c>
      <c r="C46" t="s">
        <v>47</v>
      </c>
      <c r="D46" t="s">
        <v>136</v>
      </c>
      <c r="E46">
        <v>8.99</v>
      </c>
      <c r="F46">
        <v>6.91</v>
      </c>
    </row>
    <row r="47" spans="1:6" x14ac:dyDescent="0.3">
      <c r="A47" t="s">
        <v>7</v>
      </c>
      <c r="B47" t="s">
        <v>244</v>
      </c>
      <c r="C47" t="s">
        <v>71</v>
      </c>
      <c r="D47" t="s">
        <v>49</v>
      </c>
      <c r="E47">
        <v>15</v>
      </c>
      <c r="F47">
        <v>10.68</v>
      </c>
    </row>
    <row r="48" spans="1:6" x14ac:dyDescent="0.3">
      <c r="A48" t="s">
        <v>7</v>
      </c>
      <c r="B48" t="s">
        <v>244</v>
      </c>
      <c r="C48" t="s">
        <v>72</v>
      </c>
      <c r="D48" t="s">
        <v>49</v>
      </c>
      <c r="E48">
        <v>14.99</v>
      </c>
      <c r="F48">
        <v>12.47</v>
      </c>
    </row>
    <row r="49" spans="1:6" x14ac:dyDescent="0.3">
      <c r="A49" t="s">
        <v>7</v>
      </c>
      <c r="B49" t="s">
        <v>244</v>
      </c>
      <c r="C49" t="s">
        <v>73</v>
      </c>
      <c r="D49" t="s">
        <v>49</v>
      </c>
      <c r="E49">
        <v>15</v>
      </c>
      <c r="F49">
        <v>14.01</v>
      </c>
    </row>
    <row r="50" spans="1:6" x14ac:dyDescent="0.3">
      <c r="A50" t="s">
        <v>7</v>
      </c>
      <c r="B50" t="s">
        <v>244</v>
      </c>
      <c r="C50" t="s">
        <v>20</v>
      </c>
      <c r="D50" t="s">
        <v>153</v>
      </c>
      <c r="E50">
        <v>12.61</v>
      </c>
      <c r="F50">
        <v>11.11</v>
      </c>
    </row>
    <row r="51" spans="1:6" x14ac:dyDescent="0.3">
      <c r="A51" t="s">
        <v>7</v>
      </c>
      <c r="B51" t="s">
        <v>244</v>
      </c>
      <c r="C51" t="s">
        <v>21</v>
      </c>
      <c r="D51" t="s">
        <v>153</v>
      </c>
      <c r="E51">
        <v>10.83</v>
      </c>
      <c r="F51">
        <v>10.08</v>
      </c>
    </row>
    <row r="52" spans="1:6" x14ac:dyDescent="0.3">
      <c r="A52" t="s">
        <v>7</v>
      </c>
      <c r="B52" t="s">
        <v>244</v>
      </c>
      <c r="C52" t="s">
        <v>74</v>
      </c>
      <c r="D52" t="s">
        <v>153</v>
      </c>
      <c r="E52">
        <v>14.96</v>
      </c>
      <c r="F52">
        <v>14.78</v>
      </c>
    </row>
    <row r="53" spans="1:6" x14ac:dyDescent="0.3">
      <c r="A53" t="s">
        <v>7</v>
      </c>
      <c r="B53" t="s">
        <v>244</v>
      </c>
      <c r="C53" t="s">
        <v>75</v>
      </c>
      <c r="D53" t="s">
        <v>153</v>
      </c>
      <c r="E53">
        <v>4.3600000000000003</v>
      </c>
      <c r="F53">
        <v>4.09</v>
      </c>
    </row>
    <row r="54" spans="1:6" x14ac:dyDescent="0.3">
      <c r="A54" t="s">
        <v>7</v>
      </c>
      <c r="B54" t="s">
        <v>244</v>
      </c>
      <c r="C54" t="s">
        <v>76</v>
      </c>
      <c r="D54" t="s">
        <v>153</v>
      </c>
      <c r="E54">
        <v>7.85</v>
      </c>
      <c r="F54">
        <v>6.67</v>
      </c>
    </row>
    <row r="55" spans="1:6" x14ac:dyDescent="0.3">
      <c r="A55" t="s">
        <v>7</v>
      </c>
      <c r="B55" t="s">
        <v>244</v>
      </c>
      <c r="C55" t="s">
        <v>77</v>
      </c>
      <c r="D55" t="s">
        <v>153</v>
      </c>
      <c r="E55">
        <v>13.08</v>
      </c>
      <c r="F55">
        <v>10.98</v>
      </c>
    </row>
    <row r="56" spans="1:6" x14ac:dyDescent="0.3">
      <c r="A56" t="s">
        <v>7</v>
      </c>
      <c r="B56" t="s">
        <v>244</v>
      </c>
      <c r="C56" t="s">
        <v>67</v>
      </c>
      <c r="D56" t="s">
        <v>153</v>
      </c>
      <c r="E56">
        <v>10.24</v>
      </c>
      <c r="F56">
        <v>10.16</v>
      </c>
    </row>
    <row r="57" spans="1:6" x14ac:dyDescent="0.3">
      <c r="A57" t="s">
        <v>7</v>
      </c>
      <c r="B57" t="s">
        <v>244</v>
      </c>
      <c r="C57" t="s">
        <v>68</v>
      </c>
      <c r="D57" t="s">
        <v>153</v>
      </c>
      <c r="E57">
        <v>13.54</v>
      </c>
      <c r="F57">
        <v>13.42</v>
      </c>
    </row>
    <row r="58" spans="1:6" x14ac:dyDescent="0.3">
      <c r="A58" t="s">
        <v>7</v>
      </c>
      <c r="B58" t="s">
        <v>244</v>
      </c>
      <c r="C58" t="s">
        <v>69</v>
      </c>
      <c r="D58" t="s">
        <v>153</v>
      </c>
      <c r="E58">
        <v>14.81</v>
      </c>
      <c r="F58">
        <v>14.42</v>
      </c>
    </row>
    <row r="59" spans="1:6" x14ac:dyDescent="0.3">
      <c r="A59" t="s">
        <v>7</v>
      </c>
      <c r="B59" t="s">
        <v>244</v>
      </c>
      <c r="C59" t="s">
        <v>70</v>
      </c>
      <c r="D59" t="s">
        <v>153</v>
      </c>
      <c r="E59">
        <v>12.26</v>
      </c>
      <c r="F59">
        <v>11.99</v>
      </c>
    </row>
    <row r="60" spans="1:6" x14ac:dyDescent="0.3">
      <c r="A60" t="s">
        <v>7</v>
      </c>
      <c r="B60" t="s">
        <v>247</v>
      </c>
      <c r="C60" t="s">
        <v>81</v>
      </c>
      <c r="D60" t="s">
        <v>49</v>
      </c>
      <c r="E60">
        <v>14.77</v>
      </c>
      <c r="F60">
        <v>14.65</v>
      </c>
    </row>
    <row r="61" spans="1:6" x14ac:dyDescent="0.3">
      <c r="A61" t="s">
        <v>7</v>
      </c>
      <c r="B61" t="s">
        <v>247</v>
      </c>
      <c r="C61" t="s">
        <v>82</v>
      </c>
      <c r="D61" t="s">
        <v>49</v>
      </c>
      <c r="E61">
        <v>14.75</v>
      </c>
      <c r="F61">
        <v>12.6</v>
      </c>
    </row>
    <row r="62" spans="1:6" x14ac:dyDescent="0.3">
      <c r="A62" t="s">
        <v>7</v>
      </c>
      <c r="B62" t="s">
        <v>247</v>
      </c>
      <c r="C62" t="s">
        <v>51</v>
      </c>
      <c r="D62" t="s">
        <v>49</v>
      </c>
      <c r="E62">
        <v>6.91</v>
      </c>
      <c r="F62">
        <v>6.21</v>
      </c>
    </row>
    <row r="63" spans="1:6" x14ac:dyDescent="0.3">
      <c r="A63" t="s">
        <v>7</v>
      </c>
      <c r="B63" t="s">
        <v>247</v>
      </c>
      <c r="C63" t="s">
        <v>87</v>
      </c>
      <c r="D63" t="s">
        <v>136</v>
      </c>
      <c r="E63">
        <v>6.4</v>
      </c>
      <c r="F63">
        <v>5.9</v>
      </c>
    </row>
    <row r="64" spans="1:6" x14ac:dyDescent="0.3">
      <c r="A64" t="s">
        <v>7</v>
      </c>
      <c r="B64" t="s">
        <v>247</v>
      </c>
      <c r="C64" t="s">
        <v>85</v>
      </c>
      <c r="D64" t="s">
        <v>136</v>
      </c>
      <c r="E64">
        <v>15.17</v>
      </c>
      <c r="F64">
        <v>11.2</v>
      </c>
    </row>
    <row r="65" spans="1:6" x14ac:dyDescent="0.3">
      <c r="A65" t="s">
        <v>7</v>
      </c>
      <c r="B65" t="s">
        <v>247</v>
      </c>
      <c r="C65" t="s">
        <v>86</v>
      </c>
      <c r="D65" t="s">
        <v>136</v>
      </c>
      <c r="E65">
        <v>13.75</v>
      </c>
      <c r="F65">
        <v>13.23</v>
      </c>
    </row>
    <row r="66" spans="1:6" x14ac:dyDescent="0.3">
      <c r="A66" t="s">
        <v>7</v>
      </c>
      <c r="B66" t="s">
        <v>242</v>
      </c>
      <c r="C66" t="s">
        <v>6</v>
      </c>
      <c r="D66" t="s">
        <v>372</v>
      </c>
      <c r="E66">
        <v>15.06</v>
      </c>
      <c r="F66">
        <v>9.82</v>
      </c>
    </row>
    <row r="67" spans="1:6" x14ac:dyDescent="0.3">
      <c r="A67" t="s">
        <v>7</v>
      </c>
      <c r="B67" t="s">
        <v>242</v>
      </c>
      <c r="C67" t="s">
        <v>11</v>
      </c>
      <c r="D67" t="s">
        <v>372</v>
      </c>
      <c r="E67">
        <v>10</v>
      </c>
      <c r="F67">
        <v>7.23</v>
      </c>
    </row>
    <row r="68" spans="1:6" x14ac:dyDescent="0.3">
      <c r="A68" t="s">
        <v>7</v>
      </c>
      <c r="B68" t="s">
        <v>242</v>
      </c>
      <c r="C68" t="s">
        <v>13</v>
      </c>
      <c r="D68" t="s">
        <v>372</v>
      </c>
      <c r="E68">
        <v>14.28</v>
      </c>
      <c r="F68">
        <v>6.08</v>
      </c>
    </row>
    <row r="69" spans="1:6" x14ac:dyDescent="0.3">
      <c r="A69" t="s">
        <v>7</v>
      </c>
      <c r="B69" t="s">
        <v>242</v>
      </c>
      <c r="C69" t="s">
        <v>44</v>
      </c>
      <c r="D69" t="s">
        <v>372</v>
      </c>
      <c r="E69">
        <v>14.69</v>
      </c>
      <c r="F69">
        <v>14.21</v>
      </c>
    </row>
    <row r="70" spans="1:6" x14ac:dyDescent="0.3">
      <c r="A70" t="s">
        <v>7</v>
      </c>
      <c r="B70" t="s">
        <v>242</v>
      </c>
      <c r="C70" t="s">
        <v>14</v>
      </c>
      <c r="D70" t="s">
        <v>372</v>
      </c>
      <c r="E70">
        <v>14.76</v>
      </c>
      <c r="F70">
        <v>14.4</v>
      </c>
    </row>
    <row r="71" spans="1:6" x14ac:dyDescent="0.3">
      <c r="A71" t="s">
        <v>7</v>
      </c>
      <c r="B71" t="s">
        <v>242</v>
      </c>
      <c r="C71" t="s">
        <v>15</v>
      </c>
      <c r="D71" t="s">
        <v>372</v>
      </c>
      <c r="E71">
        <v>14.85</v>
      </c>
      <c r="F71">
        <v>11.51</v>
      </c>
    </row>
    <row r="72" spans="1:6" x14ac:dyDescent="0.3">
      <c r="A72" t="s">
        <v>7</v>
      </c>
      <c r="B72" t="s">
        <v>242</v>
      </c>
      <c r="C72" t="s">
        <v>16</v>
      </c>
      <c r="D72" t="s">
        <v>372</v>
      </c>
      <c r="E72">
        <v>14.21</v>
      </c>
      <c r="F72">
        <v>14.11</v>
      </c>
    </row>
    <row r="73" spans="1:6" x14ac:dyDescent="0.3">
      <c r="A73" t="s">
        <v>7</v>
      </c>
      <c r="B73" t="s">
        <v>242</v>
      </c>
      <c r="C73" t="s">
        <v>18</v>
      </c>
      <c r="D73" t="s">
        <v>372</v>
      </c>
      <c r="E73">
        <v>14.99</v>
      </c>
      <c r="F73">
        <v>14.96</v>
      </c>
    </row>
    <row r="74" spans="1:6" x14ac:dyDescent="0.3">
      <c r="A74" t="s">
        <v>7</v>
      </c>
      <c r="B74" t="s">
        <v>242</v>
      </c>
      <c r="C74" t="s">
        <v>19</v>
      </c>
      <c r="D74" t="s">
        <v>372</v>
      </c>
      <c r="E74">
        <v>12.8</v>
      </c>
      <c r="F74">
        <v>12.77</v>
      </c>
    </row>
    <row r="75" spans="1:6" x14ac:dyDescent="0.3">
      <c r="A75" t="s">
        <v>7</v>
      </c>
      <c r="B75" t="s">
        <v>242</v>
      </c>
      <c r="C75" t="s">
        <v>22</v>
      </c>
      <c r="D75" t="s">
        <v>371</v>
      </c>
      <c r="E75">
        <v>14.38</v>
      </c>
      <c r="F75">
        <v>13.37</v>
      </c>
    </row>
    <row r="76" spans="1:6" x14ac:dyDescent="0.3">
      <c r="A76" t="s">
        <v>7</v>
      </c>
      <c r="B76" t="s">
        <v>242</v>
      </c>
      <c r="C76" t="s">
        <v>23</v>
      </c>
      <c r="D76" t="s">
        <v>371</v>
      </c>
      <c r="E76">
        <v>13.75</v>
      </c>
      <c r="F76">
        <v>13.57</v>
      </c>
    </row>
    <row r="77" spans="1:6" x14ac:dyDescent="0.3">
      <c r="A77" t="s">
        <v>7</v>
      </c>
      <c r="B77" t="s">
        <v>242</v>
      </c>
      <c r="C77" t="s">
        <v>24</v>
      </c>
      <c r="D77" t="s">
        <v>371</v>
      </c>
      <c r="E77">
        <v>12.89</v>
      </c>
      <c r="F77">
        <v>12.72</v>
      </c>
    </row>
    <row r="78" spans="1:6" x14ac:dyDescent="0.3">
      <c r="A78" t="s">
        <v>7</v>
      </c>
      <c r="B78" t="s">
        <v>242</v>
      </c>
      <c r="C78" t="s">
        <v>25</v>
      </c>
      <c r="D78" t="s">
        <v>371</v>
      </c>
      <c r="E78">
        <v>14.22</v>
      </c>
      <c r="F78">
        <v>12.87</v>
      </c>
    </row>
    <row r="79" spans="1:6" x14ac:dyDescent="0.3">
      <c r="A79" t="s">
        <v>7</v>
      </c>
      <c r="B79" t="s">
        <v>242</v>
      </c>
      <c r="C79" t="s">
        <v>37</v>
      </c>
      <c r="D79" t="s">
        <v>371</v>
      </c>
      <c r="E79">
        <v>14.09</v>
      </c>
      <c r="F79">
        <v>13.35</v>
      </c>
    </row>
    <row r="80" spans="1:6" x14ac:dyDescent="0.3">
      <c r="A80" t="s">
        <v>7</v>
      </c>
      <c r="B80" t="s">
        <v>242</v>
      </c>
      <c r="C80" t="s">
        <v>38</v>
      </c>
      <c r="D80" t="s">
        <v>371</v>
      </c>
      <c r="E80">
        <v>14.74</v>
      </c>
      <c r="F80">
        <v>14.68</v>
      </c>
    </row>
    <row r="81" spans="1:6" x14ac:dyDescent="0.3">
      <c r="A81" t="s">
        <v>7</v>
      </c>
      <c r="B81" t="s">
        <v>242</v>
      </c>
      <c r="C81" t="s">
        <v>39</v>
      </c>
      <c r="D81" t="s">
        <v>371</v>
      </c>
      <c r="E81">
        <v>14.96</v>
      </c>
      <c r="F81">
        <v>14.86</v>
      </c>
    </row>
    <row r="82" spans="1:6" x14ac:dyDescent="0.3">
      <c r="A82" t="s">
        <v>7</v>
      </c>
      <c r="B82" t="s">
        <v>242</v>
      </c>
      <c r="C82" t="s">
        <v>40</v>
      </c>
      <c r="D82" t="s">
        <v>34</v>
      </c>
      <c r="E82">
        <v>13.49</v>
      </c>
      <c r="F82">
        <v>13.26</v>
      </c>
    </row>
    <row r="83" spans="1:6" x14ac:dyDescent="0.3">
      <c r="A83" t="s">
        <v>7</v>
      </c>
      <c r="B83" t="s">
        <v>242</v>
      </c>
      <c r="C83" t="s">
        <v>41</v>
      </c>
      <c r="D83" t="s">
        <v>34</v>
      </c>
      <c r="E83">
        <v>11.18</v>
      </c>
      <c r="F83">
        <v>10.9</v>
      </c>
    </row>
    <row r="84" spans="1:6" x14ac:dyDescent="0.3">
      <c r="A84" t="s">
        <v>7</v>
      </c>
      <c r="B84" t="s">
        <v>242</v>
      </c>
      <c r="C84" t="s">
        <v>30</v>
      </c>
      <c r="D84" t="s">
        <v>28</v>
      </c>
      <c r="E84">
        <v>16.190000000000001</v>
      </c>
      <c r="F84">
        <v>15.92</v>
      </c>
    </row>
    <row r="85" spans="1:6" x14ac:dyDescent="0.3">
      <c r="A85" t="s">
        <v>7</v>
      </c>
      <c r="B85" t="s">
        <v>242</v>
      </c>
      <c r="C85" t="s">
        <v>33</v>
      </c>
      <c r="D85" t="s">
        <v>371</v>
      </c>
      <c r="E85">
        <v>14.42</v>
      </c>
      <c r="F85">
        <v>14.2</v>
      </c>
    </row>
    <row r="86" spans="1:6" x14ac:dyDescent="0.3">
      <c r="A86" t="s">
        <v>7</v>
      </c>
      <c r="B86" t="s">
        <v>242</v>
      </c>
      <c r="C86" t="s">
        <v>35</v>
      </c>
      <c r="D86" t="s">
        <v>371</v>
      </c>
      <c r="E86">
        <v>14.27</v>
      </c>
      <c r="F86">
        <v>14.26</v>
      </c>
    </row>
    <row r="87" spans="1:6" x14ac:dyDescent="0.3">
      <c r="A87" t="s">
        <v>7</v>
      </c>
      <c r="B87" t="s">
        <v>242</v>
      </c>
      <c r="C87" t="s">
        <v>36</v>
      </c>
      <c r="D87" t="s">
        <v>371</v>
      </c>
      <c r="E87">
        <v>14.65</v>
      </c>
      <c r="F87">
        <v>14.64</v>
      </c>
    </row>
    <row r="88" spans="1:6" x14ac:dyDescent="0.3">
      <c r="A88" t="s">
        <v>7</v>
      </c>
      <c r="B88" t="s">
        <v>242</v>
      </c>
      <c r="C88" t="s">
        <v>42</v>
      </c>
      <c r="D88" t="s">
        <v>34</v>
      </c>
      <c r="E88">
        <v>15</v>
      </c>
      <c r="F88">
        <v>14.73</v>
      </c>
    </row>
    <row r="89" spans="1:6" x14ac:dyDescent="0.3">
      <c r="A89" t="s">
        <v>7</v>
      </c>
      <c r="B89" t="s">
        <v>242</v>
      </c>
      <c r="C89" t="s">
        <v>43</v>
      </c>
      <c r="D89" t="s">
        <v>34</v>
      </c>
      <c r="E89">
        <v>15</v>
      </c>
      <c r="F89">
        <v>14.51</v>
      </c>
    </row>
    <row r="90" spans="1:6" x14ac:dyDescent="0.3">
      <c r="A90" t="s">
        <v>7</v>
      </c>
      <c r="B90" t="s">
        <v>242</v>
      </c>
      <c r="C90" t="s">
        <v>31</v>
      </c>
      <c r="D90" t="s">
        <v>34</v>
      </c>
      <c r="E90">
        <v>9.81</v>
      </c>
      <c r="F90">
        <v>9.58</v>
      </c>
    </row>
    <row r="91" spans="1:6" x14ac:dyDescent="0.3">
      <c r="A91" t="s">
        <v>7</v>
      </c>
      <c r="B91" t="s">
        <v>242</v>
      </c>
      <c r="C91" t="s">
        <v>32</v>
      </c>
      <c r="D91" t="s">
        <v>34</v>
      </c>
      <c r="E91">
        <v>13.45</v>
      </c>
      <c r="F91">
        <v>13.43</v>
      </c>
    </row>
    <row r="92" spans="1:6" x14ac:dyDescent="0.3">
      <c r="A92" t="s">
        <v>414</v>
      </c>
      <c r="B92" t="s">
        <v>414</v>
      </c>
      <c r="C92" t="s">
        <v>417</v>
      </c>
      <c r="D92" t="s">
        <v>415</v>
      </c>
      <c r="E92">
        <v>10.08</v>
      </c>
      <c r="F92">
        <v>3.65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"/>
  <dimension ref="A1:G71"/>
  <sheetViews>
    <sheetView workbookViewId="0">
      <pane ySplit="3" topLeftCell="A4" activePane="bottomLeft" state="frozen"/>
      <selection pane="bottomLeft" activeCell="G15" sqref="G15"/>
    </sheetView>
  </sheetViews>
  <sheetFormatPr baseColWidth="10" defaultRowHeight="14.4" x14ac:dyDescent="0.3"/>
  <cols>
    <col min="1" max="1" width="11.77734375" customWidth="1"/>
    <col min="2" max="2" width="18.77734375" customWidth="1"/>
    <col min="3" max="4" width="6.77734375" bestFit="1" customWidth="1"/>
    <col min="6" max="6" width="16.5546875" bestFit="1" customWidth="1"/>
    <col min="7" max="7" width="12" bestFit="1" customWidth="1"/>
  </cols>
  <sheetData>
    <row r="1" spans="1:7" x14ac:dyDescent="0.3">
      <c r="A1" s="19" t="s">
        <v>1</v>
      </c>
      <c r="B1" t="s">
        <v>572</v>
      </c>
    </row>
    <row r="3" spans="1:7" x14ac:dyDescent="0.3">
      <c r="A3" s="19" t="s">
        <v>256</v>
      </c>
      <c r="B3" s="19" t="s">
        <v>115</v>
      </c>
      <c r="C3" t="s">
        <v>573</v>
      </c>
      <c r="F3" s="19" t="s">
        <v>138</v>
      </c>
      <c r="G3" t="s">
        <v>574</v>
      </c>
    </row>
    <row r="4" spans="1:7" x14ac:dyDescent="0.3">
      <c r="A4" t="s">
        <v>245</v>
      </c>
      <c r="B4" t="s">
        <v>99</v>
      </c>
      <c r="C4">
        <v>18.59</v>
      </c>
      <c r="F4" s="20" t="s">
        <v>569</v>
      </c>
      <c r="G4" s="285">
        <v>0.48296648204736448</v>
      </c>
    </row>
    <row r="5" spans="1:7" x14ac:dyDescent="0.3">
      <c r="A5" t="s">
        <v>245</v>
      </c>
      <c r="B5" t="s">
        <v>100</v>
      </c>
      <c r="C5">
        <v>6.49</v>
      </c>
      <c r="F5" s="20" t="s">
        <v>540</v>
      </c>
      <c r="G5" s="285">
        <v>0.51703351795263552</v>
      </c>
    </row>
    <row r="6" spans="1:7" x14ac:dyDescent="0.3">
      <c r="A6" t="s">
        <v>245</v>
      </c>
      <c r="B6" t="s">
        <v>93</v>
      </c>
      <c r="C6">
        <v>14.8</v>
      </c>
      <c r="F6" s="20" t="s">
        <v>126</v>
      </c>
      <c r="G6" s="285">
        <v>1</v>
      </c>
    </row>
    <row r="7" spans="1:7" x14ac:dyDescent="0.3">
      <c r="A7" t="s">
        <v>245</v>
      </c>
      <c r="B7" t="s">
        <v>94</v>
      </c>
      <c r="C7">
        <v>14.68</v>
      </c>
    </row>
    <row r="8" spans="1:7" x14ac:dyDescent="0.3">
      <c r="A8" t="s">
        <v>245</v>
      </c>
      <c r="B8" t="s">
        <v>95</v>
      </c>
      <c r="C8">
        <v>14.79</v>
      </c>
    </row>
    <row r="9" spans="1:7" x14ac:dyDescent="0.3">
      <c r="A9" t="s">
        <v>245</v>
      </c>
      <c r="B9" t="s">
        <v>48</v>
      </c>
      <c r="C9">
        <v>17.5</v>
      </c>
    </row>
    <row r="10" spans="1:7" x14ac:dyDescent="0.3">
      <c r="A10" t="s">
        <v>245</v>
      </c>
      <c r="B10" t="s">
        <v>50</v>
      </c>
      <c r="C10">
        <v>16.09</v>
      </c>
    </row>
    <row r="11" spans="1:7" x14ac:dyDescent="0.3">
      <c r="A11" t="s">
        <v>245</v>
      </c>
      <c r="B11" t="s">
        <v>96</v>
      </c>
      <c r="C11">
        <v>11.81</v>
      </c>
    </row>
    <row r="12" spans="1:7" x14ac:dyDescent="0.3">
      <c r="A12" t="s">
        <v>245</v>
      </c>
      <c r="B12" t="s">
        <v>97</v>
      </c>
      <c r="C12">
        <v>13.08</v>
      </c>
    </row>
    <row r="13" spans="1:7" x14ac:dyDescent="0.3">
      <c r="A13" t="s">
        <v>245</v>
      </c>
      <c r="B13" t="s">
        <v>98</v>
      </c>
      <c r="C13">
        <v>7.48</v>
      </c>
    </row>
    <row r="14" spans="1:7" x14ac:dyDescent="0.3">
      <c r="A14" t="s">
        <v>245</v>
      </c>
      <c r="B14" t="s">
        <v>90</v>
      </c>
      <c r="C14">
        <v>11.62</v>
      </c>
    </row>
    <row r="15" spans="1:7" x14ac:dyDescent="0.3">
      <c r="A15" t="s">
        <v>245</v>
      </c>
      <c r="B15" t="s">
        <v>92</v>
      </c>
      <c r="C15">
        <v>14.71</v>
      </c>
    </row>
    <row r="16" spans="1:7" x14ac:dyDescent="0.3">
      <c r="A16" t="s">
        <v>245</v>
      </c>
      <c r="B16" t="s">
        <v>80</v>
      </c>
      <c r="C16">
        <v>9.8000000000000007</v>
      </c>
    </row>
    <row r="17" spans="1:3" x14ac:dyDescent="0.3">
      <c r="A17" t="s">
        <v>245</v>
      </c>
      <c r="B17" t="s">
        <v>88</v>
      </c>
      <c r="C17">
        <v>15.13</v>
      </c>
    </row>
    <row r="18" spans="1:3" x14ac:dyDescent="0.3">
      <c r="A18" t="s">
        <v>245</v>
      </c>
      <c r="B18" t="s">
        <v>89</v>
      </c>
      <c r="C18">
        <v>10.9</v>
      </c>
    </row>
    <row r="19" spans="1:3" x14ac:dyDescent="0.3">
      <c r="A19" t="s">
        <v>248</v>
      </c>
      <c r="B19" t="s">
        <v>52</v>
      </c>
      <c r="C19">
        <v>2.23</v>
      </c>
    </row>
    <row r="20" spans="1:3" x14ac:dyDescent="0.3">
      <c r="A20" t="s">
        <v>248</v>
      </c>
      <c r="B20" t="s">
        <v>54</v>
      </c>
      <c r="C20">
        <v>13.22</v>
      </c>
    </row>
    <row r="21" spans="1:3" x14ac:dyDescent="0.3">
      <c r="A21" t="s">
        <v>248</v>
      </c>
      <c r="B21" t="s">
        <v>55</v>
      </c>
      <c r="C21">
        <v>8.4600000000000009</v>
      </c>
    </row>
    <row r="22" spans="1:3" x14ac:dyDescent="0.3">
      <c r="A22" t="s">
        <v>248</v>
      </c>
      <c r="B22" t="s">
        <v>56</v>
      </c>
      <c r="C22">
        <v>12.48</v>
      </c>
    </row>
    <row r="23" spans="1:3" x14ac:dyDescent="0.3">
      <c r="A23" t="s">
        <v>248</v>
      </c>
      <c r="B23" t="s">
        <v>57</v>
      </c>
      <c r="C23">
        <v>14.02</v>
      </c>
    </row>
    <row r="24" spans="1:3" x14ac:dyDescent="0.3">
      <c r="A24" t="s">
        <v>248</v>
      </c>
      <c r="B24" t="s">
        <v>58</v>
      </c>
      <c r="C24">
        <v>6.55</v>
      </c>
    </row>
    <row r="25" spans="1:3" x14ac:dyDescent="0.3">
      <c r="A25" t="s">
        <v>246</v>
      </c>
      <c r="B25" t="s">
        <v>59</v>
      </c>
      <c r="C25">
        <v>6.69</v>
      </c>
    </row>
    <row r="26" spans="1:3" x14ac:dyDescent="0.3">
      <c r="A26" t="s">
        <v>246</v>
      </c>
      <c r="B26" t="s">
        <v>60</v>
      </c>
      <c r="C26">
        <v>3.62</v>
      </c>
    </row>
    <row r="27" spans="1:3" x14ac:dyDescent="0.3">
      <c r="A27" t="s">
        <v>246</v>
      </c>
      <c r="B27" t="s">
        <v>65</v>
      </c>
      <c r="C27">
        <v>11.91</v>
      </c>
    </row>
    <row r="28" spans="1:3" x14ac:dyDescent="0.3">
      <c r="A28" t="s">
        <v>246</v>
      </c>
      <c r="B28" t="s">
        <v>66</v>
      </c>
      <c r="C28">
        <v>12.37</v>
      </c>
    </row>
    <row r="29" spans="1:3" x14ac:dyDescent="0.3">
      <c r="A29" t="s">
        <v>243</v>
      </c>
      <c r="B29" t="s">
        <v>45</v>
      </c>
      <c r="C29">
        <v>8.2200000000000006</v>
      </c>
    </row>
    <row r="30" spans="1:3" x14ac:dyDescent="0.3">
      <c r="A30" t="s">
        <v>243</v>
      </c>
      <c r="B30" t="s">
        <v>47</v>
      </c>
      <c r="C30">
        <v>8.19</v>
      </c>
    </row>
    <row r="31" spans="1:3" x14ac:dyDescent="0.3">
      <c r="A31" t="s">
        <v>527</v>
      </c>
      <c r="B31" t="s">
        <v>83</v>
      </c>
      <c r="C31">
        <v>11.62</v>
      </c>
    </row>
    <row r="32" spans="1:3" x14ac:dyDescent="0.3">
      <c r="A32" t="s">
        <v>527</v>
      </c>
      <c r="B32" t="s">
        <v>84</v>
      </c>
      <c r="C32">
        <v>14.29</v>
      </c>
    </row>
    <row r="33" spans="1:3" x14ac:dyDescent="0.3">
      <c r="A33" t="s">
        <v>244</v>
      </c>
      <c r="B33" t="s">
        <v>71</v>
      </c>
      <c r="C33">
        <v>11.08</v>
      </c>
    </row>
    <row r="34" spans="1:3" x14ac:dyDescent="0.3">
      <c r="A34" t="s">
        <v>244</v>
      </c>
      <c r="B34" t="s">
        <v>72</v>
      </c>
      <c r="C34">
        <v>12.53</v>
      </c>
    </row>
    <row r="35" spans="1:3" x14ac:dyDescent="0.3">
      <c r="A35" t="s">
        <v>244</v>
      </c>
      <c r="B35" t="s">
        <v>73</v>
      </c>
      <c r="C35">
        <v>14.29</v>
      </c>
    </row>
    <row r="36" spans="1:3" x14ac:dyDescent="0.3">
      <c r="A36" t="s">
        <v>244</v>
      </c>
      <c r="B36" t="s">
        <v>20</v>
      </c>
      <c r="C36">
        <v>11.62</v>
      </c>
    </row>
    <row r="37" spans="1:3" x14ac:dyDescent="0.3">
      <c r="A37" t="s">
        <v>244</v>
      </c>
      <c r="B37" t="s">
        <v>21</v>
      </c>
      <c r="C37">
        <v>10.7</v>
      </c>
    </row>
    <row r="38" spans="1:3" x14ac:dyDescent="0.3">
      <c r="A38" t="s">
        <v>244</v>
      </c>
      <c r="B38" t="s">
        <v>74</v>
      </c>
      <c r="C38">
        <v>14.75</v>
      </c>
    </row>
    <row r="39" spans="1:3" x14ac:dyDescent="0.3">
      <c r="A39" t="s">
        <v>244</v>
      </c>
      <c r="B39" t="s">
        <v>75</v>
      </c>
      <c r="C39">
        <v>3.96</v>
      </c>
    </row>
    <row r="40" spans="1:3" x14ac:dyDescent="0.3">
      <c r="A40" t="s">
        <v>244</v>
      </c>
      <c r="B40" t="s">
        <v>76</v>
      </c>
      <c r="C40">
        <v>7.3</v>
      </c>
    </row>
    <row r="41" spans="1:3" x14ac:dyDescent="0.3">
      <c r="A41" t="s">
        <v>244</v>
      </c>
      <c r="B41" t="s">
        <v>77</v>
      </c>
      <c r="C41">
        <v>11.8</v>
      </c>
    </row>
    <row r="42" spans="1:3" x14ac:dyDescent="0.3">
      <c r="A42" t="s">
        <v>244</v>
      </c>
      <c r="B42" t="s">
        <v>67</v>
      </c>
      <c r="C42">
        <v>10.15</v>
      </c>
    </row>
    <row r="43" spans="1:3" x14ac:dyDescent="0.3">
      <c r="A43" t="s">
        <v>244</v>
      </c>
      <c r="B43" t="s">
        <v>68</v>
      </c>
      <c r="C43">
        <v>13.38</v>
      </c>
    </row>
    <row r="44" spans="1:3" x14ac:dyDescent="0.3">
      <c r="A44" t="s">
        <v>244</v>
      </c>
      <c r="B44" t="s">
        <v>69</v>
      </c>
      <c r="C44">
        <v>14.65</v>
      </c>
    </row>
    <row r="45" spans="1:3" x14ac:dyDescent="0.3">
      <c r="A45" t="s">
        <v>244</v>
      </c>
      <c r="B45" t="s">
        <v>70</v>
      </c>
      <c r="C45">
        <v>12.03</v>
      </c>
    </row>
    <row r="46" spans="1:3" x14ac:dyDescent="0.3">
      <c r="A46" t="s">
        <v>247</v>
      </c>
      <c r="B46" t="s">
        <v>81</v>
      </c>
      <c r="C46">
        <v>14.7</v>
      </c>
    </row>
    <row r="47" spans="1:3" x14ac:dyDescent="0.3">
      <c r="A47" t="s">
        <v>247</v>
      </c>
      <c r="B47" t="s">
        <v>82</v>
      </c>
      <c r="C47">
        <v>12.91</v>
      </c>
    </row>
    <row r="48" spans="1:3" x14ac:dyDescent="0.3">
      <c r="A48" t="s">
        <v>247</v>
      </c>
      <c r="B48" t="s">
        <v>51</v>
      </c>
      <c r="C48">
        <v>6.29</v>
      </c>
    </row>
    <row r="49" spans="1:3" x14ac:dyDescent="0.3">
      <c r="A49" t="s">
        <v>247</v>
      </c>
      <c r="B49" t="s">
        <v>86</v>
      </c>
      <c r="C49">
        <v>13.08</v>
      </c>
    </row>
    <row r="50" spans="1:3" x14ac:dyDescent="0.3">
      <c r="A50" t="s">
        <v>414</v>
      </c>
      <c r="B50" t="s">
        <v>78</v>
      </c>
      <c r="C50">
        <v>2.46</v>
      </c>
    </row>
    <row r="51" spans="1:3" x14ac:dyDescent="0.3">
      <c r="A51" t="s">
        <v>414</v>
      </c>
      <c r="B51" t="s">
        <v>80</v>
      </c>
      <c r="C51">
        <v>1.58</v>
      </c>
    </row>
    <row r="52" spans="1:3" x14ac:dyDescent="0.3">
      <c r="A52" t="s">
        <v>242</v>
      </c>
      <c r="B52" t="s">
        <v>44</v>
      </c>
      <c r="C52">
        <v>14.21</v>
      </c>
    </row>
    <row r="53" spans="1:3" x14ac:dyDescent="0.3">
      <c r="A53" t="s">
        <v>242</v>
      </c>
      <c r="B53" t="s">
        <v>16</v>
      </c>
      <c r="C53">
        <v>14.09</v>
      </c>
    </row>
    <row r="54" spans="1:3" x14ac:dyDescent="0.3">
      <c r="A54" t="s">
        <v>242</v>
      </c>
      <c r="B54" t="s">
        <v>18</v>
      </c>
      <c r="C54">
        <v>14.98</v>
      </c>
    </row>
    <row r="55" spans="1:3" x14ac:dyDescent="0.3">
      <c r="A55" t="s">
        <v>242</v>
      </c>
      <c r="B55" t="s">
        <v>19</v>
      </c>
      <c r="C55">
        <v>12.77</v>
      </c>
    </row>
    <row r="56" spans="1:3" x14ac:dyDescent="0.3">
      <c r="A56" t="s">
        <v>242</v>
      </c>
      <c r="B56" t="s">
        <v>23</v>
      </c>
      <c r="C56">
        <v>13.62</v>
      </c>
    </row>
    <row r="57" spans="1:3" x14ac:dyDescent="0.3">
      <c r="A57" t="s">
        <v>242</v>
      </c>
      <c r="B57" t="s">
        <v>24</v>
      </c>
      <c r="C57">
        <v>12.76</v>
      </c>
    </row>
    <row r="58" spans="1:3" x14ac:dyDescent="0.3">
      <c r="A58" t="s">
        <v>242</v>
      </c>
      <c r="B58" t="s">
        <v>25</v>
      </c>
      <c r="C58">
        <v>12.98</v>
      </c>
    </row>
    <row r="59" spans="1:3" x14ac:dyDescent="0.3">
      <c r="A59" t="s">
        <v>242</v>
      </c>
      <c r="B59" t="s">
        <v>37</v>
      </c>
      <c r="C59">
        <v>13.33</v>
      </c>
    </row>
    <row r="60" spans="1:3" x14ac:dyDescent="0.3">
      <c r="A60" t="s">
        <v>242</v>
      </c>
      <c r="B60" t="s">
        <v>38</v>
      </c>
      <c r="C60">
        <v>14.68</v>
      </c>
    </row>
    <row r="61" spans="1:3" x14ac:dyDescent="0.3">
      <c r="A61" t="s">
        <v>242</v>
      </c>
      <c r="B61" t="s">
        <v>39</v>
      </c>
      <c r="C61">
        <v>14.35</v>
      </c>
    </row>
    <row r="62" spans="1:3" x14ac:dyDescent="0.3">
      <c r="A62" t="s">
        <v>242</v>
      </c>
      <c r="B62" t="s">
        <v>40</v>
      </c>
      <c r="C62">
        <v>12.9</v>
      </c>
    </row>
    <row r="63" spans="1:3" x14ac:dyDescent="0.3">
      <c r="A63" t="s">
        <v>242</v>
      </c>
      <c r="B63" t="s">
        <v>41</v>
      </c>
      <c r="C63">
        <v>10.37</v>
      </c>
    </row>
    <row r="64" spans="1:3" x14ac:dyDescent="0.3">
      <c r="A64" t="s">
        <v>242</v>
      </c>
      <c r="B64" t="s">
        <v>30</v>
      </c>
      <c r="C64">
        <v>15.73</v>
      </c>
    </row>
    <row r="65" spans="1:3" x14ac:dyDescent="0.3">
      <c r="A65" t="s">
        <v>242</v>
      </c>
      <c r="B65" t="s">
        <v>33</v>
      </c>
      <c r="C65">
        <v>14.34</v>
      </c>
    </row>
    <row r="66" spans="1:3" x14ac:dyDescent="0.3">
      <c r="A66" t="s">
        <v>242</v>
      </c>
      <c r="B66" t="s">
        <v>35</v>
      </c>
      <c r="C66">
        <v>14.26</v>
      </c>
    </row>
    <row r="67" spans="1:3" x14ac:dyDescent="0.3">
      <c r="A67" t="s">
        <v>242</v>
      </c>
      <c r="B67" t="s">
        <v>36</v>
      </c>
      <c r="C67">
        <v>14.63</v>
      </c>
    </row>
    <row r="68" spans="1:3" x14ac:dyDescent="0.3">
      <c r="A68" t="s">
        <v>242</v>
      </c>
      <c r="B68" t="s">
        <v>42</v>
      </c>
      <c r="C68">
        <v>14.56</v>
      </c>
    </row>
    <row r="69" spans="1:3" x14ac:dyDescent="0.3">
      <c r="A69" t="s">
        <v>242</v>
      </c>
      <c r="B69" t="s">
        <v>43</v>
      </c>
      <c r="C69">
        <v>14.2</v>
      </c>
    </row>
    <row r="70" spans="1:3" x14ac:dyDescent="0.3">
      <c r="A70" t="s">
        <v>242</v>
      </c>
      <c r="B70" t="s">
        <v>32</v>
      </c>
      <c r="C70">
        <v>13.3</v>
      </c>
    </row>
    <row r="71" spans="1:3" x14ac:dyDescent="0.3">
      <c r="A71" t="s">
        <v>126</v>
      </c>
      <c r="C71">
        <v>792.6600000000002</v>
      </c>
    </row>
  </sheetData>
  <pageMargins left="0.7" right="0.7" top="0.75" bottom="0.75" header="0.3" footer="0.3"/>
  <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4"/>
  <dimension ref="A1:C13"/>
  <sheetViews>
    <sheetView workbookViewId="0">
      <selection activeCell="H7" sqref="H7"/>
    </sheetView>
  </sheetViews>
  <sheetFormatPr baseColWidth="10" defaultRowHeight="14.4" x14ac:dyDescent="0.3"/>
  <cols>
    <col min="1" max="1" width="11.77734375" customWidth="1"/>
    <col min="2" max="2" width="18.77734375" customWidth="1"/>
    <col min="3" max="3" width="22" bestFit="1" customWidth="1"/>
    <col min="4" max="4" width="10.21875" bestFit="1" customWidth="1"/>
    <col min="5" max="5" width="11.77734375" bestFit="1" customWidth="1"/>
  </cols>
  <sheetData>
    <row r="1" spans="1:3" x14ac:dyDescent="0.3">
      <c r="A1" s="19" t="s">
        <v>1</v>
      </c>
      <c r="B1" t="s">
        <v>572</v>
      </c>
    </row>
    <row r="3" spans="1:3" x14ac:dyDescent="0.3">
      <c r="A3" s="19" t="s">
        <v>256</v>
      </c>
      <c r="B3" s="19" t="s">
        <v>115</v>
      </c>
      <c r="C3" t="s">
        <v>139</v>
      </c>
    </row>
    <row r="4" spans="1:3" x14ac:dyDescent="0.3">
      <c r="A4" t="s">
        <v>245</v>
      </c>
      <c r="C4" s="21">
        <v>197.47000000000003</v>
      </c>
    </row>
    <row r="5" spans="1:3" x14ac:dyDescent="0.3">
      <c r="A5" t="s">
        <v>248</v>
      </c>
      <c r="C5" s="21">
        <v>56.959999999999994</v>
      </c>
    </row>
    <row r="6" spans="1:3" x14ac:dyDescent="0.3">
      <c r="A6" t="s">
        <v>246</v>
      </c>
      <c r="C6" s="21">
        <v>34.590000000000003</v>
      </c>
    </row>
    <row r="7" spans="1:3" x14ac:dyDescent="0.3">
      <c r="A7" t="s">
        <v>243</v>
      </c>
      <c r="C7" s="21">
        <v>16.41</v>
      </c>
    </row>
    <row r="8" spans="1:3" x14ac:dyDescent="0.3">
      <c r="A8" t="s">
        <v>527</v>
      </c>
      <c r="C8" s="21">
        <v>25.909999999999997</v>
      </c>
    </row>
    <row r="9" spans="1:3" x14ac:dyDescent="0.3">
      <c r="A9" t="s">
        <v>244</v>
      </c>
      <c r="C9" s="21">
        <v>148.23999999999998</v>
      </c>
    </row>
    <row r="10" spans="1:3" x14ac:dyDescent="0.3">
      <c r="A10" t="s">
        <v>247</v>
      </c>
      <c r="C10" s="21">
        <v>46.98</v>
      </c>
    </row>
    <row r="11" spans="1:3" x14ac:dyDescent="0.3">
      <c r="A11" t="s">
        <v>242</v>
      </c>
      <c r="C11" s="21">
        <v>262.06</v>
      </c>
    </row>
    <row r="12" spans="1:3" x14ac:dyDescent="0.3">
      <c r="A12" t="s">
        <v>414</v>
      </c>
      <c r="C12" s="21">
        <v>4.04</v>
      </c>
    </row>
    <row r="13" spans="1:3" x14ac:dyDescent="0.3">
      <c r="A13" t="s">
        <v>126</v>
      </c>
      <c r="C13" s="21">
        <v>792.66000000000008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9"/>
  <dimension ref="A1:F82"/>
  <sheetViews>
    <sheetView workbookViewId="0">
      <selection activeCell="H14" sqref="H14"/>
    </sheetView>
  </sheetViews>
  <sheetFormatPr baseColWidth="10" defaultRowHeight="14.4" x14ac:dyDescent="0.3"/>
  <cols>
    <col min="1" max="1" width="11.77734375" bestFit="1" customWidth="1"/>
    <col min="2" max="2" width="15.44140625" bestFit="1" customWidth="1"/>
    <col min="3" max="3" width="7.21875" bestFit="1" customWidth="1"/>
    <col min="4" max="4" width="32.6640625" bestFit="1" customWidth="1"/>
  </cols>
  <sheetData>
    <row r="1" spans="1:6" x14ac:dyDescent="0.3">
      <c r="A1" s="19" t="s">
        <v>1</v>
      </c>
      <c r="B1" t="s">
        <v>572</v>
      </c>
    </row>
    <row r="3" spans="1:6" x14ac:dyDescent="0.3">
      <c r="A3" s="19" t="s">
        <v>256</v>
      </c>
      <c r="B3" s="19" t="s">
        <v>5</v>
      </c>
      <c r="C3" s="19" t="s">
        <v>115</v>
      </c>
      <c r="D3" s="19" t="s">
        <v>212</v>
      </c>
    </row>
    <row r="4" spans="1:6" x14ac:dyDescent="0.3">
      <c r="A4" t="s">
        <v>245</v>
      </c>
      <c r="B4" t="s">
        <v>136</v>
      </c>
      <c r="C4" t="s">
        <v>99</v>
      </c>
      <c r="D4" t="s">
        <v>647</v>
      </c>
      <c r="F4" t="s">
        <v>642</v>
      </c>
    </row>
    <row r="5" spans="1:6" x14ac:dyDescent="0.3">
      <c r="A5" t="s">
        <v>245</v>
      </c>
      <c r="B5" t="s">
        <v>136</v>
      </c>
      <c r="C5" t="s">
        <v>100</v>
      </c>
      <c r="D5" t="s">
        <v>647</v>
      </c>
      <c r="F5" t="s">
        <v>643</v>
      </c>
    </row>
    <row r="6" spans="1:6" x14ac:dyDescent="0.3">
      <c r="A6" t="s">
        <v>245</v>
      </c>
      <c r="B6" t="s">
        <v>136</v>
      </c>
      <c r="C6" t="s">
        <v>48</v>
      </c>
      <c r="D6" t="s">
        <v>581</v>
      </c>
      <c r="F6" t="s">
        <v>644</v>
      </c>
    </row>
    <row r="7" spans="1:6" x14ac:dyDescent="0.3">
      <c r="A7" t="s">
        <v>245</v>
      </c>
      <c r="B7" t="s">
        <v>136</v>
      </c>
      <c r="C7" t="s">
        <v>50</v>
      </c>
      <c r="D7" t="s">
        <v>581</v>
      </c>
    </row>
    <row r="8" spans="1:6" x14ac:dyDescent="0.3">
      <c r="A8" t="s">
        <v>245</v>
      </c>
      <c r="B8" t="s">
        <v>136</v>
      </c>
      <c r="C8" t="s">
        <v>96</v>
      </c>
      <c r="D8" t="s">
        <v>582</v>
      </c>
    </row>
    <row r="9" spans="1:6" x14ac:dyDescent="0.3">
      <c r="A9" t="s">
        <v>245</v>
      </c>
      <c r="B9" t="s">
        <v>136</v>
      </c>
      <c r="C9" t="s">
        <v>97</v>
      </c>
      <c r="D9" t="s">
        <v>333</v>
      </c>
    </row>
    <row r="10" spans="1:6" x14ac:dyDescent="0.3">
      <c r="A10" t="s">
        <v>245</v>
      </c>
      <c r="B10" t="s">
        <v>136</v>
      </c>
      <c r="C10" t="s">
        <v>98</v>
      </c>
      <c r="D10" t="s">
        <v>333</v>
      </c>
    </row>
    <row r="11" spans="1:6" x14ac:dyDescent="0.3">
      <c r="A11" t="s">
        <v>245</v>
      </c>
      <c r="B11" t="s">
        <v>153</v>
      </c>
      <c r="C11" t="s">
        <v>93</v>
      </c>
      <c r="D11" t="s">
        <v>408</v>
      </c>
    </row>
    <row r="12" spans="1:6" x14ac:dyDescent="0.3">
      <c r="A12" t="s">
        <v>245</v>
      </c>
      <c r="B12" t="s">
        <v>153</v>
      </c>
      <c r="C12" t="s">
        <v>94</v>
      </c>
      <c r="D12" t="s">
        <v>593</v>
      </c>
    </row>
    <row r="13" spans="1:6" x14ac:dyDescent="0.3">
      <c r="A13" t="s">
        <v>245</v>
      </c>
      <c r="B13" t="s">
        <v>153</v>
      </c>
      <c r="C13" t="s">
        <v>95</v>
      </c>
      <c r="D13" t="s">
        <v>410</v>
      </c>
    </row>
    <row r="14" spans="1:6" x14ac:dyDescent="0.3">
      <c r="A14" t="s">
        <v>245</v>
      </c>
      <c r="B14" t="s">
        <v>28</v>
      </c>
      <c r="C14" t="s">
        <v>88</v>
      </c>
      <c r="D14" t="s">
        <v>597</v>
      </c>
    </row>
    <row r="15" spans="1:6" x14ac:dyDescent="0.3">
      <c r="A15" t="s">
        <v>245</v>
      </c>
      <c r="B15" t="s">
        <v>28</v>
      </c>
      <c r="C15" t="s">
        <v>89</v>
      </c>
      <c r="D15" t="s">
        <v>597</v>
      </c>
    </row>
    <row r="16" spans="1:6" x14ac:dyDescent="0.3">
      <c r="A16" t="s">
        <v>245</v>
      </c>
      <c r="B16" t="s">
        <v>34</v>
      </c>
      <c r="C16" t="s">
        <v>90</v>
      </c>
      <c r="D16" t="s">
        <v>171</v>
      </c>
    </row>
    <row r="17" spans="1:4" x14ac:dyDescent="0.3">
      <c r="A17" t="s">
        <v>245</v>
      </c>
      <c r="B17" t="s">
        <v>34</v>
      </c>
      <c r="C17" t="s">
        <v>92</v>
      </c>
      <c r="D17" t="s">
        <v>171</v>
      </c>
    </row>
    <row r="18" spans="1:4" x14ac:dyDescent="0.3">
      <c r="A18" t="s">
        <v>245</v>
      </c>
      <c r="B18" t="s">
        <v>34</v>
      </c>
      <c r="C18" t="s">
        <v>80</v>
      </c>
      <c r="D18" t="s">
        <v>207</v>
      </c>
    </row>
    <row r="19" spans="1:4" x14ac:dyDescent="0.3">
      <c r="A19" t="s">
        <v>248</v>
      </c>
      <c r="B19" t="s">
        <v>34</v>
      </c>
      <c r="C19" t="s">
        <v>52</v>
      </c>
      <c r="D19" t="s">
        <v>594</v>
      </c>
    </row>
    <row r="20" spans="1:4" x14ac:dyDescent="0.3">
      <c r="A20" t="s">
        <v>248</v>
      </c>
      <c r="B20" t="s">
        <v>34</v>
      </c>
      <c r="C20" t="s">
        <v>54</v>
      </c>
      <c r="D20" t="s">
        <v>594</v>
      </c>
    </row>
    <row r="21" spans="1:4" x14ac:dyDescent="0.3">
      <c r="A21" t="s">
        <v>248</v>
      </c>
      <c r="B21" t="s">
        <v>34</v>
      </c>
      <c r="C21" t="s">
        <v>55</v>
      </c>
      <c r="D21" t="s">
        <v>595</v>
      </c>
    </row>
    <row r="22" spans="1:4" x14ac:dyDescent="0.3">
      <c r="A22" t="s">
        <v>248</v>
      </c>
      <c r="B22" t="s">
        <v>34</v>
      </c>
      <c r="C22" t="s">
        <v>56</v>
      </c>
      <c r="D22" t="s">
        <v>595</v>
      </c>
    </row>
    <row r="23" spans="1:4" x14ac:dyDescent="0.3">
      <c r="A23" t="s">
        <v>248</v>
      </c>
      <c r="B23" t="s">
        <v>34</v>
      </c>
      <c r="C23" t="s">
        <v>57</v>
      </c>
      <c r="D23" t="s">
        <v>596</v>
      </c>
    </row>
    <row r="24" spans="1:4" x14ac:dyDescent="0.3">
      <c r="A24" t="s">
        <v>248</v>
      </c>
      <c r="B24" t="s">
        <v>34</v>
      </c>
      <c r="C24" t="s">
        <v>58</v>
      </c>
      <c r="D24" t="s">
        <v>596</v>
      </c>
    </row>
    <row r="25" spans="1:4" x14ac:dyDescent="0.3">
      <c r="A25" t="s">
        <v>246</v>
      </c>
      <c r="B25" t="s">
        <v>49</v>
      </c>
      <c r="C25" t="s">
        <v>59</v>
      </c>
      <c r="D25" t="s">
        <v>206</v>
      </c>
    </row>
    <row r="26" spans="1:4" x14ac:dyDescent="0.3">
      <c r="A26" t="s">
        <v>246</v>
      </c>
      <c r="B26" t="s">
        <v>49</v>
      </c>
      <c r="C26" t="s">
        <v>363</v>
      </c>
      <c r="D26" t="s">
        <v>206</v>
      </c>
    </row>
    <row r="27" spans="1:4" x14ac:dyDescent="0.3">
      <c r="A27" t="s">
        <v>246</v>
      </c>
      <c r="B27" t="s">
        <v>371</v>
      </c>
      <c r="C27" t="s">
        <v>60</v>
      </c>
      <c r="D27" t="s">
        <v>423</v>
      </c>
    </row>
    <row r="28" spans="1:4" x14ac:dyDescent="0.3">
      <c r="A28" t="s">
        <v>246</v>
      </c>
      <c r="B28" t="s">
        <v>371</v>
      </c>
      <c r="C28" t="s">
        <v>364</v>
      </c>
      <c r="D28" t="s">
        <v>423</v>
      </c>
    </row>
    <row r="29" spans="1:4" x14ac:dyDescent="0.3">
      <c r="A29" t="s">
        <v>246</v>
      </c>
      <c r="B29" t="s">
        <v>28</v>
      </c>
      <c r="C29" t="s">
        <v>26</v>
      </c>
      <c r="D29" t="s">
        <v>583</v>
      </c>
    </row>
    <row r="30" spans="1:4" x14ac:dyDescent="0.3">
      <c r="A30" t="s">
        <v>246</v>
      </c>
      <c r="B30" t="s">
        <v>28</v>
      </c>
      <c r="C30" t="s">
        <v>29</v>
      </c>
      <c r="D30" t="s">
        <v>583</v>
      </c>
    </row>
    <row r="31" spans="1:4" x14ac:dyDescent="0.3">
      <c r="A31" t="s">
        <v>246</v>
      </c>
      <c r="B31" t="s">
        <v>28</v>
      </c>
      <c r="C31" t="s">
        <v>65</v>
      </c>
      <c r="D31" t="s">
        <v>276</v>
      </c>
    </row>
    <row r="32" spans="1:4" x14ac:dyDescent="0.3">
      <c r="A32" t="s">
        <v>246</v>
      </c>
      <c r="B32" t="s">
        <v>28</v>
      </c>
      <c r="C32" t="s">
        <v>66</v>
      </c>
      <c r="D32" t="s">
        <v>276</v>
      </c>
    </row>
    <row r="33" spans="1:4" x14ac:dyDescent="0.3">
      <c r="A33" t="s">
        <v>246</v>
      </c>
      <c r="B33" t="s">
        <v>28</v>
      </c>
      <c r="C33" t="s">
        <v>101</v>
      </c>
      <c r="D33" t="s">
        <v>648</v>
      </c>
    </row>
    <row r="34" spans="1:4" x14ac:dyDescent="0.3">
      <c r="A34" t="s">
        <v>246</v>
      </c>
      <c r="B34" t="s">
        <v>28</v>
      </c>
      <c r="C34" t="s">
        <v>104</v>
      </c>
      <c r="D34" t="s">
        <v>648</v>
      </c>
    </row>
    <row r="35" spans="1:4" x14ac:dyDescent="0.3">
      <c r="A35" t="s">
        <v>243</v>
      </c>
      <c r="B35" t="s">
        <v>136</v>
      </c>
      <c r="C35" t="s">
        <v>87</v>
      </c>
      <c r="D35" t="s">
        <v>477</v>
      </c>
    </row>
    <row r="36" spans="1:4" x14ac:dyDescent="0.3">
      <c r="A36" t="s">
        <v>243</v>
      </c>
      <c r="B36" t="s">
        <v>136</v>
      </c>
      <c r="C36" t="s">
        <v>45</v>
      </c>
      <c r="D36" t="s">
        <v>477</v>
      </c>
    </row>
    <row r="37" spans="1:4" x14ac:dyDescent="0.3">
      <c r="A37" t="s">
        <v>243</v>
      </c>
      <c r="B37" t="s">
        <v>136</v>
      </c>
      <c r="C37" t="s">
        <v>47</v>
      </c>
      <c r="D37" t="s">
        <v>477</v>
      </c>
    </row>
    <row r="38" spans="1:4" x14ac:dyDescent="0.3">
      <c r="A38" t="s">
        <v>527</v>
      </c>
      <c r="B38" t="s">
        <v>49</v>
      </c>
      <c r="C38" t="s">
        <v>6</v>
      </c>
      <c r="D38" t="s">
        <v>578</v>
      </c>
    </row>
    <row r="39" spans="1:4" x14ac:dyDescent="0.3">
      <c r="A39" t="s">
        <v>527</v>
      </c>
      <c r="B39" t="s">
        <v>49</v>
      </c>
      <c r="C39" t="s">
        <v>11</v>
      </c>
      <c r="D39" t="s">
        <v>578</v>
      </c>
    </row>
    <row r="40" spans="1:4" x14ac:dyDescent="0.3">
      <c r="A40" t="s">
        <v>527</v>
      </c>
      <c r="B40" t="s">
        <v>49</v>
      </c>
      <c r="C40" t="s">
        <v>13</v>
      </c>
      <c r="D40" t="s">
        <v>579</v>
      </c>
    </row>
    <row r="41" spans="1:4" x14ac:dyDescent="0.3">
      <c r="A41" t="s">
        <v>527</v>
      </c>
      <c r="B41" t="s">
        <v>49</v>
      </c>
      <c r="C41" t="s">
        <v>15</v>
      </c>
      <c r="D41" t="s">
        <v>580</v>
      </c>
    </row>
    <row r="42" spans="1:4" x14ac:dyDescent="0.3">
      <c r="A42" t="s">
        <v>527</v>
      </c>
      <c r="B42" t="s">
        <v>136</v>
      </c>
      <c r="C42" t="s">
        <v>83</v>
      </c>
      <c r="D42" t="s">
        <v>442</v>
      </c>
    </row>
    <row r="43" spans="1:4" x14ac:dyDescent="0.3">
      <c r="A43" t="s">
        <v>527</v>
      </c>
      <c r="B43" t="s">
        <v>136</v>
      </c>
      <c r="C43" t="s">
        <v>84</v>
      </c>
      <c r="D43" t="s">
        <v>442</v>
      </c>
    </row>
    <row r="44" spans="1:4" x14ac:dyDescent="0.3">
      <c r="A44" t="s">
        <v>244</v>
      </c>
      <c r="B44" t="s">
        <v>49</v>
      </c>
      <c r="C44" t="s">
        <v>71</v>
      </c>
      <c r="D44" t="s">
        <v>405</v>
      </c>
    </row>
    <row r="45" spans="1:4" x14ac:dyDescent="0.3">
      <c r="A45" t="s">
        <v>244</v>
      </c>
      <c r="B45" t="s">
        <v>49</v>
      </c>
      <c r="C45" t="s">
        <v>72</v>
      </c>
      <c r="D45" t="s">
        <v>422</v>
      </c>
    </row>
    <row r="46" spans="1:4" x14ac:dyDescent="0.3">
      <c r="A46" t="s">
        <v>244</v>
      </c>
      <c r="B46" t="s">
        <v>49</v>
      </c>
      <c r="C46" t="s">
        <v>73</v>
      </c>
      <c r="D46" t="s">
        <v>406</v>
      </c>
    </row>
    <row r="47" spans="1:4" x14ac:dyDescent="0.3">
      <c r="A47" t="s">
        <v>244</v>
      </c>
      <c r="B47" t="s">
        <v>136</v>
      </c>
      <c r="C47" t="s">
        <v>85</v>
      </c>
      <c r="D47" t="s">
        <v>646</v>
      </c>
    </row>
    <row r="48" spans="1:4" x14ac:dyDescent="0.3">
      <c r="A48" t="s">
        <v>244</v>
      </c>
      <c r="B48" t="s">
        <v>153</v>
      </c>
      <c r="C48" t="s">
        <v>20</v>
      </c>
      <c r="D48" t="s">
        <v>591</v>
      </c>
    </row>
    <row r="49" spans="1:4" x14ac:dyDescent="0.3">
      <c r="A49" t="s">
        <v>244</v>
      </c>
      <c r="B49" t="s">
        <v>153</v>
      </c>
      <c r="C49" t="s">
        <v>21</v>
      </c>
      <c r="D49" t="s">
        <v>592</v>
      </c>
    </row>
    <row r="50" spans="1:4" x14ac:dyDescent="0.3">
      <c r="A50" t="s">
        <v>244</v>
      </c>
      <c r="B50" t="s">
        <v>153</v>
      </c>
      <c r="C50" t="s">
        <v>22</v>
      </c>
      <c r="D50" t="s">
        <v>187</v>
      </c>
    </row>
    <row r="51" spans="1:4" x14ac:dyDescent="0.3">
      <c r="A51" t="s">
        <v>244</v>
      </c>
      <c r="B51" t="s">
        <v>153</v>
      </c>
      <c r="C51" t="s">
        <v>74</v>
      </c>
      <c r="D51" t="s">
        <v>419</v>
      </c>
    </row>
    <row r="52" spans="1:4" x14ac:dyDescent="0.3">
      <c r="A52" t="s">
        <v>244</v>
      </c>
      <c r="B52" t="s">
        <v>153</v>
      </c>
      <c r="C52" t="s">
        <v>75</v>
      </c>
      <c r="D52" t="s">
        <v>646</v>
      </c>
    </row>
    <row r="53" spans="1:4" x14ac:dyDescent="0.3">
      <c r="A53" t="s">
        <v>244</v>
      </c>
      <c r="B53" t="s">
        <v>153</v>
      </c>
      <c r="C53" t="s">
        <v>76</v>
      </c>
      <c r="D53" t="s">
        <v>646</v>
      </c>
    </row>
    <row r="54" spans="1:4" x14ac:dyDescent="0.3">
      <c r="A54" t="s">
        <v>244</v>
      </c>
      <c r="B54" t="s">
        <v>153</v>
      </c>
      <c r="C54" t="s">
        <v>77</v>
      </c>
      <c r="D54" t="s">
        <v>200</v>
      </c>
    </row>
    <row r="55" spans="1:4" x14ac:dyDescent="0.3">
      <c r="A55" t="s">
        <v>244</v>
      </c>
      <c r="B55" t="s">
        <v>153</v>
      </c>
      <c r="C55" t="s">
        <v>67</v>
      </c>
      <c r="D55" t="s">
        <v>199</v>
      </c>
    </row>
    <row r="56" spans="1:4" x14ac:dyDescent="0.3">
      <c r="A56" t="s">
        <v>244</v>
      </c>
      <c r="B56" t="s">
        <v>153</v>
      </c>
      <c r="C56" t="s">
        <v>68</v>
      </c>
      <c r="D56" t="s">
        <v>199</v>
      </c>
    </row>
    <row r="57" spans="1:4" x14ac:dyDescent="0.3">
      <c r="A57" t="s">
        <v>244</v>
      </c>
      <c r="B57" t="s">
        <v>153</v>
      </c>
      <c r="C57" t="s">
        <v>69</v>
      </c>
      <c r="D57" t="s">
        <v>590</v>
      </c>
    </row>
    <row r="58" spans="1:4" x14ac:dyDescent="0.3">
      <c r="A58" t="s">
        <v>244</v>
      </c>
      <c r="B58" t="s">
        <v>153</v>
      </c>
      <c r="C58" t="s">
        <v>70</v>
      </c>
      <c r="D58" t="s">
        <v>590</v>
      </c>
    </row>
    <row r="59" spans="1:4" x14ac:dyDescent="0.3">
      <c r="A59" t="s">
        <v>247</v>
      </c>
      <c r="B59" t="s">
        <v>49</v>
      </c>
      <c r="C59" t="s">
        <v>81</v>
      </c>
      <c r="D59" t="s">
        <v>576</v>
      </c>
    </row>
    <row r="60" spans="1:4" x14ac:dyDescent="0.3">
      <c r="A60" t="s">
        <v>247</v>
      </c>
      <c r="B60" t="s">
        <v>49</v>
      </c>
      <c r="C60" t="s">
        <v>82</v>
      </c>
      <c r="D60" t="s">
        <v>577</v>
      </c>
    </row>
    <row r="61" spans="1:4" x14ac:dyDescent="0.3">
      <c r="A61" t="s">
        <v>247</v>
      </c>
      <c r="B61" t="s">
        <v>49</v>
      </c>
      <c r="C61" t="s">
        <v>51</v>
      </c>
      <c r="D61" t="s">
        <v>575</v>
      </c>
    </row>
    <row r="62" spans="1:4" x14ac:dyDescent="0.3">
      <c r="A62" t="s">
        <v>247</v>
      </c>
      <c r="B62" t="s">
        <v>136</v>
      </c>
      <c r="C62" t="s">
        <v>86</v>
      </c>
      <c r="D62" t="s">
        <v>646</v>
      </c>
    </row>
    <row r="63" spans="1:4" x14ac:dyDescent="0.3">
      <c r="A63" t="s">
        <v>242</v>
      </c>
      <c r="B63" t="s">
        <v>49</v>
      </c>
      <c r="C63" t="s">
        <v>44</v>
      </c>
      <c r="D63" t="s">
        <v>646</v>
      </c>
    </row>
    <row r="64" spans="1:4" x14ac:dyDescent="0.3">
      <c r="A64" t="s">
        <v>242</v>
      </c>
      <c r="B64" t="s">
        <v>371</v>
      </c>
      <c r="C64" t="s">
        <v>16</v>
      </c>
      <c r="D64" t="s">
        <v>587</v>
      </c>
    </row>
    <row r="65" spans="1:4" x14ac:dyDescent="0.3">
      <c r="A65" t="s">
        <v>242</v>
      </c>
      <c r="B65" t="s">
        <v>371</v>
      </c>
      <c r="C65" t="s">
        <v>18</v>
      </c>
      <c r="D65" t="s">
        <v>588</v>
      </c>
    </row>
    <row r="66" spans="1:4" x14ac:dyDescent="0.3">
      <c r="A66" t="s">
        <v>242</v>
      </c>
      <c r="B66" t="s">
        <v>371</v>
      </c>
      <c r="C66" t="s">
        <v>19</v>
      </c>
      <c r="D66" t="s">
        <v>589</v>
      </c>
    </row>
    <row r="67" spans="1:4" x14ac:dyDescent="0.3">
      <c r="A67" t="s">
        <v>242</v>
      </c>
      <c r="B67" t="s">
        <v>371</v>
      </c>
      <c r="C67" t="s">
        <v>23</v>
      </c>
      <c r="D67" t="s">
        <v>585</v>
      </c>
    </row>
    <row r="68" spans="1:4" x14ac:dyDescent="0.3">
      <c r="A68" t="s">
        <v>242</v>
      </c>
      <c r="B68" t="s">
        <v>371</v>
      </c>
      <c r="C68" t="s">
        <v>24</v>
      </c>
      <c r="D68" t="s">
        <v>197</v>
      </c>
    </row>
    <row r="69" spans="1:4" x14ac:dyDescent="0.3">
      <c r="A69" t="s">
        <v>242</v>
      </c>
      <c r="B69" t="s">
        <v>371</v>
      </c>
      <c r="C69" t="s">
        <v>25</v>
      </c>
      <c r="D69" t="s">
        <v>197</v>
      </c>
    </row>
    <row r="70" spans="1:4" x14ac:dyDescent="0.3">
      <c r="A70" t="s">
        <v>242</v>
      </c>
      <c r="B70" t="s">
        <v>371</v>
      </c>
      <c r="C70" t="s">
        <v>37</v>
      </c>
      <c r="D70" t="s">
        <v>586</v>
      </c>
    </row>
    <row r="71" spans="1:4" x14ac:dyDescent="0.3">
      <c r="A71" t="s">
        <v>242</v>
      </c>
      <c r="B71" t="s">
        <v>371</v>
      </c>
      <c r="C71" t="s">
        <v>38</v>
      </c>
      <c r="D71" t="s">
        <v>403</v>
      </c>
    </row>
    <row r="72" spans="1:4" x14ac:dyDescent="0.3">
      <c r="A72" t="s">
        <v>242</v>
      </c>
      <c r="B72" t="s">
        <v>371</v>
      </c>
      <c r="C72" t="s">
        <v>39</v>
      </c>
      <c r="D72" t="s">
        <v>196</v>
      </c>
    </row>
    <row r="73" spans="1:4" x14ac:dyDescent="0.3">
      <c r="A73" t="s">
        <v>242</v>
      </c>
      <c r="B73" t="s">
        <v>371</v>
      </c>
      <c r="C73" t="s">
        <v>33</v>
      </c>
      <c r="D73" t="s">
        <v>314</v>
      </c>
    </row>
    <row r="74" spans="1:4" x14ac:dyDescent="0.3">
      <c r="A74" t="s">
        <v>242</v>
      </c>
      <c r="B74" t="s">
        <v>371</v>
      </c>
      <c r="C74" t="s">
        <v>35</v>
      </c>
      <c r="D74" t="s">
        <v>314</v>
      </c>
    </row>
    <row r="75" spans="1:4" x14ac:dyDescent="0.3">
      <c r="A75" t="s">
        <v>242</v>
      </c>
      <c r="B75" t="s">
        <v>371</v>
      </c>
      <c r="C75" t="s">
        <v>36</v>
      </c>
      <c r="D75" t="s">
        <v>294</v>
      </c>
    </row>
    <row r="76" spans="1:4" x14ac:dyDescent="0.3">
      <c r="A76" t="s">
        <v>242</v>
      </c>
      <c r="B76" t="s">
        <v>28</v>
      </c>
      <c r="C76" t="s">
        <v>30</v>
      </c>
      <c r="D76" t="s">
        <v>584</v>
      </c>
    </row>
    <row r="77" spans="1:4" x14ac:dyDescent="0.3">
      <c r="A77" t="s">
        <v>242</v>
      </c>
      <c r="B77" t="s">
        <v>28</v>
      </c>
      <c r="C77" t="s">
        <v>32</v>
      </c>
      <c r="D77" t="s">
        <v>584</v>
      </c>
    </row>
    <row r="78" spans="1:4" x14ac:dyDescent="0.3">
      <c r="A78" t="s">
        <v>242</v>
      </c>
      <c r="B78" t="s">
        <v>34</v>
      </c>
      <c r="C78" t="s">
        <v>40</v>
      </c>
      <c r="D78" t="s">
        <v>173</v>
      </c>
    </row>
    <row r="79" spans="1:4" x14ac:dyDescent="0.3">
      <c r="A79" t="s">
        <v>242</v>
      </c>
      <c r="B79" t="s">
        <v>34</v>
      </c>
      <c r="C79" t="s">
        <v>41</v>
      </c>
      <c r="D79" t="s">
        <v>173</v>
      </c>
    </row>
    <row r="80" spans="1:4" x14ac:dyDescent="0.3">
      <c r="A80" t="s">
        <v>242</v>
      </c>
      <c r="B80" t="s">
        <v>34</v>
      </c>
      <c r="C80" t="s">
        <v>42</v>
      </c>
      <c r="D80" t="s">
        <v>598</v>
      </c>
    </row>
    <row r="81" spans="1:4" x14ac:dyDescent="0.3">
      <c r="A81" t="s">
        <v>242</v>
      </c>
      <c r="B81" t="s">
        <v>34</v>
      </c>
      <c r="C81" t="s">
        <v>43</v>
      </c>
      <c r="D81" t="s">
        <v>598</v>
      </c>
    </row>
    <row r="82" spans="1:4" x14ac:dyDescent="0.3">
      <c r="A82" t="s">
        <v>126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5">
    <tabColor rgb="FF00FF00"/>
  </sheetPr>
  <dimension ref="A1:C13"/>
  <sheetViews>
    <sheetView workbookViewId="0">
      <selection activeCell="C15" sqref="C15"/>
    </sheetView>
  </sheetViews>
  <sheetFormatPr baseColWidth="10" defaultRowHeight="14.4" x14ac:dyDescent="0.3"/>
  <cols>
    <col min="1" max="1" width="18.88671875" customWidth="1"/>
    <col min="2" max="2" width="20.33203125" customWidth="1"/>
    <col min="3" max="3" width="30.77734375" bestFit="1" customWidth="1"/>
  </cols>
  <sheetData>
    <row r="1" spans="1:3" x14ac:dyDescent="0.3">
      <c r="A1" t="s">
        <v>679</v>
      </c>
      <c r="B1" t="s">
        <v>498</v>
      </c>
      <c r="C1" t="s">
        <v>665</v>
      </c>
    </row>
    <row r="2" spans="1:3" x14ac:dyDescent="0.3">
      <c r="A2" t="s">
        <v>680</v>
      </c>
      <c r="B2" t="s">
        <v>664</v>
      </c>
      <c r="C2" t="s">
        <v>666</v>
      </c>
    </row>
    <row r="3" spans="1:3" x14ac:dyDescent="0.3">
      <c r="A3" t="s">
        <v>680</v>
      </c>
      <c r="B3" t="s">
        <v>664</v>
      </c>
      <c r="C3" t="s">
        <v>667</v>
      </c>
    </row>
    <row r="4" spans="1:3" x14ac:dyDescent="0.3">
      <c r="A4" t="s">
        <v>680</v>
      </c>
      <c r="B4" t="s">
        <v>664</v>
      </c>
      <c r="C4" t="s">
        <v>668</v>
      </c>
    </row>
    <row r="5" spans="1:3" x14ac:dyDescent="0.3">
      <c r="A5" t="s">
        <v>680</v>
      </c>
      <c r="B5" t="s">
        <v>664</v>
      </c>
      <c r="C5" t="s">
        <v>669</v>
      </c>
    </row>
    <row r="6" spans="1:3" x14ac:dyDescent="0.3">
      <c r="A6" t="s">
        <v>680</v>
      </c>
      <c r="B6" t="s">
        <v>664</v>
      </c>
      <c r="C6" t="s">
        <v>670</v>
      </c>
    </row>
    <row r="7" spans="1:3" x14ac:dyDescent="0.3">
      <c r="A7" t="s">
        <v>680</v>
      </c>
      <c r="B7" t="s">
        <v>671</v>
      </c>
      <c r="C7" t="s">
        <v>672</v>
      </c>
    </row>
    <row r="8" spans="1:3" x14ac:dyDescent="0.3">
      <c r="A8" t="s">
        <v>680</v>
      </c>
      <c r="B8" t="s">
        <v>671</v>
      </c>
      <c r="C8" t="s">
        <v>676</v>
      </c>
    </row>
    <row r="9" spans="1:3" x14ac:dyDescent="0.3">
      <c r="A9" t="s">
        <v>680</v>
      </c>
      <c r="B9" t="s">
        <v>671</v>
      </c>
      <c r="C9" t="s">
        <v>673</v>
      </c>
    </row>
    <row r="10" spans="1:3" x14ac:dyDescent="0.3">
      <c r="A10" t="s">
        <v>680</v>
      </c>
      <c r="B10" t="s">
        <v>671</v>
      </c>
      <c r="C10" t="s">
        <v>674</v>
      </c>
    </row>
    <row r="11" spans="1:3" x14ac:dyDescent="0.3">
      <c r="A11" t="s">
        <v>680</v>
      </c>
      <c r="B11" t="s">
        <v>671</v>
      </c>
      <c r="C11" t="s">
        <v>675</v>
      </c>
    </row>
    <row r="12" spans="1:3" x14ac:dyDescent="0.3">
      <c r="A12" t="s">
        <v>680</v>
      </c>
      <c r="B12" t="s">
        <v>671</v>
      </c>
      <c r="C12" t="s">
        <v>677</v>
      </c>
    </row>
    <row r="13" spans="1:3" x14ac:dyDescent="0.3">
      <c r="A13" t="s">
        <v>680</v>
      </c>
      <c r="B13" t="s">
        <v>664</v>
      </c>
      <c r="C13" t="s">
        <v>678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51">
    <tabColor rgb="FF00FF00"/>
  </sheetPr>
  <dimension ref="A1:J94"/>
  <sheetViews>
    <sheetView tabSelected="1" zoomScale="80" zoomScaleNormal="80"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H23" sqref="H23"/>
    </sheetView>
  </sheetViews>
  <sheetFormatPr baseColWidth="10" defaultRowHeight="14.4" x14ac:dyDescent="0.3"/>
  <cols>
    <col min="1" max="1" width="12" bestFit="1" customWidth="1"/>
    <col min="2" max="2" width="17.21875" bestFit="1" customWidth="1"/>
    <col min="3" max="3" width="14.44140625" bestFit="1" customWidth="1"/>
    <col min="4" max="4" width="10.44140625" bestFit="1" customWidth="1"/>
    <col min="5" max="5" width="13.33203125" bestFit="1" customWidth="1"/>
    <col min="6" max="6" width="17.21875" bestFit="1" customWidth="1"/>
    <col min="7" max="7" width="16.109375" bestFit="1" customWidth="1"/>
    <col min="8" max="8" width="22.77734375" bestFit="1" customWidth="1"/>
    <col min="9" max="9" width="17.44140625" bestFit="1" customWidth="1"/>
    <col min="10" max="10" width="13.77734375" bestFit="1" customWidth="1"/>
  </cols>
  <sheetData>
    <row r="1" spans="1:10" ht="15.6" x14ac:dyDescent="0.3">
      <c r="A1" s="212" t="s">
        <v>539</v>
      </c>
      <c r="B1" s="212" t="s">
        <v>114</v>
      </c>
      <c r="C1" s="213" t="s">
        <v>115</v>
      </c>
      <c r="D1" s="212" t="s">
        <v>256</v>
      </c>
      <c r="E1" s="212" t="s">
        <v>528</v>
      </c>
      <c r="F1" s="213" t="s">
        <v>5</v>
      </c>
      <c r="G1" s="213" t="s">
        <v>1</v>
      </c>
      <c r="H1" s="213" t="s">
        <v>378</v>
      </c>
      <c r="I1" s="215" t="s">
        <v>210</v>
      </c>
      <c r="J1" s="220" t="s">
        <v>471</v>
      </c>
    </row>
    <row r="2" spans="1:10" ht="14.55" customHeight="1" x14ac:dyDescent="0.3">
      <c r="A2" s="186" t="str">
        <f>"PU/26."&amp;MAESTRO_LOTES_26[[#This Row],[FUNDO]]&amp;"."&amp;MAESTRO_LOTES_26[[#This Row],[LOTE]]</f>
        <v>PU/26.T8.A01</v>
      </c>
      <c r="B2" s="186" t="s">
        <v>599</v>
      </c>
      <c r="C2" s="260" t="s">
        <v>71</v>
      </c>
      <c r="D2" s="186" t="s">
        <v>244</v>
      </c>
      <c r="E2" s="186" t="str">
        <f>VLOOKUP(MAESTRO_LOTES_26[[#This Row],[VAR]],FUNDOS!$B$2:$C$19,2,FALSE)</f>
        <v>T8</v>
      </c>
      <c r="F2" s="1" t="s">
        <v>49</v>
      </c>
      <c r="G2" s="2" t="s">
        <v>7</v>
      </c>
      <c r="H2" s="99">
        <v>44036</v>
      </c>
      <c r="I2" s="75" t="s">
        <v>9</v>
      </c>
      <c r="J2" s="331" t="s">
        <v>487</v>
      </c>
    </row>
    <row r="3" spans="1:10" ht="14.55" customHeight="1" x14ac:dyDescent="0.3">
      <c r="A3" s="186" t="str">
        <f>"PU/26."&amp;MAESTRO_LOTES_26[[#This Row],[FUNDO]]&amp;"."&amp;MAESTRO_LOTES_26[[#This Row],[LOTE]]</f>
        <v>PU/26.T8.A02</v>
      </c>
      <c r="B3" s="186" t="s">
        <v>599</v>
      </c>
      <c r="C3" s="260" t="s">
        <v>72</v>
      </c>
      <c r="D3" s="186" t="s">
        <v>244</v>
      </c>
      <c r="E3" s="186" t="str">
        <f>VLOOKUP(MAESTRO_LOTES_26[[#This Row],[VAR]],FUNDOS!$B$2:$C$19,2,FALSE)</f>
        <v>T8</v>
      </c>
      <c r="F3" s="1" t="s">
        <v>49</v>
      </c>
      <c r="G3" s="2" t="s">
        <v>7</v>
      </c>
      <c r="H3" s="99">
        <v>44039</v>
      </c>
      <c r="I3" s="75" t="s">
        <v>9</v>
      </c>
      <c r="J3" s="331" t="s">
        <v>487</v>
      </c>
    </row>
    <row r="4" spans="1:10" ht="14.55" customHeight="1" x14ac:dyDescent="0.3">
      <c r="A4" s="186" t="str">
        <f>"PU/26."&amp;MAESTRO_LOTES_26[[#This Row],[FUNDO]]&amp;"."&amp;MAESTRO_LOTES_26[[#This Row],[LOTE]]</f>
        <v>PU/26.T8.A03</v>
      </c>
      <c r="B4" s="186" t="s">
        <v>599</v>
      </c>
      <c r="C4" s="260" t="s">
        <v>73</v>
      </c>
      <c r="D4" s="186" t="s">
        <v>244</v>
      </c>
      <c r="E4" s="186" t="str">
        <f>VLOOKUP(MAESTRO_LOTES_26[[#This Row],[VAR]],FUNDOS!$B$2:$C$19,2,FALSE)</f>
        <v>T8</v>
      </c>
      <c r="F4" s="1" t="s">
        <v>49</v>
      </c>
      <c r="G4" s="2" t="s">
        <v>7</v>
      </c>
      <c r="H4" s="99">
        <v>44105</v>
      </c>
      <c r="I4" s="75" t="s">
        <v>9</v>
      </c>
      <c r="J4" s="331" t="s">
        <v>487</v>
      </c>
    </row>
    <row r="5" spans="1:10" ht="14.55" customHeight="1" x14ac:dyDescent="0.3">
      <c r="A5" s="186" t="str">
        <f>"IU/25."&amp;MAESTRO_LOTES_26[[#This Row],[FUNDO]]&amp;"."&amp;MAESTRO_LOTES_26[[#This Row],[LOTE]]</f>
        <v>IU/25.TF.A04</v>
      </c>
      <c r="B5" s="186" t="s">
        <v>418</v>
      </c>
      <c r="C5" s="305" t="s">
        <v>6</v>
      </c>
      <c r="D5" s="186" t="s">
        <v>527</v>
      </c>
      <c r="E5" s="187" t="str">
        <f>VLOOKUP(MAESTRO_LOTES_26[[#This Row],[VAR]],FUNDOS!$B$2:$C$19,2,FALSE)</f>
        <v>TF</v>
      </c>
      <c r="F5" s="1" t="s">
        <v>49</v>
      </c>
      <c r="G5" s="2" t="s">
        <v>370</v>
      </c>
      <c r="H5" s="286">
        <v>45870</v>
      </c>
      <c r="I5" s="75" t="s">
        <v>9</v>
      </c>
      <c r="J5" s="331" t="s">
        <v>487</v>
      </c>
    </row>
    <row r="6" spans="1:10" ht="14.55" customHeight="1" x14ac:dyDescent="0.3">
      <c r="A6" s="186" t="str">
        <f>"IU/25."&amp;MAESTRO_LOTES_26[[#This Row],[FUNDO]]&amp;"."&amp;MAESTRO_LOTES_26[[#This Row],[LOTE]]</f>
        <v>IU/25.TF.A05</v>
      </c>
      <c r="B6" s="186" t="s">
        <v>418</v>
      </c>
      <c r="C6" s="305" t="s">
        <v>11</v>
      </c>
      <c r="D6" s="186" t="s">
        <v>527</v>
      </c>
      <c r="E6" s="187" t="str">
        <f>VLOOKUP(MAESTRO_LOTES_26[[#This Row],[VAR]],FUNDOS!$B$2:$C$19,2,FALSE)</f>
        <v>TF</v>
      </c>
      <c r="F6" s="1" t="s">
        <v>49</v>
      </c>
      <c r="G6" s="2" t="s">
        <v>370</v>
      </c>
      <c r="H6" s="286">
        <v>45870</v>
      </c>
      <c r="I6" s="75" t="s">
        <v>9</v>
      </c>
      <c r="J6" s="331" t="s">
        <v>487</v>
      </c>
    </row>
    <row r="7" spans="1:10" ht="14.55" customHeight="1" x14ac:dyDescent="0.3">
      <c r="A7" s="186" t="str">
        <f>"IU/25."&amp;MAESTRO_LOTES_26[[#This Row],[FUNDO]]&amp;"."&amp;MAESTRO_LOTES_26[[#This Row],[LOTE]]</f>
        <v>IU/25.TF.A06</v>
      </c>
      <c r="B7" s="186" t="s">
        <v>418</v>
      </c>
      <c r="C7" s="305" t="s">
        <v>13</v>
      </c>
      <c r="D7" s="186" t="s">
        <v>527</v>
      </c>
      <c r="E7" s="187" t="str">
        <f>VLOOKUP(MAESTRO_LOTES_26[[#This Row],[VAR]],FUNDOS!$B$2:$C$19,2,FALSE)</f>
        <v>TF</v>
      </c>
      <c r="F7" s="1" t="s">
        <v>49</v>
      </c>
      <c r="G7" s="2" t="s">
        <v>370</v>
      </c>
      <c r="H7" s="286">
        <v>45870</v>
      </c>
      <c r="I7" s="75" t="s">
        <v>9</v>
      </c>
      <c r="J7" s="331" t="s">
        <v>487</v>
      </c>
    </row>
    <row r="8" spans="1:10" ht="14.55" customHeight="1" x14ac:dyDescent="0.3">
      <c r="A8" s="186" t="str">
        <f>"PU/26."&amp;MAESTRO_LOTES_26[[#This Row],[FUNDO]]&amp;"."&amp;MAESTRO_LOTES_26[[#This Row],[LOTE]]</f>
        <v>PU/26.TT.A12</v>
      </c>
      <c r="B8" s="186" t="s">
        <v>163</v>
      </c>
      <c r="C8" s="260" t="s">
        <v>99</v>
      </c>
      <c r="D8" s="186" t="s">
        <v>245</v>
      </c>
      <c r="E8" s="186" t="str">
        <f>VLOOKUP(MAESTRO_LOTES_26[[#This Row],[VAR]],FUNDOS!$B$2:$C$19,2,FALSE)</f>
        <v>TT</v>
      </c>
      <c r="F8" s="1" t="s">
        <v>136</v>
      </c>
      <c r="G8" s="2" t="s">
        <v>7</v>
      </c>
      <c r="H8" s="99">
        <v>44809</v>
      </c>
      <c r="I8" s="230" t="s">
        <v>645</v>
      </c>
      <c r="J8" s="331" t="s">
        <v>489</v>
      </c>
    </row>
    <row r="9" spans="1:10" ht="14.55" customHeight="1" x14ac:dyDescent="0.3">
      <c r="A9" s="186" t="str">
        <f>"PU/26."&amp;MAESTRO_LOTES_26[[#This Row],[FUNDO]]&amp;"."&amp;MAESTRO_LOTES_26[[#This Row],[LOTE]]</f>
        <v>PU/26.TT.A13</v>
      </c>
      <c r="B9" s="186" t="s">
        <v>163</v>
      </c>
      <c r="C9" s="260" t="s">
        <v>100</v>
      </c>
      <c r="D9" s="186" t="s">
        <v>245</v>
      </c>
      <c r="E9" s="186" t="str">
        <f>VLOOKUP(MAESTRO_LOTES_26[[#This Row],[VAR]],FUNDOS!$B$2:$C$19,2,FALSE)</f>
        <v>TT</v>
      </c>
      <c r="F9" s="1" t="s">
        <v>136</v>
      </c>
      <c r="G9" s="2" t="s">
        <v>7</v>
      </c>
      <c r="H9" s="99">
        <v>44812</v>
      </c>
      <c r="I9" s="75" t="s">
        <v>645</v>
      </c>
      <c r="J9" s="331" t="s">
        <v>489</v>
      </c>
    </row>
    <row r="10" spans="1:10" ht="14.55" customHeight="1" x14ac:dyDescent="0.3">
      <c r="A10" s="186" t="str">
        <f>"PU/26."&amp;MAESTRO_LOTES_26[[#This Row],[FUNDO]]&amp;"."&amp;MAESTRO_LOTES_26[[#This Row],[LOTE]]</f>
        <v>PU/26.TS.B01</v>
      </c>
      <c r="B10" s="186" t="s">
        <v>112</v>
      </c>
      <c r="C10" s="260" t="s">
        <v>81</v>
      </c>
      <c r="D10" s="186" t="s">
        <v>247</v>
      </c>
      <c r="E10" s="186" t="str">
        <f>VLOOKUP(MAESTRO_LOTES_26[[#This Row],[VAR]],FUNDOS!$B$2:$C$19,2,FALSE)</f>
        <v>TS</v>
      </c>
      <c r="F10" s="1" t="s">
        <v>49</v>
      </c>
      <c r="G10" s="2" t="s">
        <v>7</v>
      </c>
      <c r="H10" s="99">
        <v>44041</v>
      </c>
      <c r="I10" s="75" t="s">
        <v>9</v>
      </c>
      <c r="J10" s="331" t="s">
        <v>487</v>
      </c>
    </row>
    <row r="11" spans="1:10" ht="14.55" customHeight="1" x14ac:dyDescent="0.3">
      <c r="A11" s="186" t="str">
        <f>"IU/25."&amp;MAESTRO_LOTES_26[[#This Row],[FUNDO]]&amp;"."&amp;MAESTRO_LOTES_26[[#This Row],[LOTE]]</f>
        <v>IU/25.TS.B02</v>
      </c>
      <c r="B11" s="186" t="s">
        <v>112</v>
      </c>
      <c r="C11" s="305" t="s">
        <v>82</v>
      </c>
      <c r="D11" s="186" t="s">
        <v>247</v>
      </c>
      <c r="E11" s="186" t="str">
        <f>VLOOKUP(MAESTRO_LOTES_26[[#This Row],[VAR]],FUNDOS!$B$2:$C$19,2,FALSE)</f>
        <v>TS</v>
      </c>
      <c r="F11" s="1" t="s">
        <v>49</v>
      </c>
      <c r="G11" s="2" t="s">
        <v>370</v>
      </c>
      <c r="H11" s="286">
        <v>45870</v>
      </c>
      <c r="I11" s="75" t="s">
        <v>9</v>
      </c>
      <c r="J11" s="331" t="s">
        <v>487</v>
      </c>
    </row>
    <row r="12" spans="1:10" ht="14.55" customHeight="1" x14ac:dyDescent="0.3">
      <c r="A12" s="186" t="str">
        <f>"PU/26."&amp;MAESTRO_LOTES_26[[#This Row],[FUNDO]]&amp;"."&amp;MAESTRO_LOTES_26[[#This Row],[LOTE]]</f>
        <v>PU/26.TS.B02</v>
      </c>
      <c r="B12" s="186" t="s">
        <v>112</v>
      </c>
      <c r="C12" s="260" t="s">
        <v>82</v>
      </c>
      <c r="D12" s="186" t="s">
        <v>247</v>
      </c>
      <c r="E12" s="186" t="str">
        <f>VLOOKUP(MAESTRO_LOTES_26[[#This Row],[VAR]],FUNDOS!$B$2:$C$19,2,FALSE)</f>
        <v>TS</v>
      </c>
      <c r="F12" s="1" t="s">
        <v>49</v>
      </c>
      <c r="G12" s="2" t="s">
        <v>7</v>
      </c>
      <c r="H12" s="99">
        <v>44044</v>
      </c>
      <c r="I12" s="75" t="s">
        <v>9</v>
      </c>
      <c r="J12" s="331" t="s">
        <v>487</v>
      </c>
    </row>
    <row r="13" spans="1:10" x14ac:dyDescent="0.3">
      <c r="A13" s="186" t="str">
        <f>"PU/26."&amp;MAESTRO_LOTES_26[[#This Row],[FUNDO]]&amp;"."&amp;MAESTRO_LOTES_26[[#This Row],[LOTE]]</f>
        <v>PU/26.TS.B03</v>
      </c>
      <c r="B13" s="186" t="s">
        <v>112</v>
      </c>
      <c r="C13" s="260" t="s">
        <v>51</v>
      </c>
      <c r="D13" s="186" t="s">
        <v>247</v>
      </c>
      <c r="E13" s="186" t="str">
        <f>VLOOKUP(MAESTRO_LOTES_26[[#This Row],[VAR]],FUNDOS!$B$2:$C$19,2,FALSE)</f>
        <v>TS</v>
      </c>
      <c r="F13" s="1" t="s">
        <v>49</v>
      </c>
      <c r="G13" s="2" t="s">
        <v>7</v>
      </c>
      <c r="H13" s="99">
        <v>44410</v>
      </c>
      <c r="I13" s="75" t="s">
        <v>9</v>
      </c>
      <c r="J13" s="331" t="s">
        <v>487</v>
      </c>
    </row>
    <row r="14" spans="1:10" ht="14.55" customHeight="1" x14ac:dyDescent="0.3">
      <c r="A14" s="186" t="str">
        <f>"IU/25."&amp;MAESTRO_LOTES_26[[#This Row],[FUNDO]]&amp;"."&amp;MAESTRO_LOTES_26[[#This Row],[LOTE]]</f>
        <v>IU/25.TS.B03</v>
      </c>
      <c r="B14" s="186" t="s">
        <v>112</v>
      </c>
      <c r="C14" s="305" t="s">
        <v>51</v>
      </c>
      <c r="D14" s="186" t="s">
        <v>247</v>
      </c>
      <c r="E14" s="186" t="str">
        <f>VLOOKUP(MAESTRO_LOTES_26[[#This Row],[VAR]],FUNDOS!$B$2:$C$19,2,FALSE)</f>
        <v>TS</v>
      </c>
      <c r="F14" s="1" t="s">
        <v>49</v>
      </c>
      <c r="G14" s="2" t="s">
        <v>370</v>
      </c>
      <c r="H14" s="286">
        <v>45870</v>
      </c>
      <c r="I14" s="75" t="s">
        <v>9</v>
      </c>
      <c r="J14" s="331" t="s">
        <v>487</v>
      </c>
    </row>
    <row r="15" spans="1:10" ht="14.55" customHeight="1" x14ac:dyDescent="0.3">
      <c r="A15" s="186" t="str">
        <f>"PU/26."&amp;MAESTRO_LOTES_26[[#This Row],[FUNDO]]&amp;"."&amp;MAESTRO_LOTES_26[[#This Row],[LOTE]]</f>
        <v>PU/26.T4.B04</v>
      </c>
      <c r="B15" s="187" t="s">
        <v>105</v>
      </c>
      <c r="C15" s="260" t="s">
        <v>44</v>
      </c>
      <c r="D15" s="187" t="s">
        <v>242</v>
      </c>
      <c r="E15" s="187" t="str">
        <f>VLOOKUP(MAESTRO_LOTES_26[[#This Row],[VAR]],FUNDOS!$B$2:$C$19,2,FALSE)</f>
        <v>T4</v>
      </c>
      <c r="F15" s="1" t="s">
        <v>49</v>
      </c>
      <c r="G15" s="2" t="s">
        <v>7</v>
      </c>
      <c r="H15" s="99">
        <v>44778</v>
      </c>
      <c r="I15" s="75" t="s">
        <v>9</v>
      </c>
      <c r="J15" s="331" t="s">
        <v>487</v>
      </c>
    </row>
    <row r="16" spans="1:10" ht="14.55" customHeight="1" x14ac:dyDescent="0.3">
      <c r="A16" s="192"/>
      <c r="B16" s="186" t="s">
        <v>105</v>
      </c>
      <c r="C16" s="260" t="s">
        <v>14</v>
      </c>
      <c r="D16" s="187" t="s">
        <v>242</v>
      </c>
      <c r="E16" s="187" t="str">
        <f>VLOOKUP(MAESTRO_LOTES_26[[#This Row],[VAR]],FUNDOS!$B$2:$C$19,2,FALSE)</f>
        <v>T4</v>
      </c>
      <c r="F16" s="1" t="s">
        <v>49</v>
      </c>
      <c r="G16" s="2" t="s">
        <v>638</v>
      </c>
      <c r="H16" s="286">
        <v>45870</v>
      </c>
      <c r="I16" s="75" t="s">
        <v>9</v>
      </c>
      <c r="J16" s="331" t="s">
        <v>487</v>
      </c>
    </row>
    <row r="17" spans="1:10" ht="14.55" customHeight="1" x14ac:dyDescent="0.3">
      <c r="A17" s="192" t="str">
        <f>"IU/25."&amp;MAESTRO_LOTES_26[[#This Row],[FUNDO]]&amp;"."&amp;MAESTRO_LOTES_26[[#This Row],[LOTE]]</f>
        <v>IU/25.TF.B06</v>
      </c>
      <c r="B17" s="186" t="s">
        <v>418</v>
      </c>
      <c r="C17" s="305" t="s">
        <v>15</v>
      </c>
      <c r="D17" s="186" t="s">
        <v>527</v>
      </c>
      <c r="E17" s="187" t="str">
        <f>VLOOKUP(MAESTRO_LOTES_26[[#This Row],[VAR]],FUNDOS!$B$2:$C$19,2,FALSE)</f>
        <v>TF</v>
      </c>
      <c r="F17" s="1" t="s">
        <v>49</v>
      </c>
      <c r="G17" s="2" t="s">
        <v>370</v>
      </c>
      <c r="H17" s="286">
        <v>45870</v>
      </c>
      <c r="I17" s="75" t="s">
        <v>9</v>
      </c>
      <c r="J17" s="331" t="s">
        <v>487</v>
      </c>
    </row>
    <row r="18" spans="1:10" ht="14.55" customHeight="1" x14ac:dyDescent="0.3">
      <c r="A18" s="186" t="str">
        <f>"PU/26."&amp;MAESTRO_LOTES_26[[#This Row],[FUNDO]]&amp;"."&amp;MAESTRO_LOTES_26[[#This Row],[LOTE]]</f>
        <v>PU/26.T9.B07</v>
      </c>
      <c r="B18" s="186" t="s">
        <v>109</v>
      </c>
      <c r="C18" s="260" t="s">
        <v>59</v>
      </c>
      <c r="D18" s="186" t="s">
        <v>246</v>
      </c>
      <c r="E18" s="186" t="str">
        <f>VLOOKUP(MAESTRO_LOTES_26[[#This Row],[VAR]],FUNDOS!$B$2:$C$19,2,FALSE)</f>
        <v>T9</v>
      </c>
      <c r="F18" s="1" t="s">
        <v>49</v>
      </c>
      <c r="G18" s="2" t="s">
        <v>7</v>
      </c>
      <c r="H18" s="99">
        <v>43442</v>
      </c>
      <c r="I18" s="75" t="s">
        <v>9</v>
      </c>
      <c r="J18" s="331" t="s">
        <v>487</v>
      </c>
    </row>
    <row r="19" spans="1:10" ht="14.55" customHeight="1" x14ac:dyDescent="0.3">
      <c r="A19" s="192" t="str">
        <f>"IU/25."&amp;MAESTRO_LOTES_26[[#This Row],[FUNDO]]&amp;"."&amp;MAESTRO_LOTES_26[[#This Row],[LOTE]]</f>
        <v>IU/25.T9.B08</v>
      </c>
      <c r="B19" s="186" t="s">
        <v>109</v>
      </c>
      <c r="C19" s="305" t="s">
        <v>363</v>
      </c>
      <c r="D19" s="186" t="s">
        <v>246</v>
      </c>
      <c r="E19" s="186" t="str">
        <f>VLOOKUP(MAESTRO_LOTES_26[[#This Row],[VAR]],FUNDOS!$B$2:$C$19,2,FALSE)</f>
        <v>T9</v>
      </c>
      <c r="F19" s="1" t="s">
        <v>49</v>
      </c>
      <c r="G19" s="2" t="s">
        <v>370</v>
      </c>
      <c r="H19" s="286">
        <v>45870</v>
      </c>
      <c r="I19" s="75" t="s">
        <v>9</v>
      </c>
      <c r="J19" s="331" t="s">
        <v>487</v>
      </c>
    </row>
    <row r="20" spans="1:10" ht="14.55" customHeight="1" x14ac:dyDescent="0.3">
      <c r="A20" s="192" t="str">
        <f>"IU/25."&amp;MAESTRO_LOTES_26[[#This Row],[FUNDO]]&amp;"."&amp;MAESTRO_LOTES_26[[#This Row],[LOTE]]</f>
        <v>IU/25.TH.B12</v>
      </c>
      <c r="B20" s="186" t="s">
        <v>117</v>
      </c>
      <c r="C20" s="288" t="s">
        <v>87</v>
      </c>
      <c r="D20" s="186" t="s">
        <v>243</v>
      </c>
      <c r="E20" s="186" t="str">
        <f>VLOOKUP(MAESTRO_LOTES_26[[#This Row],[VAR]],FUNDOS!$B$2:$C$19,2,FALSE)</f>
        <v>TH</v>
      </c>
      <c r="F20" s="1" t="s">
        <v>136</v>
      </c>
      <c r="G20" s="2" t="s">
        <v>370</v>
      </c>
      <c r="H20" s="286">
        <v>45870</v>
      </c>
      <c r="I20" s="75" t="s">
        <v>645</v>
      </c>
      <c r="J20" s="331" t="s">
        <v>489</v>
      </c>
    </row>
    <row r="21" spans="1:10" ht="14.55" customHeight="1" x14ac:dyDescent="0.3">
      <c r="A21" s="186" t="str">
        <f>"PU/26."&amp;MAESTRO_LOTES_26[[#This Row],[FUNDO]]&amp;"."&amp;MAESTRO_LOTES_26[[#This Row],[LOTE]]</f>
        <v>PU/26.TH.B13</v>
      </c>
      <c r="B21" s="186" t="s">
        <v>117</v>
      </c>
      <c r="C21" s="260" t="s">
        <v>45</v>
      </c>
      <c r="D21" s="186" t="s">
        <v>243</v>
      </c>
      <c r="E21" s="186" t="str">
        <f>VLOOKUP(MAESTRO_LOTES_26[[#This Row],[VAR]],FUNDOS!$B$2:$C$19,2,FALSE)</f>
        <v>TH</v>
      </c>
      <c r="F21" s="1" t="s">
        <v>136</v>
      </c>
      <c r="G21" s="2" t="s">
        <v>7</v>
      </c>
      <c r="H21" s="99">
        <v>45133</v>
      </c>
      <c r="I21" s="75" t="s">
        <v>645</v>
      </c>
      <c r="J21" s="331" t="s">
        <v>489</v>
      </c>
    </row>
    <row r="22" spans="1:10" ht="14.55" customHeight="1" x14ac:dyDescent="0.3">
      <c r="A22" s="186" t="str">
        <f>"PU/26."&amp;MAESTRO_LOTES_26[[#This Row],[FUNDO]]&amp;"."&amp;MAESTRO_LOTES_26[[#This Row],[LOTE]]</f>
        <v>PU/26.TH.B14</v>
      </c>
      <c r="B22" s="186" t="s">
        <v>117</v>
      </c>
      <c r="C22" s="260" t="s">
        <v>47</v>
      </c>
      <c r="D22" s="186" t="s">
        <v>243</v>
      </c>
      <c r="E22" s="186" t="str">
        <f>VLOOKUP(MAESTRO_LOTES_26[[#This Row],[VAR]],FUNDOS!$B$2:$C$19,2,FALSE)</f>
        <v>TH</v>
      </c>
      <c r="F22" s="1" t="s">
        <v>136</v>
      </c>
      <c r="G22" s="2" t="s">
        <v>7</v>
      </c>
      <c r="H22" s="99">
        <v>45141</v>
      </c>
      <c r="I22" s="75" t="s">
        <v>645</v>
      </c>
      <c r="J22" s="331" t="s">
        <v>489</v>
      </c>
    </row>
    <row r="23" spans="1:10" x14ac:dyDescent="0.3">
      <c r="A23" s="186" t="str">
        <f>"PU/26."&amp;MAESTRO_LOTES_26[[#This Row],[FUNDO]]&amp;"."&amp;MAESTRO_LOTES_26[[#This Row],[LOTE]]</f>
        <v>PU/26.TT.C01</v>
      </c>
      <c r="B23" s="186" t="s">
        <v>163</v>
      </c>
      <c r="C23" s="260" t="s">
        <v>93</v>
      </c>
      <c r="D23" s="186" t="s">
        <v>245</v>
      </c>
      <c r="E23" s="186" t="str">
        <f>VLOOKUP(MAESTRO_LOTES_26[[#This Row],[VAR]],FUNDOS!$B$2:$C$19,2,FALSE)</f>
        <v>TT</v>
      </c>
      <c r="F23" s="1" t="s">
        <v>153</v>
      </c>
      <c r="G23" s="2" t="s">
        <v>7</v>
      </c>
      <c r="H23" s="99">
        <v>44776</v>
      </c>
      <c r="I23" s="75" t="s">
        <v>9</v>
      </c>
      <c r="J23" s="331" t="s">
        <v>487</v>
      </c>
    </row>
    <row r="24" spans="1:10" ht="14.55" customHeight="1" x14ac:dyDescent="0.3">
      <c r="A24" s="186" t="str">
        <f>"PU/26."&amp;MAESTRO_LOTES_26[[#This Row],[FUNDO]]&amp;"."&amp;MAESTRO_LOTES_26[[#This Row],[LOTE]]</f>
        <v>PU/26.TT.C02</v>
      </c>
      <c r="B24" s="186" t="s">
        <v>163</v>
      </c>
      <c r="C24" s="260" t="s">
        <v>94</v>
      </c>
      <c r="D24" s="186" t="s">
        <v>245</v>
      </c>
      <c r="E24" s="186" t="str">
        <f>VLOOKUP(MAESTRO_LOTES_26[[#This Row],[VAR]],FUNDOS!$B$2:$C$19,2,FALSE)</f>
        <v>TT</v>
      </c>
      <c r="F24" s="1" t="s">
        <v>153</v>
      </c>
      <c r="G24" s="2" t="s">
        <v>7</v>
      </c>
      <c r="H24" s="99">
        <v>44769</v>
      </c>
      <c r="I24" s="75" t="s">
        <v>9</v>
      </c>
      <c r="J24" s="331" t="s">
        <v>487</v>
      </c>
    </row>
    <row r="25" spans="1:10" ht="14.55" customHeight="1" x14ac:dyDescent="0.3">
      <c r="A25" s="186" t="str">
        <f>"PU/26."&amp;MAESTRO_LOTES_26[[#This Row],[FUNDO]]&amp;"."&amp;MAESTRO_LOTES_26[[#This Row],[LOTE]]</f>
        <v>PU/26.TT.C03</v>
      </c>
      <c r="B25" s="186" t="s">
        <v>163</v>
      </c>
      <c r="C25" s="260" t="s">
        <v>95</v>
      </c>
      <c r="D25" s="186" t="s">
        <v>245</v>
      </c>
      <c r="E25" s="186" t="str">
        <f>VLOOKUP(MAESTRO_LOTES_26[[#This Row],[VAR]],FUNDOS!$B$2:$C$19,2,FALSE)</f>
        <v>TT</v>
      </c>
      <c r="F25" s="1" t="s">
        <v>153</v>
      </c>
      <c r="G25" s="2" t="s">
        <v>7</v>
      </c>
      <c r="H25" s="99">
        <v>44738</v>
      </c>
      <c r="I25" s="75" t="s">
        <v>9</v>
      </c>
      <c r="J25" s="331" t="s">
        <v>487</v>
      </c>
    </row>
    <row r="26" spans="1:10" ht="14.55" customHeight="1" x14ac:dyDescent="0.3">
      <c r="A26" s="186" t="str">
        <f>"PU/26."&amp;MAESTRO_LOTES_26[[#This Row],[FUNDO]]&amp;"."&amp;MAESTRO_LOTES_26[[#This Row],[LOTE]]</f>
        <v>PU/26.T4.C04</v>
      </c>
      <c r="B26" s="187" t="s">
        <v>105</v>
      </c>
      <c r="C26" s="260" t="s">
        <v>16</v>
      </c>
      <c r="D26" s="187" t="s">
        <v>242</v>
      </c>
      <c r="E26" s="187" t="str">
        <f>VLOOKUP(MAESTRO_LOTES_26[[#This Row],[VAR]],FUNDOS!$B$2:$C$19,2,FALSE)</f>
        <v>T4</v>
      </c>
      <c r="F26" s="1" t="s">
        <v>371</v>
      </c>
      <c r="G26" s="2" t="s">
        <v>7</v>
      </c>
      <c r="H26" s="99">
        <v>43087</v>
      </c>
      <c r="I26" s="75" t="s">
        <v>9</v>
      </c>
      <c r="J26" s="331" t="s">
        <v>487</v>
      </c>
    </row>
    <row r="27" spans="1:10" ht="14.55" customHeight="1" x14ac:dyDescent="0.3">
      <c r="A27" s="186" t="str">
        <f>"PU/26."&amp;MAESTRO_LOTES_26[[#This Row],[FUNDO]]&amp;"."&amp;MAESTRO_LOTES_26[[#This Row],[LOTE]]</f>
        <v>PU/26.T4.C05</v>
      </c>
      <c r="B27" s="187" t="s">
        <v>105</v>
      </c>
      <c r="C27" s="260" t="s">
        <v>18</v>
      </c>
      <c r="D27" s="187" t="s">
        <v>242</v>
      </c>
      <c r="E27" s="187" t="str">
        <f>VLOOKUP(MAESTRO_LOTES_26[[#This Row],[VAR]],FUNDOS!$B$2:$C$19,2,FALSE)</f>
        <v>T4</v>
      </c>
      <c r="F27" s="1" t="s">
        <v>371</v>
      </c>
      <c r="G27" s="2" t="s">
        <v>7</v>
      </c>
      <c r="H27" s="99">
        <v>43088</v>
      </c>
      <c r="I27" s="75" t="s">
        <v>9</v>
      </c>
      <c r="J27" s="331" t="s">
        <v>487</v>
      </c>
    </row>
    <row r="28" spans="1:10" ht="14.55" customHeight="1" x14ac:dyDescent="0.3">
      <c r="A28" s="186" t="str">
        <f>"PU/26."&amp;MAESTRO_LOTES_26[[#This Row],[FUNDO]]&amp;"."&amp;MAESTRO_LOTES_26[[#This Row],[LOTE]]</f>
        <v>PU/26.T4.C06</v>
      </c>
      <c r="B28" s="187" t="s">
        <v>105</v>
      </c>
      <c r="C28" s="260" t="s">
        <v>19</v>
      </c>
      <c r="D28" s="187" t="s">
        <v>242</v>
      </c>
      <c r="E28" s="187" t="str">
        <f>VLOOKUP(MAESTRO_LOTES_26[[#This Row],[VAR]],FUNDOS!$B$2:$C$19,2,FALSE)</f>
        <v>T4</v>
      </c>
      <c r="F28" s="1" t="s">
        <v>371</v>
      </c>
      <c r="G28" s="2" t="s">
        <v>7</v>
      </c>
      <c r="H28" s="99">
        <v>42955</v>
      </c>
      <c r="I28" s="75" t="s">
        <v>9</v>
      </c>
      <c r="J28" s="331" t="s">
        <v>487</v>
      </c>
    </row>
    <row r="29" spans="1:10" ht="14.55" customHeight="1" x14ac:dyDescent="0.3">
      <c r="A29" s="186" t="str">
        <f>"PU/26."&amp;MAESTRO_LOTES_26[[#This Row],[FUNDO]]&amp;"."&amp;MAESTRO_LOTES_26[[#This Row],[LOTE]]</f>
        <v>PU/26.T9.C07</v>
      </c>
      <c r="B29" s="186" t="s">
        <v>109</v>
      </c>
      <c r="C29" s="260" t="s">
        <v>60</v>
      </c>
      <c r="D29" s="186" t="s">
        <v>246</v>
      </c>
      <c r="E29" s="186" t="str">
        <f>VLOOKUP(MAESTRO_LOTES_26[[#This Row],[VAR]],FUNDOS!$B$2:$C$19,2,FALSE)</f>
        <v>T9</v>
      </c>
      <c r="F29" s="1" t="s">
        <v>371</v>
      </c>
      <c r="G29" s="2" t="s">
        <v>7</v>
      </c>
      <c r="H29" s="99">
        <v>43444</v>
      </c>
      <c r="I29" s="75" t="s">
        <v>9</v>
      </c>
      <c r="J29" s="331" t="s">
        <v>487</v>
      </c>
    </row>
    <row r="30" spans="1:10" x14ac:dyDescent="0.3">
      <c r="A30" s="186" t="str">
        <f>"IU/25."&amp;MAESTRO_LOTES_26[[#This Row],[FUNDO]]&amp;"."&amp;MAESTRO_LOTES_26[[#This Row],[LOTE]]</f>
        <v>IU/25.T9.C07</v>
      </c>
      <c r="B30" s="186" t="s">
        <v>109</v>
      </c>
      <c r="C30" s="260" t="s">
        <v>60</v>
      </c>
      <c r="D30" s="186" t="s">
        <v>246</v>
      </c>
      <c r="E30" s="186" t="str">
        <f>VLOOKUP(MAESTRO_LOTES_26[[#This Row],[VAR]],FUNDOS!$B$2:$C$19,2,FALSE)</f>
        <v>T9</v>
      </c>
      <c r="F30" s="1" t="s">
        <v>371</v>
      </c>
      <c r="G30" s="2" t="s">
        <v>370</v>
      </c>
      <c r="H30" s="286">
        <v>45870</v>
      </c>
      <c r="I30" s="75" t="s">
        <v>9</v>
      </c>
      <c r="J30" s="331" t="s">
        <v>487</v>
      </c>
    </row>
    <row r="31" spans="1:10" ht="14.55" customHeight="1" x14ac:dyDescent="0.3">
      <c r="A31" s="186" t="str">
        <f>"PU/26."&amp;MAESTRO_LOTES_26[[#This Row],[FUNDO]]&amp;"."&amp;MAESTRO_LOTES_26[[#This Row],[LOTE]]</f>
        <v>PU/26.TF.C12</v>
      </c>
      <c r="B31" s="186" t="s">
        <v>418</v>
      </c>
      <c r="C31" s="260" t="s">
        <v>83</v>
      </c>
      <c r="D31" s="186" t="s">
        <v>527</v>
      </c>
      <c r="E31" s="186" t="str">
        <f>VLOOKUP(MAESTRO_LOTES_26[[#This Row],[VAR]],FUNDOS!$B$2:$C$19,2,FALSE)</f>
        <v>TF</v>
      </c>
      <c r="F31" s="1" t="s">
        <v>136</v>
      </c>
      <c r="G31" s="2" t="s">
        <v>7</v>
      </c>
      <c r="H31" s="99">
        <v>45530</v>
      </c>
      <c r="I31" s="75" t="s">
        <v>645</v>
      </c>
      <c r="J31" s="331" t="s">
        <v>489</v>
      </c>
    </row>
    <row r="32" spans="1:10" x14ac:dyDescent="0.3">
      <c r="A32" s="186" t="str">
        <f>"PU/26."&amp;MAESTRO_LOTES_26[[#This Row],[FUNDO]]&amp;"."&amp;MAESTRO_LOTES_26[[#This Row],[LOTE]]</f>
        <v>PU/26.TF.C13</v>
      </c>
      <c r="B32" s="186" t="s">
        <v>418</v>
      </c>
      <c r="C32" s="260" t="s">
        <v>84</v>
      </c>
      <c r="D32" s="186" t="s">
        <v>527</v>
      </c>
      <c r="E32" s="186" t="str">
        <f>VLOOKUP(MAESTRO_LOTES_26[[#This Row],[VAR]],FUNDOS!$B$2:$C$19,2,FALSE)</f>
        <v>TF</v>
      </c>
      <c r="F32" s="1" t="s">
        <v>136</v>
      </c>
      <c r="G32" s="2" t="s">
        <v>7</v>
      </c>
      <c r="H32" s="99">
        <v>45533</v>
      </c>
      <c r="I32" s="75" t="s">
        <v>645</v>
      </c>
      <c r="J32" s="331" t="s">
        <v>489</v>
      </c>
    </row>
    <row r="33" spans="1:10" ht="14.55" customHeight="1" x14ac:dyDescent="0.3">
      <c r="A33" s="192" t="str">
        <f>"IU/25."&amp;MAESTRO_LOTES_26[[#This Row],[FUNDO]]&amp;"."&amp;MAESTRO_LOTES_26[[#This Row],[LOTE]]</f>
        <v>IU/25.T8.C14</v>
      </c>
      <c r="B33" s="186" t="s">
        <v>599</v>
      </c>
      <c r="C33" s="260" t="s">
        <v>85</v>
      </c>
      <c r="D33" s="186" t="s">
        <v>244</v>
      </c>
      <c r="E33" s="186" t="str">
        <f>VLOOKUP(MAESTRO_LOTES_26[[#This Row],[VAR]],FUNDOS!$B$2:$C$19,2,FALSE)</f>
        <v>T8</v>
      </c>
      <c r="F33" s="1" t="s">
        <v>136</v>
      </c>
      <c r="G33" s="2" t="s">
        <v>370</v>
      </c>
      <c r="H33" s="286">
        <v>45870</v>
      </c>
      <c r="I33" s="75" t="s">
        <v>645</v>
      </c>
      <c r="J33" s="331" t="s">
        <v>489</v>
      </c>
    </row>
    <row r="34" spans="1:10" ht="14.55" customHeight="1" x14ac:dyDescent="0.3">
      <c r="A34" s="192"/>
      <c r="B34" s="186" t="s">
        <v>599</v>
      </c>
      <c r="C34" s="260" t="s">
        <v>85</v>
      </c>
      <c r="D34" s="186" t="s">
        <v>244</v>
      </c>
      <c r="E34" s="186" t="str">
        <f>VLOOKUP(MAESTRO_LOTES_26[[#This Row],[VAR]],FUNDOS!$B$2:$C$19,2,FALSE)</f>
        <v>T8</v>
      </c>
      <c r="F34" s="1" t="s">
        <v>136</v>
      </c>
      <c r="G34" s="2" t="s">
        <v>638</v>
      </c>
      <c r="H34" s="286">
        <v>45870</v>
      </c>
      <c r="I34" s="75" t="s">
        <v>645</v>
      </c>
      <c r="J34" s="331" t="s">
        <v>489</v>
      </c>
    </row>
    <row r="35" spans="1:10" ht="14.55" customHeight="1" x14ac:dyDescent="0.3">
      <c r="A35" s="186" t="str">
        <f>"PU/26."&amp;MAESTRO_LOTES_26[[#This Row],[FUNDO]]&amp;"."&amp;MAESTRO_LOTES_26[[#This Row],[LOTE]]</f>
        <v>PU/26.TS.C15</v>
      </c>
      <c r="B35" s="186" t="s">
        <v>112</v>
      </c>
      <c r="C35" s="287" t="s">
        <v>86</v>
      </c>
      <c r="D35" s="186" t="s">
        <v>247</v>
      </c>
      <c r="E35" s="186" t="str">
        <f>VLOOKUP(MAESTRO_LOTES_26[[#This Row],[VAR]],FUNDOS!$B$2:$C$19,2,FALSE)</f>
        <v>TS</v>
      </c>
      <c r="F35" s="1" t="s">
        <v>136</v>
      </c>
      <c r="G35" s="2" t="s">
        <v>7</v>
      </c>
      <c r="H35" s="99">
        <v>42642</v>
      </c>
      <c r="I35" s="75" t="s">
        <v>645</v>
      </c>
      <c r="J35" s="331" t="s">
        <v>489</v>
      </c>
    </row>
    <row r="36" spans="1:10" ht="14.55" customHeight="1" x14ac:dyDescent="0.3">
      <c r="A36" s="186" t="str">
        <f>"PU/26."&amp;MAESTRO_LOTES_26[[#This Row],[FUNDO]]&amp;"."&amp;MAESTRO_LOTES_26[[#This Row],[LOTE]]</f>
        <v>PU/26.T8.D01</v>
      </c>
      <c r="B36" s="186" t="s">
        <v>599</v>
      </c>
      <c r="C36" s="260" t="s">
        <v>20</v>
      </c>
      <c r="D36" s="187" t="s">
        <v>244</v>
      </c>
      <c r="E36" s="187" t="str">
        <f>VLOOKUP(MAESTRO_LOTES_26[[#This Row],[VAR]],FUNDOS!$B$2:$C$19,2,FALSE)</f>
        <v>T8</v>
      </c>
      <c r="F36" s="1" t="s">
        <v>153</v>
      </c>
      <c r="G36" s="2" t="s">
        <v>7</v>
      </c>
      <c r="H36" s="99">
        <v>45144</v>
      </c>
      <c r="I36" s="75" t="s">
        <v>9</v>
      </c>
      <c r="J36" s="331" t="s">
        <v>487</v>
      </c>
    </row>
    <row r="37" spans="1:10" ht="14.55" customHeight="1" x14ac:dyDescent="0.3">
      <c r="A37" s="186" t="str">
        <f>"PU/26."&amp;MAESTRO_LOTES_26[[#This Row],[FUNDO]]&amp;"."&amp;MAESTRO_LOTES_26[[#This Row],[LOTE]]</f>
        <v>PU/26.T8.D02</v>
      </c>
      <c r="B37" s="186" t="s">
        <v>599</v>
      </c>
      <c r="C37" s="260" t="s">
        <v>21</v>
      </c>
      <c r="D37" s="187" t="s">
        <v>244</v>
      </c>
      <c r="E37" s="187" t="str">
        <f>VLOOKUP(MAESTRO_LOTES_26[[#This Row],[VAR]],FUNDOS!$B$2:$C$19,2,FALSE)</f>
        <v>T8</v>
      </c>
      <c r="F37" s="1" t="s">
        <v>153</v>
      </c>
      <c r="G37" s="2" t="s">
        <v>7</v>
      </c>
      <c r="H37" s="99">
        <v>45140</v>
      </c>
      <c r="I37" s="75" t="s">
        <v>9</v>
      </c>
      <c r="J37" s="331" t="s">
        <v>487</v>
      </c>
    </row>
    <row r="38" spans="1:10" ht="14.55" customHeight="1" x14ac:dyDescent="0.3">
      <c r="A38" s="186" t="str">
        <f>"IU/25."&amp;MAESTRO_LOTES_26[[#This Row],[FUNDO]]&amp;"."&amp;MAESTRO_LOTES_26[[#This Row],[LOTE]]</f>
        <v>IU/25.T8.D03</v>
      </c>
      <c r="B38" s="186" t="s">
        <v>599</v>
      </c>
      <c r="C38" s="260" t="s">
        <v>22</v>
      </c>
      <c r="D38" s="186" t="s">
        <v>244</v>
      </c>
      <c r="E38" s="187" t="str">
        <f>VLOOKUP(MAESTRO_LOTES_26[[#This Row],[VAR]],FUNDOS!$B$2:$C$19,2,FALSE)</f>
        <v>T8</v>
      </c>
      <c r="F38" s="1" t="s">
        <v>153</v>
      </c>
      <c r="G38" s="2" t="s">
        <v>370</v>
      </c>
      <c r="H38" s="286">
        <v>45870</v>
      </c>
      <c r="I38" s="75" t="s">
        <v>9</v>
      </c>
      <c r="J38" s="331" t="s">
        <v>487</v>
      </c>
    </row>
    <row r="39" spans="1:10" x14ac:dyDescent="0.3">
      <c r="A39" s="186" t="str">
        <f>"PU/26."&amp;MAESTRO_LOTES_26[[#This Row],[FUNDO]]&amp;"."&amp;MAESTRO_LOTES_26[[#This Row],[LOTE]]</f>
        <v>PU/26.T4.D04</v>
      </c>
      <c r="B39" s="187" t="s">
        <v>105</v>
      </c>
      <c r="C39" s="260" t="s">
        <v>23</v>
      </c>
      <c r="D39" s="187" t="s">
        <v>242</v>
      </c>
      <c r="E39" s="187" t="str">
        <f>VLOOKUP(MAESTRO_LOTES_26[[#This Row],[VAR]],FUNDOS!$B$2:$C$19,2,FALSE)</f>
        <v>T4</v>
      </c>
      <c r="F39" s="1" t="s">
        <v>371</v>
      </c>
      <c r="G39" s="2" t="s">
        <v>7</v>
      </c>
      <c r="H39" s="99">
        <v>42668</v>
      </c>
      <c r="I39" s="75" t="s">
        <v>9</v>
      </c>
      <c r="J39" s="331" t="s">
        <v>487</v>
      </c>
    </row>
    <row r="40" spans="1:10" x14ac:dyDescent="0.3">
      <c r="A40" s="186" t="str">
        <f>"PU/26."&amp;MAESTRO_LOTES_26[[#This Row],[FUNDO]]&amp;"."&amp;MAESTRO_LOTES_26[[#This Row],[LOTE]]</f>
        <v>PU/26.T4.D05</v>
      </c>
      <c r="B40" s="187" t="s">
        <v>105</v>
      </c>
      <c r="C40" s="260" t="s">
        <v>24</v>
      </c>
      <c r="D40" s="187" t="s">
        <v>242</v>
      </c>
      <c r="E40" s="187" t="str">
        <f>VLOOKUP(MAESTRO_LOTES_26[[#This Row],[VAR]],FUNDOS!$B$2:$C$19,2,FALSE)</f>
        <v>T4</v>
      </c>
      <c r="F40" s="1" t="s">
        <v>371</v>
      </c>
      <c r="G40" s="2" t="s">
        <v>7</v>
      </c>
      <c r="H40" s="99">
        <v>42678</v>
      </c>
      <c r="I40" s="75" t="s">
        <v>9</v>
      </c>
      <c r="J40" s="331" t="s">
        <v>487</v>
      </c>
    </row>
    <row r="41" spans="1:10" ht="14.55" customHeight="1" x14ac:dyDescent="0.3">
      <c r="A41" s="186" t="str">
        <f>"PU/26."&amp;MAESTRO_LOTES_26[[#This Row],[FUNDO]]&amp;"."&amp;MAESTRO_LOTES_26[[#This Row],[LOTE]]</f>
        <v>PU/26.T4.D06</v>
      </c>
      <c r="B41" s="187" t="s">
        <v>105</v>
      </c>
      <c r="C41" s="260" t="s">
        <v>25</v>
      </c>
      <c r="D41" s="187" t="s">
        <v>242</v>
      </c>
      <c r="E41" s="187" t="str">
        <f>VLOOKUP(MAESTRO_LOTES_26[[#This Row],[VAR]],FUNDOS!$B$2:$C$19,2,FALSE)</f>
        <v>T4</v>
      </c>
      <c r="F41" s="1" t="s">
        <v>371</v>
      </c>
      <c r="G41" s="2" t="s">
        <v>7</v>
      </c>
      <c r="H41" s="99">
        <v>42731</v>
      </c>
      <c r="I41" s="75" t="s">
        <v>9</v>
      </c>
      <c r="J41" s="331" t="s">
        <v>487</v>
      </c>
    </row>
    <row r="42" spans="1:10" x14ac:dyDescent="0.3">
      <c r="A42" s="186" t="str">
        <f>"IU/25."&amp;MAESTRO_LOTES_26[[#This Row],[FUNDO]]&amp;"."&amp;MAESTRO_LOTES_26[[#This Row],[LOTE]]</f>
        <v>IU/25.T9.D07</v>
      </c>
      <c r="B42" s="186" t="s">
        <v>109</v>
      </c>
      <c r="C42" s="260" t="s">
        <v>364</v>
      </c>
      <c r="D42" s="186" t="s">
        <v>246</v>
      </c>
      <c r="E42" s="186" t="str">
        <f>VLOOKUP(MAESTRO_LOTES_26[[#This Row],[VAR]],FUNDOS!$B$2:$C$19,2,FALSE)</f>
        <v>T9</v>
      </c>
      <c r="F42" s="1" t="s">
        <v>371</v>
      </c>
      <c r="G42" s="2" t="s">
        <v>370</v>
      </c>
      <c r="H42" s="286">
        <v>45870</v>
      </c>
      <c r="I42" s="75" t="s">
        <v>9</v>
      </c>
      <c r="J42" s="331" t="s">
        <v>487</v>
      </c>
    </row>
    <row r="43" spans="1:10" ht="14.55" customHeight="1" x14ac:dyDescent="0.3">
      <c r="A43" s="186" t="str">
        <f>"PU/26."&amp;MAESTRO_LOTES_26[[#This Row],[FUNDO]]&amp;"."&amp;MAESTRO_LOTES_26[[#This Row],[LOTE]]</f>
        <v>PU/26.TT.D12</v>
      </c>
      <c r="B43" s="186" t="s">
        <v>163</v>
      </c>
      <c r="C43" s="260" t="s">
        <v>48</v>
      </c>
      <c r="D43" s="186" t="s">
        <v>245</v>
      </c>
      <c r="E43" s="186" t="str">
        <f>VLOOKUP(MAESTRO_LOTES_26[[#This Row],[VAR]],FUNDOS!$B$2:$C$19,2,FALSE)</f>
        <v>TT</v>
      </c>
      <c r="F43" s="1" t="s">
        <v>136</v>
      </c>
      <c r="G43" s="2" t="s">
        <v>7</v>
      </c>
      <c r="H43" s="99">
        <v>45122</v>
      </c>
      <c r="I43" s="76" t="s">
        <v>645</v>
      </c>
      <c r="J43" s="331" t="s">
        <v>488</v>
      </c>
    </row>
    <row r="44" spans="1:10" ht="14.55" customHeight="1" x14ac:dyDescent="0.3">
      <c r="A44" s="186" t="str">
        <f>"PU/26."&amp;MAESTRO_LOTES_26[[#This Row],[FUNDO]]&amp;"."&amp;MAESTRO_LOTES_26[[#This Row],[LOTE]]</f>
        <v>PU/26.TT.D13</v>
      </c>
      <c r="B44" s="186" t="s">
        <v>163</v>
      </c>
      <c r="C44" s="260" t="s">
        <v>50</v>
      </c>
      <c r="D44" s="186" t="s">
        <v>245</v>
      </c>
      <c r="E44" s="186" t="str">
        <f>VLOOKUP(MAESTRO_LOTES_26[[#This Row],[VAR]],FUNDOS!$B$2:$C$19,2,FALSE)</f>
        <v>TT</v>
      </c>
      <c r="F44" s="1" t="s">
        <v>136</v>
      </c>
      <c r="G44" s="2" t="s">
        <v>7</v>
      </c>
      <c r="H44" s="99">
        <v>45127</v>
      </c>
      <c r="I44" s="76" t="s">
        <v>645</v>
      </c>
      <c r="J44" s="331" t="s">
        <v>488</v>
      </c>
    </row>
    <row r="45" spans="1:10" ht="14.55" customHeight="1" x14ac:dyDescent="0.3">
      <c r="A45" s="186" t="str">
        <f>"PU/26."&amp;MAESTRO_LOTES_26[[#This Row],[FUNDO]]&amp;"."&amp;MAESTRO_LOTES_26[[#This Row],[LOTE]]</f>
        <v>PU/26.TT.D14</v>
      </c>
      <c r="B45" s="186" t="s">
        <v>163</v>
      </c>
      <c r="C45" s="260" t="s">
        <v>96</v>
      </c>
      <c r="D45" s="186" t="s">
        <v>245</v>
      </c>
      <c r="E45" s="186" t="str">
        <f>VLOOKUP(MAESTRO_LOTES_26[[#This Row],[VAR]],FUNDOS!$B$2:$C$19,2,FALSE)</f>
        <v>TT</v>
      </c>
      <c r="F45" s="1" t="s">
        <v>136</v>
      </c>
      <c r="G45" s="2" t="s">
        <v>7</v>
      </c>
      <c r="H45" s="99">
        <v>44806</v>
      </c>
      <c r="I45" s="75" t="s">
        <v>645</v>
      </c>
      <c r="J45" s="331" t="s">
        <v>488</v>
      </c>
    </row>
    <row r="46" spans="1:10" ht="14.55" customHeight="1" x14ac:dyDescent="0.3">
      <c r="A46" s="186" t="str">
        <f>"PU/26."&amp;MAESTRO_LOTES_26[[#This Row],[FUNDO]]&amp;"."&amp;MAESTRO_LOTES_26[[#This Row],[LOTE]]</f>
        <v>PU/26.TT.D15</v>
      </c>
      <c r="B46" s="186" t="s">
        <v>163</v>
      </c>
      <c r="C46" s="260" t="s">
        <v>97</v>
      </c>
      <c r="D46" s="186" t="s">
        <v>245</v>
      </c>
      <c r="E46" s="186" t="str">
        <f>VLOOKUP(MAESTRO_LOTES_26[[#This Row],[VAR]],FUNDOS!$B$2:$C$19,2,FALSE)</f>
        <v>TT</v>
      </c>
      <c r="F46" s="1" t="s">
        <v>136</v>
      </c>
      <c r="G46" s="2" t="s">
        <v>7</v>
      </c>
      <c r="H46" s="99">
        <v>44800</v>
      </c>
      <c r="I46" s="75" t="s">
        <v>645</v>
      </c>
      <c r="J46" s="331" t="s">
        <v>488</v>
      </c>
    </row>
    <row r="47" spans="1:10" ht="14.55" customHeight="1" x14ac:dyDescent="0.3">
      <c r="A47" s="186" t="str">
        <f>"PU/26."&amp;MAESTRO_LOTES_26[[#This Row],[FUNDO]]&amp;"."&amp;MAESTRO_LOTES_26[[#This Row],[LOTE]]</f>
        <v>PU/26.T8.E01</v>
      </c>
      <c r="B47" s="186" t="s">
        <v>599</v>
      </c>
      <c r="C47" s="260" t="s">
        <v>74</v>
      </c>
      <c r="D47" s="186" t="s">
        <v>244</v>
      </c>
      <c r="E47" s="186" t="str">
        <f>VLOOKUP(MAESTRO_LOTES_26[[#This Row],[VAR]],FUNDOS!$B$2:$C$19,2,FALSE)</f>
        <v>T8</v>
      </c>
      <c r="F47" s="1" t="s">
        <v>153</v>
      </c>
      <c r="G47" s="2" t="s">
        <v>7</v>
      </c>
      <c r="H47" s="99">
        <v>44392</v>
      </c>
      <c r="I47" s="75" t="s">
        <v>9</v>
      </c>
      <c r="J47" s="331" t="s">
        <v>486</v>
      </c>
    </row>
    <row r="48" spans="1:10" ht="14.55" customHeight="1" x14ac:dyDescent="0.3">
      <c r="A48" s="186" t="str">
        <f>"PU/26."&amp;MAESTRO_LOTES_26[[#This Row],[FUNDO]]&amp;"."&amp;MAESTRO_LOTES_26[[#This Row],[LOTE]]</f>
        <v>PU/26.T8.E02</v>
      </c>
      <c r="B48" s="186" t="s">
        <v>599</v>
      </c>
      <c r="C48" s="260" t="s">
        <v>75</v>
      </c>
      <c r="D48" s="186" t="s">
        <v>244</v>
      </c>
      <c r="E48" s="186" t="str">
        <f>VLOOKUP(MAESTRO_LOTES_26[[#This Row],[VAR]],FUNDOS!$B$2:$C$19,2,FALSE)</f>
        <v>T8</v>
      </c>
      <c r="F48" s="1" t="s">
        <v>153</v>
      </c>
      <c r="G48" s="2" t="s">
        <v>7</v>
      </c>
      <c r="H48" s="99">
        <v>44398</v>
      </c>
      <c r="I48" s="75" t="s">
        <v>9</v>
      </c>
      <c r="J48" s="331" t="s">
        <v>486</v>
      </c>
    </row>
    <row r="49" spans="1:10" ht="14.55" customHeight="1" x14ac:dyDescent="0.3">
      <c r="A49" s="186" t="str">
        <f>"PU/26."&amp;MAESTRO_LOTES_26[[#This Row],[FUNDO]]&amp;"."&amp;MAESTRO_LOTES_26[[#This Row],[LOTE]]</f>
        <v>PU/26.T8.E03</v>
      </c>
      <c r="B49" s="186" t="s">
        <v>599</v>
      </c>
      <c r="C49" s="260" t="s">
        <v>76</v>
      </c>
      <c r="D49" s="186" t="s">
        <v>244</v>
      </c>
      <c r="E49" s="186" t="str">
        <f>VLOOKUP(MAESTRO_LOTES_26[[#This Row],[VAR]],FUNDOS!$B$2:$C$19,2,FALSE)</f>
        <v>T8</v>
      </c>
      <c r="F49" s="1" t="s">
        <v>153</v>
      </c>
      <c r="G49" s="2" t="s">
        <v>7</v>
      </c>
      <c r="H49" s="99">
        <v>44400</v>
      </c>
      <c r="I49" s="75" t="s">
        <v>9</v>
      </c>
      <c r="J49" s="331" t="s">
        <v>486</v>
      </c>
    </row>
    <row r="50" spans="1:10" ht="14.55" customHeight="1" x14ac:dyDescent="0.3">
      <c r="A50" s="186" t="str">
        <f>"PU/26."&amp;MAESTRO_LOTES_26[[#This Row],[FUNDO]]&amp;"."&amp;MAESTRO_LOTES_26[[#This Row],[LOTE]]</f>
        <v>PU/26.T8.E04</v>
      </c>
      <c r="B50" s="186" t="s">
        <v>599</v>
      </c>
      <c r="C50" s="260" t="s">
        <v>77</v>
      </c>
      <c r="D50" s="186" t="s">
        <v>244</v>
      </c>
      <c r="E50" s="186" t="str">
        <f>VLOOKUP(MAESTRO_LOTES_26[[#This Row],[VAR]],FUNDOS!$B$2:$C$19,2,FALSE)</f>
        <v>T8</v>
      </c>
      <c r="F50" s="1" t="s">
        <v>153</v>
      </c>
      <c r="G50" s="2" t="s">
        <v>7</v>
      </c>
      <c r="H50" s="99">
        <v>44403</v>
      </c>
      <c r="I50" s="230" t="s">
        <v>9</v>
      </c>
      <c r="J50" s="331" t="s">
        <v>486</v>
      </c>
    </row>
    <row r="51" spans="1:10" ht="14.55" customHeight="1" x14ac:dyDescent="0.3">
      <c r="A51" s="186" t="str">
        <f>"PU/26."&amp;MAESTRO_LOTES_26[[#This Row],[FUNDO]]&amp;"."&amp;MAESTRO_LOTES_26[[#This Row],[LOTE]]</f>
        <v>PU/26.T4.E05</v>
      </c>
      <c r="B51" s="187" t="s">
        <v>105</v>
      </c>
      <c r="C51" s="260" t="s">
        <v>37</v>
      </c>
      <c r="D51" s="187" t="s">
        <v>242</v>
      </c>
      <c r="E51" s="187" t="str">
        <f>VLOOKUP(MAESTRO_LOTES_26[[#This Row],[VAR]],FUNDOS!$B$2:$C$19,2,FALSE)</f>
        <v>T4</v>
      </c>
      <c r="F51" s="1" t="s">
        <v>371</v>
      </c>
      <c r="G51" s="2" t="s">
        <v>7</v>
      </c>
      <c r="H51" s="99">
        <v>44002</v>
      </c>
      <c r="I51" s="75" t="s">
        <v>9</v>
      </c>
      <c r="J51" s="331" t="s">
        <v>486</v>
      </c>
    </row>
    <row r="52" spans="1:10" ht="14.55" customHeight="1" x14ac:dyDescent="0.3">
      <c r="A52" s="186" t="str">
        <f>"PU/26."&amp;MAESTRO_LOTES_26[[#This Row],[FUNDO]]&amp;"."&amp;MAESTRO_LOTES_26[[#This Row],[LOTE]]</f>
        <v>PU/26.T4.E06</v>
      </c>
      <c r="B52" s="187" t="s">
        <v>105</v>
      </c>
      <c r="C52" s="260" t="s">
        <v>38</v>
      </c>
      <c r="D52" s="187" t="s">
        <v>242</v>
      </c>
      <c r="E52" s="187" t="str">
        <f>VLOOKUP(MAESTRO_LOTES_26[[#This Row],[VAR]],FUNDOS!$B$2:$C$19,2,FALSE)</f>
        <v>T4</v>
      </c>
      <c r="F52" s="1" t="s">
        <v>371</v>
      </c>
      <c r="G52" s="2" t="s">
        <v>7</v>
      </c>
      <c r="H52" s="99">
        <v>44012</v>
      </c>
      <c r="I52" s="75" t="s">
        <v>9</v>
      </c>
      <c r="J52" s="331" t="s">
        <v>486</v>
      </c>
    </row>
    <row r="53" spans="1:10" ht="14.55" customHeight="1" x14ac:dyDescent="0.3">
      <c r="A53" s="186" t="str">
        <f>"PU/26."&amp;MAESTRO_LOTES_26[[#This Row],[FUNDO]]&amp;"."&amp;MAESTRO_LOTES_26[[#This Row],[LOTE]]</f>
        <v>PU/26.T4.E07</v>
      </c>
      <c r="B53" s="187" t="s">
        <v>105</v>
      </c>
      <c r="C53" s="260" t="s">
        <v>39</v>
      </c>
      <c r="D53" s="187" t="s">
        <v>242</v>
      </c>
      <c r="E53" s="187" t="str">
        <f>VLOOKUP(MAESTRO_LOTES_26[[#This Row],[VAR]],FUNDOS!$B$2:$C$19,2,FALSE)</f>
        <v>T4</v>
      </c>
      <c r="F53" s="1" t="s">
        <v>371</v>
      </c>
      <c r="G53" s="2" t="s">
        <v>7</v>
      </c>
      <c r="H53" s="99">
        <v>44015</v>
      </c>
      <c r="I53" s="75" t="s">
        <v>9</v>
      </c>
      <c r="J53" s="331" t="s">
        <v>486</v>
      </c>
    </row>
    <row r="54" spans="1:10" ht="14.55" customHeight="1" x14ac:dyDescent="0.3">
      <c r="A54" s="186" t="str">
        <f>"PU/26."&amp;MAESTRO_LOTES_26[[#This Row],[FUNDO]]&amp;"."&amp;MAESTRO_LOTES_26[[#This Row],[LOTE]]</f>
        <v>PU/26.T4.E08</v>
      </c>
      <c r="B54" s="187" t="s">
        <v>105</v>
      </c>
      <c r="C54" s="260" t="s">
        <v>40</v>
      </c>
      <c r="D54" s="187" t="s">
        <v>242</v>
      </c>
      <c r="E54" s="187" t="str">
        <f>VLOOKUP(MAESTRO_LOTES_26[[#This Row],[VAR]],FUNDOS!$B$2:$C$19,2,FALSE)</f>
        <v>T4</v>
      </c>
      <c r="F54" s="1" t="s">
        <v>34</v>
      </c>
      <c r="G54" s="2" t="s">
        <v>7</v>
      </c>
      <c r="H54" s="99">
        <v>44019</v>
      </c>
      <c r="I54" s="75" t="s">
        <v>645</v>
      </c>
      <c r="J54" s="331" t="s">
        <v>486</v>
      </c>
    </row>
    <row r="55" spans="1:10" ht="14.55" customHeight="1" x14ac:dyDescent="0.3">
      <c r="A55" s="186" t="str">
        <f>"PU/26."&amp;MAESTRO_LOTES_26[[#This Row],[FUNDO]]&amp;"."&amp;MAESTRO_LOTES_26[[#This Row],[LOTE]]</f>
        <v>PU/26.T4.E09</v>
      </c>
      <c r="B55" s="187" t="s">
        <v>105</v>
      </c>
      <c r="C55" s="260" t="s">
        <v>41</v>
      </c>
      <c r="D55" s="187" t="s">
        <v>242</v>
      </c>
      <c r="E55" s="187" t="str">
        <f>VLOOKUP(MAESTRO_LOTES_26[[#This Row],[VAR]],FUNDOS!$B$2:$C$19,2,FALSE)</f>
        <v>T4</v>
      </c>
      <c r="F55" s="1" t="s">
        <v>34</v>
      </c>
      <c r="G55" s="2" t="s">
        <v>7</v>
      </c>
      <c r="H55" s="99">
        <v>44021</v>
      </c>
      <c r="I55" s="75" t="s">
        <v>645</v>
      </c>
      <c r="J55" s="331" t="s">
        <v>486</v>
      </c>
    </row>
    <row r="56" spans="1:10" ht="14.55" customHeight="1" x14ac:dyDescent="0.3">
      <c r="A56" s="192" t="str">
        <f>"IU/25."&amp;MAESTRO_LOTES_26[[#This Row],[FUNDO]]&amp;"."&amp;MAESTRO_LOTES_26[[#This Row],[LOTE]]</f>
        <v>IU/25.T9.E12</v>
      </c>
      <c r="B56" s="186" t="s">
        <v>109</v>
      </c>
      <c r="C56" s="288" t="s">
        <v>26</v>
      </c>
      <c r="D56" s="186" t="s">
        <v>246</v>
      </c>
      <c r="E56" s="187" t="str">
        <f>VLOOKUP(MAESTRO_LOTES_26[[#This Row],[VAR]],FUNDOS!$B$2:$C$19,2,FALSE)</f>
        <v>T9</v>
      </c>
      <c r="F56" s="1" t="s">
        <v>28</v>
      </c>
      <c r="G56" s="2" t="s">
        <v>370</v>
      </c>
      <c r="H56" s="286">
        <v>45870</v>
      </c>
      <c r="I56" s="75" t="s">
        <v>645</v>
      </c>
      <c r="J56" s="331" t="s">
        <v>490</v>
      </c>
    </row>
    <row r="57" spans="1:10" ht="14.55" customHeight="1" x14ac:dyDescent="0.3">
      <c r="A57" s="192" t="str">
        <f>"IU/25."&amp;MAESTRO_LOTES_26[[#This Row],[FUNDO]]&amp;"."&amp;MAESTRO_LOTES_26[[#This Row],[LOTE]]</f>
        <v>IU/25.T9.E13</v>
      </c>
      <c r="B57" s="186" t="s">
        <v>109</v>
      </c>
      <c r="C57" s="288" t="s">
        <v>29</v>
      </c>
      <c r="D57" s="186" t="s">
        <v>246</v>
      </c>
      <c r="E57" s="187" t="str">
        <f>VLOOKUP(MAESTRO_LOTES_26[[#This Row],[VAR]],FUNDOS!$B$2:$C$19,2,FALSE)</f>
        <v>T9</v>
      </c>
      <c r="F57" s="1" t="s">
        <v>28</v>
      </c>
      <c r="G57" s="2" t="s">
        <v>370</v>
      </c>
      <c r="H57" s="286">
        <v>45870</v>
      </c>
      <c r="I57" s="75" t="s">
        <v>645</v>
      </c>
      <c r="J57" s="331" t="s">
        <v>490</v>
      </c>
    </row>
    <row r="58" spans="1:10" ht="14.55" customHeight="1" x14ac:dyDescent="0.3">
      <c r="A58" s="186" t="str">
        <f>"PU/26."&amp;MAESTRO_LOTES_26[[#This Row],[FUNDO]]&amp;"."&amp;MAESTRO_LOTES_26[[#This Row],[LOTE]]</f>
        <v>PU/26.T4.E14</v>
      </c>
      <c r="B58" s="187" t="s">
        <v>105</v>
      </c>
      <c r="C58" s="260" t="s">
        <v>30</v>
      </c>
      <c r="D58" s="187" t="s">
        <v>242</v>
      </c>
      <c r="E58" s="187" t="str">
        <f>VLOOKUP(MAESTRO_LOTES_26[[#This Row],[VAR]],FUNDOS!$B$2:$C$19,2,FALSE)</f>
        <v>T4</v>
      </c>
      <c r="F58" s="1" t="s">
        <v>28</v>
      </c>
      <c r="G58" s="2" t="s">
        <v>7</v>
      </c>
      <c r="H58" s="99">
        <v>43302</v>
      </c>
      <c r="I58" s="75" t="s">
        <v>645</v>
      </c>
      <c r="J58" s="331" t="s">
        <v>490</v>
      </c>
    </row>
    <row r="59" spans="1:10" ht="14.55" customHeight="1" x14ac:dyDescent="0.3">
      <c r="A59" s="186" t="str">
        <f>"PU/26."&amp;MAESTRO_LOTES_26[[#This Row],[FUNDO]]&amp;"."&amp;MAESTRO_LOTES_26[[#This Row],[LOTE]]</f>
        <v>PU/26.TT.E15</v>
      </c>
      <c r="B59" s="186" t="s">
        <v>163</v>
      </c>
      <c r="C59" s="260" t="s">
        <v>98</v>
      </c>
      <c r="D59" s="186" t="s">
        <v>245</v>
      </c>
      <c r="E59" s="186" t="str">
        <f>VLOOKUP(MAESTRO_LOTES_26[[#This Row],[VAR]],FUNDOS!$B$2:$C$19,2,FALSE)</f>
        <v>TT</v>
      </c>
      <c r="F59" s="1" t="s">
        <v>136</v>
      </c>
      <c r="G59" s="2" t="s">
        <v>7</v>
      </c>
      <c r="H59" s="99">
        <v>44798</v>
      </c>
      <c r="I59" s="75" t="s">
        <v>645</v>
      </c>
      <c r="J59" s="331" t="s">
        <v>488</v>
      </c>
    </row>
    <row r="60" spans="1:10" ht="14.55" customHeight="1" x14ac:dyDescent="0.3">
      <c r="A60" s="186" t="str">
        <f>"PU/26."&amp;MAESTRO_LOTES_26[[#This Row],[FUNDO]]&amp;"."&amp;MAESTRO_LOTES_26[[#This Row],[LOTE]]</f>
        <v>PU/26.T8.F01</v>
      </c>
      <c r="B60" s="186" t="s">
        <v>599</v>
      </c>
      <c r="C60" s="260" t="s">
        <v>67</v>
      </c>
      <c r="D60" s="186" t="s">
        <v>244</v>
      </c>
      <c r="E60" s="186" t="str">
        <f>VLOOKUP(MAESTRO_LOTES_26[[#This Row],[VAR]],FUNDOS!$B$2:$C$19,2,FALSE)</f>
        <v>T8</v>
      </c>
      <c r="F60" s="1" t="s">
        <v>153</v>
      </c>
      <c r="G60" s="2" t="s">
        <v>7</v>
      </c>
      <c r="H60" s="99">
        <v>43302</v>
      </c>
      <c r="I60" s="75" t="s">
        <v>9</v>
      </c>
      <c r="J60" s="331" t="s">
        <v>486</v>
      </c>
    </row>
    <row r="61" spans="1:10" ht="14.55" customHeight="1" x14ac:dyDescent="0.3">
      <c r="A61" s="186" t="str">
        <f>"PU/26."&amp;MAESTRO_LOTES_26[[#This Row],[FUNDO]]&amp;"."&amp;MAESTRO_LOTES_26[[#This Row],[LOTE]]</f>
        <v>PU/26.T8.F02</v>
      </c>
      <c r="B61" s="186" t="s">
        <v>599</v>
      </c>
      <c r="C61" s="260" t="s">
        <v>68</v>
      </c>
      <c r="D61" s="186" t="s">
        <v>244</v>
      </c>
      <c r="E61" s="186" t="str">
        <f>VLOOKUP(MAESTRO_LOTES_26[[#This Row],[VAR]],FUNDOS!$B$2:$C$19,2,FALSE)</f>
        <v>T8</v>
      </c>
      <c r="F61" s="1" t="s">
        <v>153</v>
      </c>
      <c r="G61" s="2" t="s">
        <v>7</v>
      </c>
      <c r="H61" s="99">
        <v>43306</v>
      </c>
      <c r="I61" s="75" t="s">
        <v>9</v>
      </c>
      <c r="J61" s="331" t="s">
        <v>486</v>
      </c>
    </row>
    <row r="62" spans="1:10" ht="14.55" customHeight="1" x14ac:dyDescent="0.3">
      <c r="A62" s="186" t="str">
        <f>"PU/26."&amp;MAESTRO_LOTES_26[[#This Row],[FUNDO]]&amp;"."&amp;MAESTRO_LOTES_26[[#This Row],[LOTE]]</f>
        <v>PU/26.T8.F03</v>
      </c>
      <c r="B62" s="186" t="s">
        <v>599</v>
      </c>
      <c r="C62" s="260" t="s">
        <v>69</v>
      </c>
      <c r="D62" s="186" t="s">
        <v>244</v>
      </c>
      <c r="E62" s="186" t="str">
        <f>VLOOKUP(MAESTRO_LOTES_26[[#This Row],[VAR]],FUNDOS!$B$2:$C$19,2,FALSE)</f>
        <v>T8</v>
      </c>
      <c r="F62" s="1" t="s">
        <v>153</v>
      </c>
      <c r="G62" s="2" t="s">
        <v>7</v>
      </c>
      <c r="H62" s="99">
        <v>43308</v>
      </c>
      <c r="I62" s="75" t="s">
        <v>9</v>
      </c>
      <c r="J62" s="331" t="s">
        <v>486</v>
      </c>
    </row>
    <row r="63" spans="1:10" ht="14.55" customHeight="1" x14ac:dyDescent="0.3">
      <c r="A63" s="186" t="str">
        <f>"PU/26."&amp;MAESTRO_LOTES_26[[#This Row],[FUNDO]]&amp;"."&amp;MAESTRO_LOTES_26[[#This Row],[LOTE]]</f>
        <v>PU/26.T8.F04</v>
      </c>
      <c r="B63" s="186" t="s">
        <v>599</v>
      </c>
      <c r="C63" s="260" t="s">
        <v>70</v>
      </c>
      <c r="D63" s="186" t="s">
        <v>244</v>
      </c>
      <c r="E63" s="186" t="str">
        <f>VLOOKUP(MAESTRO_LOTES_26[[#This Row],[VAR]],FUNDOS!$B$2:$C$19,2,FALSE)</f>
        <v>T8</v>
      </c>
      <c r="F63" s="1" t="s">
        <v>153</v>
      </c>
      <c r="G63" s="2" t="s">
        <v>7</v>
      </c>
      <c r="H63" s="99">
        <v>43346</v>
      </c>
      <c r="I63" s="75" t="s">
        <v>9</v>
      </c>
      <c r="J63" s="331" t="s">
        <v>486</v>
      </c>
    </row>
    <row r="64" spans="1:10" ht="14.55" customHeight="1" x14ac:dyDescent="0.3">
      <c r="A64" s="186" t="str">
        <f>"PU/26."&amp;MAESTRO_LOTES_26[[#This Row],[FUNDO]]&amp;"."&amp;MAESTRO_LOTES_26[[#This Row],[LOTE]]</f>
        <v>PU/26.T4.F05</v>
      </c>
      <c r="B64" s="187" t="s">
        <v>105</v>
      </c>
      <c r="C64" s="260" t="s">
        <v>33</v>
      </c>
      <c r="D64" s="187" t="s">
        <v>242</v>
      </c>
      <c r="E64" s="187" t="str">
        <f>VLOOKUP(MAESTRO_LOTES_26[[#This Row],[VAR]],FUNDOS!$B$2:$C$19,2,FALSE)</f>
        <v>T4</v>
      </c>
      <c r="F64" s="1" t="s">
        <v>371</v>
      </c>
      <c r="G64" s="2" t="s">
        <v>7</v>
      </c>
      <c r="H64" s="99">
        <v>43659</v>
      </c>
      <c r="I64" s="75" t="s">
        <v>9</v>
      </c>
      <c r="J64" s="331" t="s">
        <v>486</v>
      </c>
    </row>
    <row r="65" spans="1:10" ht="14.55" customHeight="1" x14ac:dyDescent="0.3">
      <c r="A65" s="186" t="str">
        <f>"PU/26."&amp;MAESTRO_LOTES_26[[#This Row],[FUNDO]]&amp;"."&amp;MAESTRO_LOTES_26[[#This Row],[LOTE]]</f>
        <v>PU/26.T4.F06</v>
      </c>
      <c r="B65" s="187" t="s">
        <v>105</v>
      </c>
      <c r="C65" s="260" t="s">
        <v>35</v>
      </c>
      <c r="D65" s="187" t="s">
        <v>242</v>
      </c>
      <c r="E65" s="187" t="str">
        <f>VLOOKUP(MAESTRO_LOTES_26[[#This Row],[VAR]],FUNDOS!$B$2:$C$19,2,FALSE)</f>
        <v>T4</v>
      </c>
      <c r="F65" s="1" t="s">
        <v>371</v>
      </c>
      <c r="G65" s="2" t="s">
        <v>7</v>
      </c>
      <c r="H65" s="99">
        <v>43657</v>
      </c>
      <c r="I65" s="75" t="s">
        <v>9</v>
      </c>
      <c r="J65" s="331" t="s">
        <v>486</v>
      </c>
    </row>
    <row r="66" spans="1:10" ht="14.55" customHeight="1" x14ac:dyDescent="0.3">
      <c r="A66" s="186" t="str">
        <f>"PU/26."&amp;MAESTRO_LOTES_26[[#This Row],[FUNDO]]&amp;"."&amp;MAESTRO_LOTES_26[[#This Row],[LOTE]]</f>
        <v>PU/26.T4.F07</v>
      </c>
      <c r="B66" s="187" t="s">
        <v>105</v>
      </c>
      <c r="C66" s="260" t="s">
        <v>36</v>
      </c>
      <c r="D66" s="187" t="s">
        <v>242</v>
      </c>
      <c r="E66" s="187" t="str">
        <f>VLOOKUP(MAESTRO_LOTES_26[[#This Row],[VAR]],FUNDOS!$B$2:$C$19,2,FALSE)</f>
        <v>T4</v>
      </c>
      <c r="F66" s="1" t="s">
        <v>371</v>
      </c>
      <c r="G66" s="2" t="s">
        <v>7</v>
      </c>
      <c r="H66" s="99">
        <v>43654</v>
      </c>
      <c r="I66" s="75" t="s">
        <v>9</v>
      </c>
      <c r="J66" s="331" t="s">
        <v>486</v>
      </c>
    </row>
    <row r="67" spans="1:10" x14ac:dyDescent="0.3">
      <c r="A67" s="186" t="str">
        <f>"PU/26."&amp;MAESTRO_LOTES_26[[#This Row],[FUNDO]]&amp;"."&amp;MAESTRO_LOTES_26[[#This Row],[LOTE]]</f>
        <v>PU/26.T4.F08</v>
      </c>
      <c r="B67" s="187" t="s">
        <v>105</v>
      </c>
      <c r="C67" s="260" t="s">
        <v>42</v>
      </c>
      <c r="D67" s="187" t="s">
        <v>242</v>
      </c>
      <c r="E67" s="187" t="str">
        <f>VLOOKUP(MAESTRO_LOTES_26[[#This Row],[VAR]],FUNDOS!$B$2:$C$19,2,FALSE)</f>
        <v>T4</v>
      </c>
      <c r="F67" s="1" t="s">
        <v>34</v>
      </c>
      <c r="G67" s="2" t="s">
        <v>7</v>
      </c>
      <c r="H67" s="99">
        <v>44026</v>
      </c>
      <c r="I67" s="75" t="s">
        <v>645</v>
      </c>
      <c r="J67" s="331" t="s">
        <v>486</v>
      </c>
    </row>
    <row r="68" spans="1:10" ht="14.55" customHeight="1" x14ac:dyDescent="0.3">
      <c r="A68" s="186" t="str">
        <f>"PU/26."&amp;MAESTRO_LOTES_26[[#This Row],[FUNDO]]&amp;"."&amp;MAESTRO_LOTES_26[[#This Row],[LOTE]]</f>
        <v>PU/26.T4.F09</v>
      </c>
      <c r="B68" s="187" t="s">
        <v>105</v>
      </c>
      <c r="C68" s="260" t="s">
        <v>43</v>
      </c>
      <c r="D68" s="187" t="s">
        <v>242</v>
      </c>
      <c r="E68" s="187" t="str">
        <f>VLOOKUP(MAESTRO_LOTES_26[[#This Row],[VAR]],FUNDOS!$B$2:$C$19,2,FALSE)</f>
        <v>T4</v>
      </c>
      <c r="F68" s="1" t="s">
        <v>34</v>
      </c>
      <c r="G68" s="2" t="s">
        <v>7</v>
      </c>
      <c r="H68" s="99">
        <v>44023</v>
      </c>
      <c r="I68" s="75" t="s">
        <v>645</v>
      </c>
      <c r="J68" s="331" t="s">
        <v>486</v>
      </c>
    </row>
    <row r="69" spans="1:10" ht="14.55" customHeight="1" x14ac:dyDescent="0.3">
      <c r="A69" s="186" t="s">
        <v>627</v>
      </c>
      <c r="B69" s="186" t="s">
        <v>414</v>
      </c>
      <c r="C69" s="260" t="s">
        <v>78</v>
      </c>
      <c r="D69" s="186" t="s">
        <v>414</v>
      </c>
      <c r="E69" s="186" t="str">
        <f>VLOOKUP(MAESTRO_LOTES_26[[#This Row],[VAR]],FUNDOS!$B$2:$C$19,2,FALSE)</f>
        <v>T6</v>
      </c>
      <c r="F69" s="1" t="s">
        <v>415</v>
      </c>
      <c r="G69" s="2" t="s">
        <v>414</v>
      </c>
      <c r="H69" s="99">
        <v>44453</v>
      </c>
      <c r="I69" s="75" t="s">
        <v>645</v>
      </c>
      <c r="J69" s="331" t="s">
        <v>486</v>
      </c>
    </row>
    <row r="70" spans="1:10" ht="14.55" customHeight="1" x14ac:dyDescent="0.3">
      <c r="A70" s="186"/>
      <c r="B70" s="187" t="s">
        <v>109</v>
      </c>
      <c r="C70" s="260" t="s">
        <v>31</v>
      </c>
      <c r="D70" s="186" t="s">
        <v>246</v>
      </c>
      <c r="E70" s="187" t="str">
        <f>VLOOKUP(MAESTRO_LOTES_26[[#This Row],[VAR]],FUNDOS!$B$2:$C$19,2,FALSE)</f>
        <v>T9</v>
      </c>
      <c r="F70" s="1" t="s">
        <v>28</v>
      </c>
      <c r="G70" s="2" t="s">
        <v>638</v>
      </c>
      <c r="H70" s="99">
        <v>42695</v>
      </c>
      <c r="I70" s="75" t="s">
        <v>645</v>
      </c>
      <c r="J70" s="331" t="s">
        <v>490</v>
      </c>
    </row>
    <row r="71" spans="1:10" ht="14.55" customHeight="1" x14ac:dyDescent="0.3">
      <c r="A71" s="186" t="str">
        <f>"PU/26."&amp;MAESTRO_LOTES_26[[#This Row],[FUNDO]]&amp;"."&amp;MAESTRO_LOTES_26[[#This Row],[LOTE]]</f>
        <v>PU/26.T4.F13</v>
      </c>
      <c r="B71" s="187" t="s">
        <v>105</v>
      </c>
      <c r="C71" s="260" t="s">
        <v>32</v>
      </c>
      <c r="D71" s="187" t="s">
        <v>242</v>
      </c>
      <c r="E71" s="187" t="str">
        <f>VLOOKUP(MAESTRO_LOTES_26[[#This Row],[VAR]],FUNDOS!$B$2:$C$19,2,FALSE)</f>
        <v>T4</v>
      </c>
      <c r="F71" s="1" t="s">
        <v>28</v>
      </c>
      <c r="G71" s="2" t="s">
        <v>7</v>
      </c>
      <c r="H71" s="99">
        <v>41821</v>
      </c>
      <c r="I71" s="75" t="s">
        <v>645</v>
      </c>
      <c r="J71" s="331" t="s">
        <v>490</v>
      </c>
    </row>
    <row r="72" spans="1:10" ht="14.55" customHeight="1" x14ac:dyDescent="0.3">
      <c r="A72" s="186" t="str">
        <f>"PU/26."&amp;MAESTRO_LOTES_26[[#This Row],[FUNDO]]&amp;"."&amp;MAESTRO_LOTES_26[[#This Row],[LOTE]]</f>
        <v>PU/26.T5.G01</v>
      </c>
      <c r="B72" s="186" t="s">
        <v>108</v>
      </c>
      <c r="C72" s="260" t="s">
        <v>52</v>
      </c>
      <c r="D72" s="186" t="s">
        <v>248</v>
      </c>
      <c r="E72" s="186" t="str">
        <f>VLOOKUP(MAESTRO_LOTES_26[[#This Row],[VAR]],FUNDOS!$B$2:$C$19,2,FALSE)</f>
        <v>T5</v>
      </c>
      <c r="F72" s="1" t="s">
        <v>34</v>
      </c>
      <c r="G72" s="2" t="s">
        <v>7</v>
      </c>
      <c r="H72" s="99">
        <v>43332</v>
      </c>
      <c r="I72" s="230" t="s">
        <v>645</v>
      </c>
      <c r="J72" s="331" t="s">
        <v>486</v>
      </c>
    </row>
    <row r="73" spans="1:10" ht="14.55" customHeight="1" x14ac:dyDescent="0.3">
      <c r="A73" s="186" t="str">
        <f>"PU/26."&amp;MAESTRO_LOTES_26[[#This Row],[FUNDO]]&amp;"."&amp;MAESTRO_LOTES_26[[#This Row],[LOTE]]</f>
        <v>PU/26.T5.G02</v>
      </c>
      <c r="B73" s="186" t="s">
        <v>108</v>
      </c>
      <c r="C73" s="260" t="s">
        <v>54</v>
      </c>
      <c r="D73" s="186" t="s">
        <v>248</v>
      </c>
      <c r="E73" s="186" t="str">
        <f>VLOOKUP(MAESTRO_LOTES_26[[#This Row],[VAR]],FUNDOS!$B$2:$C$19,2,FALSE)</f>
        <v>T5</v>
      </c>
      <c r="F73" s="1" t="s">
        <v>34</v>
      </c>
      <c r="G73" s="2" t="s">
        <v>7</v>
      </c>
      <c r="H73" s="99">
        <v>42937</v>
      </c>
      <c r="I73" s="230" t="s">
        <v>645</v>
      </c>
      <c r="J73" s="331" t="s">
        <v>486</v>
      </c>
    </row>
    <row r="74" spans="1:10" ht="14.55" customHeight="1" x14ac:dyDescent="0.3">
      <c r="A74" s="186" t="str">
        <f>"PU/26."&amp;MAESTRO_LOTES_26[[#This Row],[FUNDO]]&amp;"."&amp;MAESTRO_LOTES_26[[#This Row],[LOTE]]</f>
        <v>PU/26.T5.G03</v>
      </c>
      <c r="B74" s="186" t="s">
        <v>108</v>
      </c>
      <c r="C74" s="260" t="s">
        <v>55</v>
      </c>
      <c r="D74" s="186" t="s">
        <v>248</v>
      </c>
      <c r="E74" s="186" t="str">
        <f>VLOOKUP(MAESTRO_LOTES_26[[#This Row],[VAR]],FUNDOS!$B$2:$C$19,2,FALSE)</f>
        <v>T5</v>
      </c>
      <c r="F74" s="1" t="s">
        <v>34</v>
      </c>
      <c r="G74" s="2" t="s">
        <v>7</v>
      </c>
      <c r="H74" s="99">
        <v>42933</v>
      </c>
      <c r="I74" s="230" t="s">
        <v>645</v>
      </c>
      <c r="J74" s="331" t="s">
        <v>486</v>
      </c>
    </row>
    <row r="75" spans="1:10" ht="14.55" customHeight="1" x14ac:dyDescent="0.3">
      <c r="A75" s="186" t="str">
        <f>"PU/26."&amp;MAESTRO_LOTES_26[[#This Row],[FUNDO]]&amp;"."&amp;MAESTRO_LOTES_26[[#This Row],[LOTE]]</f>
        <v>PU/26.T5.G04</v>
      </c>
      <c r="B75" s="186" t="s">
        <v>108</v>
      </c>
      <c r="C75" s="260" t="s">
        <v>56</v>
      </c>
      <c r="D75" s="186" t="s">
        <v>248</v>
      </c>
      <c r="E75" s="186" t="str">
        <f>VLOOKUP(MAESTRO_LOTES_26[[#This Row],[VAR]],FUNDOS!$B$2:$C$19,2,FALSE)</f>
        <v>T5</v>
      </c>
      <c r="F75" s="1" t="s">
        <v>34</v>
      </c>
      <c r="G75" s="2" t="s">
        <v>7</v>
      </c>
      <c r="H75" s="99">
        <v>42671</v>
      </c>
      <c r="I75" s="75" t="s">
        <v>645</v>
      </c>
      <c r="J75" s="331" t="s">
        <v>486</v>
      </c>
    </row>
    <row r="76" spans="1:10" ht="14.55" customHeight="1" x14ac:dyDescent="0.3">
      <c r="A76" s="186" t="str">
        <f>"PU/26."&amp;MAESTRO_LOTES_26[[#This Row],[FUNDO]]&amp;"."&amp;MAESTRO_LOTES_26[[#This Row],[LOTE]]</f>
        <v>PU/26.T5.G05</v>
      </c>
      <c r="B76" s="186" t="s">
        <v>108</v>
      </c>
      <c r="C76" s="287" t="s">
        <v>57</v>
      </c>
      <c r="D76" s="186" t="s">
        <v>248</v>
      </c>
      <c r="E76" s="186" t="str">
        <f>VLOOKUP(MAESTRO_LOTES_26[[#This Row],[VAR]],FUNDOS!$B$2:$C$19,2,FALSE)</f>
        <v>T5</v>
      </c>
      <c r="F76" s="1" t="s">
        <v>34</v>
      </c>
      <c r="G76" s="2" t="s">
        <v>7</v>
      </c>
      <c r="H76" s="99">
        <v>42668</v>
      </c>
      <c r="I76" s="75" t="s">
        <v>645</v>
      </c>
      <c r="J76" s="331" t="s">
        <v>486</v>
      </c>
    </row>
    <row r="77" spans="1:10" ht="14.55" customHeight="1" x14ac:dyDescent="0.3">
      <c r="A77" s="186" t="str">
        <f>"PU/26."&amp;MAESTRO_LOTES_26[[#This Row],[FUNDO]]&amp;"."&amp;MAESTRO_LOTES_26[[#This Row],[LOTE]]</f>
        <v>PU/26.T5.G06</v>
      </c>
      <c r="B77" s="186" t="s">
        <v>108</v>
      </c>
      <c r="C77" s="287" t="s">
        <v>58</v>
      </c>
      <c r="D77" s="186" t="s">
        <v>248</v>
      </c>
      <c r="E77" s="186" t="str">
        <f>VLOOKUP(MAESTRO_LOTES_26[[#This Row],[VAR]],FUNDOS!$B$2:$C$19,2,FALSE)</f>
        <v>T5</v>
      </c>
      <c r="F77" s="1" t="s">
        <v>34</v>
      </c>
      <c r="G77" s="2" t="s">
        <v>7</v>
      </c>
      <c r="H77" s="99">
        <v>42665</v>
      </c>
      <c r="I77" s="75" t="s">
        <v>645</v>
      </c>
      <c r="J77" s="331" t="s">
        <v>486</v>
      </c>
    </row>
    <row r="78" spans="1:10" ht="14.55" customHeight="1" x14ac:dyDescent="0.3">
      <c r="A78" s="186" t="str">
        <f>"PU/26."&amp;MAESTRO_LOTES_26[[#This Row],[FUNDO]]&amp;"."&amp;MAESTRO_LOTES_26[[#This Row],[LOTE]]</f>
        <v>PU/26.TT.G09</v>
      </c>
      <c r="B78" s="186" t="s">
        <v>163</v>
      </c>
      <c r="C78" s="287" t="s">
        <v>90</v>
      </c>
      <c r="D78" s="186" t="s">
        <v>245</v>
      </c>
      <c r="E78" s="186" t="str">
        <f>VLOOKUP(MAESTRO_LOTES_26[[#This Row],[VAR]],FUNDOS!$B$2:$C$19,2,FALSE)</f>
        <v>TT</v>
      </c>
      <c r="F78" s="1" t="s">
        <v>34</v>
      </c>
      <c r="G78" s="2" t="s">
        <v>7</v>
      </c>
      <c r="H78" s="99">
        <v>44763</v>
      </c>
      <c r="I78" s="75" t="s">
        <v>645</v>
      </c>
      <c r="J78" s="331" t="s">
        <v>486</v>
      </c>
    </row>
    <row r="79" spans="1:10" ht="14.55" customHeight="1" x14ac:dyDescent="0.3">
      <c r="A79" s="186" t="str">
        <f>"PU/26."&amp;MAESTRO_LOTES_26[[#This Row],[FUNDO]]&amp;"."&amp;MAESTRO_LOTES_26[[#This Row],[LOTE]]</f>
        <v>PU/26.TT.G10</v>
      </c>
      <c r="B79" s="186" t="s">
        <v>163</v>
      </c>
      <c r="C79" s="287" t="s">
        <v>92</v>
      </c>
      <c r="D79" s="186" t="s">
        <v>245</v>
      </c>
      <c r="E79" s="186" t="str">
        <f>VLOOKUP(MAESTRO_LOTES_26[[#This Row],[VAR]],FUNDOS!$B$2:$C$19,2,FALSE)</f>
        <v>TT</v>
      </c>
      <c r="F79" s="1" t="s">
        <v>34</v>
      </c>
      <c r="G79" s="2" t="s">
        <v>7</v>
      </c>
      <c r="H79" s="99">
        <v>44762</v>
      </c>
      <c r="I79" s="230" t="s">
        <v>645</v>
      </c>
      <c r="J79" s="331" t="s">
        <v>486</v>
      </c>
    </row>
    <row r="80" spans="1:10" ht="14.55" customHeight="1" x14ac:dyDescent="0.3">
      <c r="A80" s="186" t="str">
        <f>"PU/26."&amp;MAESTRO_LOTES_26[[#This Row],[FUNDO]]&amp;"."&amp;MAESTRO_LOTES_26[[#This Row],[LOTE]]</f>
        <v>PU/26.TT.G11</v>
      </c>
      <c r="B80" s="186" t="s">
        <v>163</v>
      </c>
      <c r="C80" s="260" t="s">
        <v>80</v>
      </c>
      <c r="D80" s="186" t="s">
        <v>245</v>
      </c>
      <c r="E80" s="186" t="str">
        <f>VLOOKUP(MAESTRO_LOTES_26[[#This Row],[VAR]],FUNDOS!$B$2:$C$19,2,FALSE)</f>
        <v>TT</v>
      </c>
      <c r="F80" s="1" t="s">
        <v>34</v>
      </c>
      <c r="G80" s="2" t="s">
        <v>7</v>
      </c>
      <c r="H80" s="99">
        <v>44759</v>
      </c>
      <c r="I80" s="230" t="s">
        <v>645</v>
      </c>
      <c r="J80" s="331" t="s">
        <v>486</v>
      </c>
    </row>
    <row r="81" spans="1:10" ht="14.55" customHeight="1" x14ac:dyDescent="0.3">
      <c r="A81" s="324"/>
      <c r="B81" s="324" t="s">
        <v>414</v>
      </c>
      <c r="C81" s="260" t="s">
        <v>80</v>
      </c>
      <c r="D81" s="324" t="s">
        <v>414</v>
      </c>
      <c r="E81" s="324" t="str">
        <f>VLOOKUP(MAESTRO_LOTES_26[[#This Row],[VAR]],FUNDOS!$B$2:$C$19,2,FALSE)</f>
        <v>T6</v>
      </c>
      <c r="F81" s="1" t="s">
        <v>415</v>
      </c>
      <c r="G81" s="326" t="s">
        <v>414</v>
      </c>
      <c r="H81" s="99">
        <v>44453</v>
      </c>
      <c r="I81" s="75" t="s">
        <v>645</v>
      </c>
      <c r="J81" s="332" t="s">
        <v>486</v>
      </c>
    </row>
    <row r="82" spans="1:10" ht="14.55" customHeight="1" x14ac:dyDescent="0.3">
      <c r="A82" s="186" t="str">
        <f>"PU/26."&amp;MAESTRO_LOTES_26[[#This Row],[FUNDO]]&amp;"."&amp;MAESTRO_LOTES_26[[#This Row],[LOTE]]</f>
        <v>PU/26.T9.G13</v>
      </c>
      <c r="B82" s="186" t="s">
        <v>109</v>
      </c>
      <c r="C82" s="260" t="s">
        <v>65</v>
      </c>
      <c r="D82" s="186" t="s">
        <v>246</v>
      </c>
      <c r="E82" s="186" t="str">
        <f>VLOOKUP(MAESTRO_LOTES_26[[#This Row],[VAR]],FUNDOS!$B$2:$C$19,2,FALSE)</f>
        <v>T9</v>
      </c>
      <c r="F82" s="1" t="s">
        <v>28</v>
      </c>
      <c r="G82" s="2" t="s">
        <v>7</v>
      </c>
      <c r="H82" s="99">
        <v>44428</v>
      </c>
      <c r="I82" s="75" t="s">
        <v>645</v>
      </c>
      <c r="J82" s="331" t="s">
        <v>490</v>
      </c>
    </row>
    <row r="83" spans="1:10" ht="14.55" customHeight="1" x14ac:dyDescent="0.3">
      <c r="A83" s="186" t="str">
        <f>"PU/26."&amp;MAESTRO_LOTES_26[[#This Row],[FUNDO]]&amp;"."&amp;MAESTRO_LOTES_26[[#This Row],[LOTE]]</f>
        <v>PU/26.TT.G14</v>
      </c>
      <c r="B83" s="186" t="s">
        <v>163</v>
      </c>
      <c r="C83" s="260" t="s">
        <v>88</v>
      </c>
      <c r="D83" s="186" t="s">
        <v>245</v>
      </c>
      <c r="E83" s="186" t="str">
        <f>VLOOKUP(MAESTRO_LOTES_26[[#This Row],[VAR]],FUNDOS!$B$2:$C$19,2,FALSE)</f>
        <v>TT</v>
      </c>
      <c r="F83" s="1" t="s">
        <v>28</v>
      </c>
      <c r="G83" s="2" t="s">
        <v>7</v>
      </c>
      <c r="H83" s="99">
        <v>44460</v>
      </c>
      <c r="I83" s="230" t="s">
        <v>645</v>
      </c>
      <c r="J83" s="331" t="s">
        <v>490</v>
      </c>
    </row>
    <row r="84" spans="1:10" x14ac:dyDescent="0.3">
      <c r="A84" s="186" t="str">
        <f>"PU/26."&amp;MAESTRO_LOTES_26[[#This Row],[FUNDO]]&amp;"."&amp;MAESTRO_LOTES_26[[#This Row],[LOTE]]</f>
        <v>PU/26.TT.G15</v>
      </c>
      <c r="B84" s="186" t="s">
        <v>163</v>
      </c>
      <c r="C84" s="260" t="s">
        <v>89</v>
      </c>
      <c r="D84" s="186" t="s">
        <v>245</v>
      </c>
      <c r="E84" s="186" t="str">
        <f>VLOOKUP(MAESTRO_LOTES_26[[#This Row],[VAR]],FUNDOS!$B$2:$C$19,2,FALSE)</f>
        <v>TT</v>
      </c>
      <c r="F84" s="1" t="s">
        <v>28</v>
      </c>
      <c r="G84" s="2" t="s">
        <v>7</v>
      </c>
      <c r="H84" s="99">
        <v>44467</v>
      </c>
      <c r="I84" s="75" t="s">
        <v>645</v>
      </c>
      <c r="J84" s="331" t="s">
        <v>490</v>
      </c>
    </row>
    <row r="85" spans="1:10" ht="14.55" customHeight="1" x14ac:dyDescent="0.3">
      <c r="A85" s="186"/>
      <c r="B85" s="186" t="s">
        <v>163</v>
      </c>
      <c r="C85" s="287" t="s">
        <v>130</v>
      </c>
      <c r="D85" s="186" t="s">
        <v>246</v>
      </c>
      <c r="E85" s="186" t="str">
        <f>VLOOKUP(MAESTRO_LOTES_26[[#This Row],[VAR]],FUNDOS!$B$2:$C$19,2,FALSE)</f>
        <v>T9</v>
      </c>
      <c r="F85" s="1" t="s">
        <v>34</v>
      </c>
      <c r="G85" s="2" t="s">
        <v>638</v>
      </c>
      <c r="H85" s="99">
        <v>44013</v>
      </c>
      <c r="I85" s="230" t="s">
        <v>645</v>
      </c>
      <c r="J85" s="331" t="s">
        <v>486</v>
      </c>
    </row>
    <row r="86" spans="1:10" ht="14.55" customHeight="1" x14ac:dyDescent="0.3">
      <c r="A86" s="186"/>
      <c r="B86" s="186" t="s">
        <v>163</v>
      </c>
      <c r="C86" s="287" t="s">
        <v>63</v>
      </c>
      <c r="D86" s="186" t="s">
        <v>246</v>
      </c>
      <c r="E86" s="186" t="str">
        <f>VLOOKUP(MAESTRO_LOTES_26[[#This Row],[VAR]],FUNDOS!$B$2:$C$19,2,FALSE)</f>
        <v>T9</v>
      </c>
      <c r="F86" s="1" t="s">
        <v>34</v>
      </c>
      <c r="G86" s="2" t="s">
        <v>638</v>
      </c>
      <c r="H86" s="99">
        <v>44013</v>
      </c>
      <c r="I86" s="230" t="s">
        <v>645</v>
      </c>
      <c r="J86" s="331" t="s">
        <v>486</v>
      </c>
    </row>
    <row r="87" spans="1:10" ht="14.55" customHeight="1" x14ac:dyDescent="0.3">
      <c r="A87" s="186"/>
      <c r="B87" s="186" t="s">
        <v>163</v>
      </c>
      <c r="C87" s="260" t="s">
        <v>64</v>
      </c>
      <c r="D87" s="186" t="s">
        <v>246</v>
      </c>
      <c r="E87" s="186" t="str">
        <f>VLOOKUP(MAESTRO_LOTES_26[[#This Row],[VAR]],FUNDOS!$B$2:$C$19,2,FALSE)</f>
        <v>T9</v>
      </c>
      <c r="F87" s="1" t="s">
        <v>34</v>
      </c>
      <c r="G87" s="2" t="s">
        <v>638</v>
      </c>
      <c r="H87" s="99">
        <v>43983</v>
      </c>
      <c r="I87" s="230" t="s">
        <v>645</v>
      </c>
      <c r="J87" s="331" t="s">
        <v>486</v>
      </c>
    </row>
    <row r="88" spans="1:10" x14ac:dyDescent="0.3">
      <c r="A88" s="186" t="str">
        <f>"PU/26."&amp;MAESTRO_LOTES_26[[#This Row],[FUNDO]]&amp;"."&amp;MAESTRO_LOTES_26[[#This Row],[LOTE]]</f>
        <v>PU/26.T9.H13</v>
      </c>
      <c r="B88" s="194" t="s">
        <v>109</v>
      </c>
      <c r="C88" s="261" t="s">
        <v>66</v>
      </c>
      <c r="D88" s="194" t="s">
        <v>246</v>
      </c>
      <c r="E88" s="194" t="str">
        <f>VLOOKUP(MAESTRO_LOTES_26[[#This Row],[VAR]],FUNDOS!$B$2:$C$19,2,FALSE)</f>
        <v>T9</v>
      </c>
      <c r="F88" s="1" t="s">
        <v>28</v>
      </c>
      <c r="G88" s="77" t="s">
        <v>7</v>
      </c>
      <c r="H88" s="99">
        <v>44394</v>
      </c>
      <c r="I88" s="80" t="s">
        <v>645</v>
      </c>
      <c r="J88" s="331" t="s">
        <v>490</v>
      </c>
    </row>
    <row r="89" spans="1:10" ht="14.55" customHeight="1" x14ac:dyDescent="0.3">
      <c r="A89" s="192" t="s">
        <v>601</v>
      </c>
      <c r="B89" s="186" t="s">
        <v>109</v>
      </c>
      <c r="C89" s="261" t="s">
        <v>101</v>
      </c>
      <c r="D89" s="186" t="s">
        <v>246</v>
      </c>
      <c r="E89" s="194" t="str">
        <f>VLOOKUP(MAESTRO_LOTES_26[[#This Row],[VAR]],FUNDOS!$B$2:$C$19,2,FALSE)</f>
        <v>T9</v>
      </c>
      <c r="F89" s="1" t="s">
        <v>28</v>
      </c>
      <c r="G89" s="2" t="s">
        <v>370</v>
      </c>
      <c r="H89" s="286">
        <v>45870</v>
      </c>
      <c r="I89" s="327" t="s">
        <v>645</v>
      </c>
      <c r="J89" s="331" t="s">
        <v>490</v>
      </c>
    </row>
    <row r="90" spans="1:10" ht="14.55" customHeight="1" x14ac:dyDescent="0.3">
      <c r="A90" s="186"/>
      <c r="B90" s="186" t="s">
        <v>163</v>
      </c>
      <c r="C90" s="261" t="s">
        <v>369</v>
      </c>
      <c r="D90" s="186" t="s">
        <v>525</v>
      </c>
      <c r="E90" s="194" t="str">
        <f>VLOOKUP(MAESTRO_LOTES_26[[#This Row],[VAR]],FUNDOS!$B$2:$C$19,2,FALSE)</f>
        <v>PD</v>
      </c>
      <c r="F90" s="1" t="s">
        <v>28</v>
      </c>
      <c r="G90" s="2" t="s">
        <v>638</v>
      </c>
      <c r="H90" s="286">
        <v>46235</v>
      </c>
      <c r="I90" s="80" t="s">
        <v>645</v>
      </c>
      <c r="J90" s="331" t="s">
        <v>490</v>
      </c>
    </row>
    <row r="91" spans="1:10" ht="14.55" customHeight="1" x14ac:dyDescent="0.3">
      <c r="A91" s="194"/>
      <c r="B91" s="194" t="s">
        <v>109</v>
      </c>
      <c r="C91" s="261" t="s">
        <v>102</v>
      </c>
      <c r="D91" s="194" t="s">
        <v>246</v>
      </c>
      <c r="E91" s="194" t="str">
        <f>VLOOKUP(MAESTRO_LOTES_26[[#This Row],[VAR]],FUNDOS!$B$2:$C$19,2,FALSE)</f>
        <v>T9</v>
      </c>
      <c r="F91" s="1" t="s">
        <v>28</v>
      </c>
      <c r="G91" s="77" t="s">
        <v>638</v>
      </c>
      <c r="H91" s="286">
        <v>46235</v>
      </c>
      <c r="I91" s="80" t="s">
        <v>645</v>
      </c>
      <c r="J91" s="331" t="s">
        <v>490</v>
      </c>
    </row>
    <row r="92" spans="1:10" ht="14.55" customHeight="1" x14ac:dyDescent="0.3">
      <c r="A92" s="194"/>
      <c r="B92" s="194" t="s">
        <v>109</v>
      </c>
      <c r="C92" s="261" t="s">
        <v>103</v>
      </c>
      <c r="D92" s="194" t="s">
        <v>525</v>
      </c>
      <c r="E92" s="194" t="str">
        <f>VLOOKUP(MAESTRO_LOTES_26[[#This Row],[VAR]],FUNDOS!$B$2:$C$19,2,FALSE)</f>
        <v>PD</v>
      </c>
      <c r="F92" s="1" t="s">
        <v>28</v>
      </c>
      <c r="G92" s="77" t="s">
        <v>638</v>
      </c>
      <c r="H92" s="286">
        <v>45870</v>
      </c>
      <c r="I92" s="327" t="s">
        <v>645</v>
      </c>
      <c r="J92" s="331" t="s">
        <v>490</v>
      </c>
    </row>
    <row r="93" spans="1:10" ht="14.55" customHeight="1" x14ac:dyDescent="0.3">
      <c r="A93" s="325" t="s">
        <v>600</v>
      </c>
      <c r="B93" s="194" t="s">
        <v>109</v>
      </c>
      <c r="C93" s="261" t="s">
        <v>104</v>
      </c>
      <c r="D93" s="79" t="s">
        <v>246</v>
      </c>
      <c r="E93" s="194" t="str">
        <f>VLOOKUP(MAESTRO_LOTES_26[[#This Row],[VAR]],FUNDOS!$B$2:$C$19,2,FALSE)</f>
        <v>T9</v>
      </c>
      <c r="F93" s="1" t="s">
        <v>28</v>
      </c>
      <c r="G93" s="77" t="s">
        <v>370</v>
      </c>
      <c r="H93" s="286">
        <v>45870</v>
      </c>
      <c r="I93" s="327" t="s">
        <v>645</v>
      </c>
      <c r="J93" s="331" t="s">
        <v>490</v>
      </c>
    </row>
    <row r="94" spans="1:10" x14ac:dyDescent="0.3">
      <c r="C94" s="244" t="s">
        <v>538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1"/>
  <dimension ref="A1:K7"/>
  <sheetViews>
    <sheetView zoomScale="90" zoomScaleNormal="90" workbookViewId="0">
      <selection activeCell="D7" sqref="D7"/>
    </sheetView>
  </sheetViews>
  <sheetFormatPr baseColWidth="10" defaultRowHeight="14.4" x14ac:dyDescent="0.3"/>
  <cols>
    <col min="1" max="1" width="6.21875" bestFit="1" customWidth="1"/>
    <col min="2" max="2" width="9" bestFit="1" customWidth="1"/>
    <col min="3" max="3" width="8.21875" bestFit="1" customWidth="1"/>
    <col min="4" max="4" width="12.77734375" bestFit="1" customWidth="1"/>
    <col min="5" max="5" width="24.77734375" bestFit="1" customWidth="1"/>
    <col min="6" max="6" width="34.21875" bestFit="1" customWidth="1"/>
    <col min="7" max="7" width="34.5546875" bestFit="1" customWidth="1"/>
    <col min="8" max="8" width="21.88671875" bestFit="1" customWidth="1"/>
    <col min="9" max="9" width="8.88671875" bestFit="1" customWidth="1"/>
    <col min="10" max="10" width="18.21875" bestFit="1" customWidth="1"/>
  </cols>
  <sheetData>
    <row r="1" spans="1:11" x14ac:dyDescent="0.3">
      <c r="A1" s="311" t="s">
        <v>214</v>
      </c>
      <c r="B1" s="311" t="s">
        <v>649</v>
      </c>
      <c r="C1" s="311" t="s">
        <v>650</v>
      </c>
      <c r="D1" s="311" t="s">
        <v>651</v>
      </c>
      <c r="E1" s="311" t="s">
        <v>652</v>
      </c>
      <c r="F1" s="311" t="s">
        <v>653</v>
      </c>
      <c r="G1" s="311" t="s">
        <v>654</v>
      </c>
      <c r="H1" s="312" t="s">
        <v>656</v>
      </c>
      <c r="I1" s="312" t="s">
        <v>129</v>
      </c>
      <c r="J1" s="312" t="s">
        <v>657</v>
      </c>
    </row>
    <row r="2" spans="1:11" x14ac:dyDescent="0.3">
      <c r="A2" t="s">
        <v>6</v>
      </c>
      <c r="B2" s="244">
        <v>14.87</v>
      </c>
      <c r="C2">
        <v>4536</v>
      </c>
      <c r="D2">
        <v>23629</v>
      </c>
      <c r="E2" s="308">
        <v>28165</v>
      </c>
      <c r="F2">
        <v>300</v>
      </c>
      <c r="G2">
        <v>23929</v>
      </c>
      <c r="H2" s="309">
        <f>E2+F2</f>
        <v>28465</v>
      </c>
      <c r="I2" s="306">
        <f>G2/B2</f>
        <v>1609.2131809011432</v>
      </c>
      <c r="J2" s="310">
        <f>(E2+F2)/1905</f>
        <v>14.94225721784777</v>
      </c>
      <c r="K2" s="309">
        <f>H2/B2</f>
        <v>1914.2568930733021</v>
      </c>
    </row>
    <row r="3" spans="1:11" x14ac:dyDescent="0.3">
      <c r="A3" t="s">
        <v>11</v>
      </c>
      <c r="B3" s="244">
        <v>14.83</v>
      </c>
      <c r="C3">
        <v>0</v>
      </c>
      <c r="D3">
        <v>28179</v>
      </c>
      <c r="E3" s="308">
        <v>28179</v>
      </c>
      <c r="F3">
        <v>250</v>
      </c>
      <c r="G3">
        <v>28429</v>
      </c>
      <c r="H3" s="309">
        <f t="shared" ref="H3:H6" si="0">E3+F3</f>
        <v>28429</v>
      </c>
      <c r="I3" s="306">
        <f t="shared" ref="I3:I6" si="1">G3/B3</f>
        <v>1916.992582602832</v>
      </c>
      <c r="J3" s="310">
        <f t="shared" ref="J3:J6" si="2">(E3+F3)/1905</f>
        <v>14.923359580052493</v>
      </c>
      <c r="K3" s="309">
        <f t="shared" ref="K3:K6" si="3">H3/B3</f>
        <v>1916.992582602832</v>
      </c>
    </row>
    <row r="4" spans="1:11" x14ac:dyDescent="0.3">
      <c r="A4" t="s">
        <v>13</v>
      </c>
      <c r="B4" s="244">
        <v>13.21</v>
      </c>
      <c r="C4">
        <v>0</v>
      </c>
      <c r="D4">
        <v>25056</v>
      </c>
      <c r="E4" s="308">
        <v>25056</v>
      </c>
      <c r="F4">
        <v>195</v>
      </c>
      <c r="G4">
        <v>25251</v>
      </c>
      <c r="H4" s="309">
        <f t="shared" si="0"/>
        <v>25251</v>
      </c>
      <c r="I4" s="306">
        <f t="shared" si="1"/>
        <v>1911.5064345193034</v>
      </c>
      <c r="J4" s="310">
        <f t="shared" si="2"/>
        <v>13.25511811023622</v>
      </c>
      <c r="K4" s="309">
        <f t="shared" si="3"/>
        <v>1911.5064345193034</v>
      </c>
    </row>
    <row r="5" spans="1:11" x14ac:dyDescent="0.3">
      <c r="A5" t="s">
        <v>15</v>
      </c>
      <c r="B5" s="244">
        <v>13.93</v>
      </c>
      <c r="C5">
        <v>0</v>
      </c>
      <c r="D5">
        <v>24723</v>
      </c>
      <c r="E5" s="308">
        <v>24723</v>
      </c>
      <c r="F5">
        <v>1811</v>
      </c>
      <c r="G5">
        <v>26534</v>
      </c>
      <c r="H5" s="309">
        <f t="shared" si="0"/>
        <v>26534</v>
      </c>
      <c r="I5" s="306">
        <f t="shared" si="1"/>
        <v>1904.8097631012204</v>
      </c>
      <c r="J5" s="310">
        <f t="shared" si="2"/>
        <v>13.928608923884514</v>
      </c>
      <c r="K5" s="309">
        <f t="shared" si="3"/>
        <v>1904.8097631012204</v>
      </c>
    </row>
    <row r="6" spans="1:11" x14ac:dyDescent="0.3">
      <c r="A6" s="313" t="s">
        <v>655</v>
      </c>
      <c r="B6" s="313">
        <v>56.84</v>
      </c>
      <c r="C6" s="313">
        <v>4536</v>
      </c>
      <c r="D6" s="313">
        <v>101587</v>
      </c>
      <c r="E6" s="314">
        <v>106123</v>
      </c>
      <c r="F6" s="313">
        <v>2556</v>
      </c>
      <c r="G6" s="313">
        <v>104143</v>
      </c>
      <c r="H6" s="315">
        <f t="shared" si="0"/>
        <v>108679</v>
      </c>
      <c r="I6" s="314">
        <f t="shared" si="1"/>
        <v>1832.2132301196339</v>
      </c>
      <c r="J6" s="316">
        <f t="shared" si="2"/>
        <v>57.049343832020995</v>
      </c>
      <c r="K6" s="309">
        <f t="shared" si="3"/>
        <v>1912.0161857846585</v>
      </c>
    </row>
    <row r="7" spans="1:11" x14ac:dyDescent="0.3">
      <c r="B7">
        <f>B6*1905</f>
        <v>108280.20000000001</v>
      </c>
      <c r="C7" s="307">
        <f>B7-G6</f>
        <v>4137.2000000000116</v>
      </c>
    </row>
  </sheetData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"/>
  <dimension ref="A1:L36"/>
  <sheetViews>
    <sheetView workbookViewId="0">
      <pane ySplit="1" topLeftCell="A14" activePane="bottomLeft" state="frozen"/>
      <selection pane="bottomLeft" activeCell="L38" sqref="L38:L53"/>
    </sheetView>
  </sheetViews>
  <sheetFormatPr baseColWidth="10" defaultRowHeight="14.4" x14ac:dyDescent="0.3"/>
  <cols>
    <col min="2" max="2" width="11.44140625"/>
    <col min="3" max="9" width="11.44140625" customWidth="1"/>
    <col min="10" max="10" width="12.5546875" customWidth="1"/>
    <col min="11" max="12" width="11.44140625"/>
  </cols>
  <sheetData>
    <row r="1" spans="1:12" ht="28.8" x14ac:dyDescent="0.3">
      <c r="A1" t="s">
        <v>559</v>
      </c>
      <c r="B1" s="268" t="s">
        <v>214</v>
      </c>
      <c r="C1" s="269" t="s">
        <v>553</v>
      </c>
      <c r="D1" s="270" t="s">
        <v>554</v>
      </c>
      <c r="E1" s="267" t="s">
        <v>552</v>
      </c>
      <c r="F1" s="271" t="s">
        <v>162</v>
      </c>
      <c r="G1" s="272" t="s">
        <v>555</v>
      </c>
      <c r="H1" s="267" t="s">
        <v>556</v>
      </c>
      <c r="I1" s="274" t="s">
        <v>557</v>
      </c>
      <c r="J1" s="274" t="s">
        <v>558</v>
      </c>
      <c r="K1" s="265" t="s">
        <v>551</v>
      </c>
      <c r="L1" t="s">
        <v>568</v>
      </c>
    </row>
    <row r="2" spans="1:12" x14ac:dyDescent="0.3">
      <c r="A2" t="s">
        <v>242</v>
      </c>
      <c r="B2" s="263" t="s">
        <v>541</v>
      </c>
      <c r="C2" s="264">
        <v>26390</v>
      </c>
      <c r="D2" s="264">
        <v>36</v>
      </c>
      <c r="E2" s="266">
        <v>26426</v>
      </c>
      <c r="F2" s="264">
        <v>8</v>
      </c>
      <c r="G2" s="264">
        <v>52</v>
      </c>
      <c r="H2" s="266">
        <v>26486</v>
      </c>
      <c r="I2" s="264">
        <v>2070</v>
      </c>
      <c r="J2" s="275">
        <v>12.77</v>
      </c>
      <c r="K2" s="266">
        <v>26486</v>
      </c>
      <c r="L2" t="str">
        <f>normaliza(B2)</f>
        <v>C06</v>
      </c>
    </row>
    <row r="3" spans="1:12" x14ac:dyDescent="0.3">
      <c r="A3" t="s">
        <v>242</v>
      </c>
      <c r="B3" s="263" t="s">
        <v>542</v>
      </c>
      <c r="C3" s="263">
        <v>30872</v>
      </c>
      <c r="D3" s="263">
        <v>137</v>
      </c>
      <c r="E3" s="266">
        <v>31009</v>
      </c>
      <c r="F3" s="273">
        <v>7</v>
      </c>
      <c r="G3" s="273">
        <v>22</v>
      </c>
      <c r="H3" s="266">
        <v>31038</v>
      </c>
      <c r="I3" s="264">
        <v>2070</v>
      </c>
      <c r="J3" s="275">
        <v>14.9</v>
      </c>
      <c r="K3" s="266">
        <v>31038</v>
      </c>
      <c r="L3" t="str">
        <f t="shared" ref="L3:L36" si="0">normaliza(B3)</f>
        <v>C05</v>
      </c>
    </row>
    <row r="4" spans="1:12" x14ac:dyDescent="0.3">
      <c r="A4" t="s">
        <v>242</v>
      </c>
      <c r="B4" s="263" t="s">
        <v>543</v>
      </c>
      <c r="C4" s="264">
        <v>28892</v>
      </c>
      <c r="D4" s="264">
        <v>273</v>
      </c>
      <c r="E4" s="266">
        <v>29165</v>
      </c>
      <c r="F4" s="264">
        <v>84</v>
      </c>
      <c r="G4" s="264">
        <v>174</v>
      </c>
      <c r="H4" s="266">
        <v>29423</v>
      </c>
      <c r="I4" s="264">
        <v>2070</v>
      </c>
      <c r="J4" s="275">
        <v>14.21</v>
      </c>
      <c r="K4" s="266">
        <v>29423</v>
      </c>
      <c r="L4" t="str">
        <f t="shared" si="0"/>
        <v>C04</v>
      </c>
    </row>
    <row r="5" spans="1:12" x14ac:dyDescent="0.3">
      <c r="A5" t="s">
        <v>242</v>
      </c>
      <c r="B5" s="263" t="s">
        <v>544</v>
      </c>
      <c r="C5" s="263">
        <v>26085</v>
      </c>
      <c r="D5" s="263">
        <v>783</v>
      </c>
      <c r="E5" s="266">
        <v>26868</v>
      </c>
      <c r="F5" s="263">
        <v>25</v>
      </c>
      <c r="G5" s="263">
        <v>222</v>
      </c>
      <c r="H5" s="266">
        <v>27115</v>
      </c>
      <c r="I5" s="264">
        <v>2070</v>
      </c>
      <c r="J5" s="275">
        <v>15</v>
      </c>
      <c r="K5" s="266">
        <v>27115</v>
      </c>
      <c r="L5" t="str">
        <f t="shared" si="0"/>
        <v>D06</v>
      </c>
    </row>
    <row r="6" spans="1:12" x14ac:dyDescent="0.3">
      <c r="A6" t="s">
        <v>242</v>
      </c>
      <c r="B6" s="263" t="s">
        <v>545</v>
      </c>
      <c r="C6" s="264">
        <v>27849</v>
      </c>
      <c r="D6" s="264">
        <v>351</v>
      </c>
      <c r="E6" s="266">
        <v>28200</v>
      </c>
      <c r="F6" s="263">
        <v>36</v>
      </c>
      <c r="G6" s="263">
        <v>224</v>
      </c>
      <c r="H6" s="266">
        <v>28460</v>
      </c>
      <c r="I6" s="264">
        <v>2070</v>
      </c>
      <c r="J6" s="275">
        <v>13.75</v>
      </c>
      <c r="K6" s="266">
        <v>28460</v>
      </c>
      <c r="L6" t="str">
        <f t="shared" si="0"/>
        <v>D04</v>
      </c>
    </row>
    <row r="7" spans="1:12" x14ac:dyDescent="0.3">
      <c r="A7" t="s">
        <v>242</v>
      </c>
      <c r="B7" s="263" t="s">
        <v>546</v>
      </c>
      <c r="C7" s="264">
        <v>27680</v>
      </c>
      <c r="D7" s="264">
        <v>325</v>
      </c>
      <c r="E7" s="266">
        <v>28005</v>
      </c>
      <c r="F7" s="264">
        <v>27</v>
      </c>
      <c r="G7" s="264">
        <v>121</v>
      </c>
      <c r="H7" s="266">
        <v>28153</v>
      </c>
      <c r="I7" s="264">
        <v>1953</v>
      </c>
      <c r="J7" s="275">
        <v>14.2</v>
      </c>
      <c r="K7" s="266">
        <v>28153</v>
      </c>
      <c r="L7" t="str">
        <f t="shared" si="0"/>
        <v>F05</v>
      </c>
    </row>
    <row r="8" spans="1:12" x14ac:dyDescent="0.3">
      <c r="A8" t="s">
        <v>242</v>
      </c>
      <c r="B8" s="263" t="s">
        <v>547</v>
      </c>
      <c r="C8" s="264">
        <v>26135</v>
      </c>
      <c r="D8" s="264">
        <v>0</v>
      </c>
      <c r="E8" s="266">
        <v>26135</v>
      </c>
      <c r="F8" s="264">
        <v>1</v>
      </c>
      <c r="G8" s="264">
        <v>104</v>
      </c>
      <c r="H8" s="266">
        <v>26240</v>
      </c>
      <c r="I8" s="264">
        <v>1780</v>
      </c>
      <c r="J8" s="275">
        <v>14.69</v>
      </c>
      <c r="K8" s="266">
        <v>26240</v>
      </c>
      <c r="L8" t="str">
        <f t="shared" si="0"/>
        <v>E06</v>
      </c>
    </row>
    <row r="9" spans="1:12" x14ac:dyDescent="0.3">
      <c r="A9" t="s">
        <v>242</v>
      </c>
      <c r="B9" s="263" t="s">
        <v>548</v>
      </c>
      <c r="C9" s="264">
        <v>26171</v>
      </c>
      <c r="D9" s="264">
        <v>253</v>
      </c>
      <c r="E9" s="266">
        <v>26424</v>
      </c>
      <c r="F9" s="273">
        <v>16</v>
      </c>
      <c r="G9" s="264">
        <v>191</v>
      </c>
      <c r="H9" s="266">
        <v>26631</v>
      </c>
      <c r="I9" s="264">
        <v>1780</v>
      </c>
      <c r="J9" s="275">
        <v>14.9</v>
      </c>
      <c r="K9" s="266">
        <v>26631</v>
      </c>
      <c r="L9" t="str">
        <f t="shared" si="0"/>
        <v>E07</v>
      </c>
    </row>
    <row r="10" spans="1:12" x14ac:dyDescent="0.3">
      <c r="A10" t="s">
        <v>242</v>
      </c>
      <c r="B10" s="263" t="s">
        <v>549</v>
      </c>
      <c r="C10" s="264">
        <v>24960</v>
      </c>
      <c r="D10" s="264">
        <v>316</v>
      </c>
      <c r="E10" s="266">
        <v>25276</v>
      </c>
      <c r="F10" s="263">
        <v>9</v>
      </c>
      <c r="G10" s="263">
        <v>1418</v>
      </c>
      <c r="H10" s="266">
        <v>26703</v>
      </c>
      <c r="I10" s="264">
        <v>1780</v>
      </c>
      <c r="J10" s="275">
        <v>15</v>
      </c>
      <c r="K10" s="266">
        <v>26703</v>
      </c>
      <c r="L10" t="str">
        <f t="shared" si="0"/>
        <v>F09</v>
      </c>
    </row>
    <row r="11" spans="1:12" x14ac:dyDescent="0.3">
      <c r="A11" t="s">
        <v>242</v>
      </c>
      <c r="B11" s="263" t="s">
        <v>31</v>
      </c>
      <c r="C11" s="263">
        <v>12589</v>
      </c>
      <c r="D11" s="263">
        <v>3548</v>
      </c>
      <c r="E11" s="266">
        <v>16137</v>
      </c>
      <c r="F11" s="263">
        <v>3</v>
      </c>
      <c r="G11" s="263">
        <v>2532</v>
      </c>
      <c r="H11" s="266">
        <v>18672</v>
      </c>
      <c r="I11" s="264">
        <v>1905</v>
      </c>
      <c r="J11" s="275">
        <v>13.23</v>
      </c>
      <c r="K11" s="266">
        <v>18672</v>
      </c>
      <c r="L11" t="str">
        <f t="shared" si="0"/>
        <v>F12</v>
      </c>
    </row>
    <row r="12" spans="1:12" x14ac:dyDescent="0.3">
      <c r="A12" t="s">
        <v>242</v>
      </c>
      <c r="B12" s="263" t="s">
        <v>550</v>
      </c>
      <c r="C12" s="264">
        <v>25290</v>
      </c>
      <c r="D12" s="264">
        <v>0</v>
      </c>
      <c r="E12" s="266">
        <v>25290</v>
      </c>
      <c r="F12" s="264">
        <v>46</v>
      </c>
      <c r="G12" s="264">
        <v>811</v>
      </c>
      <c r="H12" s="266">
        <v>26147</v>
      </c>
      <c r="I12" s="264">
        <v>1780</v>
      </c>
      <c r="J12" s="275">
        <v>14.21</v>
      </c>
      <c r="K12" s="266">
        <v>26147</v>
      </c>
      <c r="L12" t="str">
        <f t="shared" si="0"/>
        <v>B04</v>
      </c>
    </row>
    <row r="13" spans="1:12" x14ac:dyDescent="0.3">
      <c r="A13" t="s">
        <v>245</v>
      </c>
      <c r="B13" s="263" t="s">
        <v>88</v>
      </c>
      <c r="C13" s="263">
        <v>27025</v>
      </c>
      <c r="D13" s="263">
        <v>791</v>
      </c>
      <c r="E13" s="276">
        <v>27816</v>
      </c>
      <c r="F13" s="263">
        <v>411</v>
      </c>
      <c r="G13" s="263">
        <v>141</v>
      </c>
      <c r="H13" s="276">
        <v>28368</v>
      </c>
      <c r="I13" s="277">
        <v>1838</v>
      </c>
      <c r="J13" s="278">
        <v>15.43</v>
      </c>
      <c r="K13" s="276">
        <v>28368</v>
      </c>
      <c r="L13" t="str">
        <f t="shared" si="0"/>
        <v>G14</v>
      </c>
    </row>
    <row r="14" spans="1:12" x14ac:dyDescent="0.3">
      <c r="A14" t="s">
        <v>245</v>
      </c>
      <c r="B14" s="263" t="s">
        <v>89</v>
      </c>
      <c r="C14" s="263">
        <v>19425</v>
      </c>
      <c r="D14" s="263">
        <v>610</v>
      </c>
      <c r="E14" s="276">
        <v>20035</v>
      </c>
      <c r="F14" s="263">
        <v>707</v>
      </c>
      <c r="G14" s="263">
        <v>194</v>
      </c>
      <c r="H14" s="276">
        <v>20936</v>
      </c>
      <c r="I14" s="277">
        <v>1838</v>
      </c>
      <c r="J14" s="278">
        <v>11.38</v>
      </c>
      <c r="K14" s="276">
        <v>20936</v>
      </c>
      <c r="L14" t="str">
        <f t="shared" si="0"/>
        <v>G15</v>
      </c>
    </row>
    <row r="15" spans="1:12" x14ac:dyDescent="0.3">
      <c r="A15" t="s">
        <v>245</v>
      </c>
      <c r="B15" s="263" t="s">
        <v>90</v>
      </c>
      <c r="C15" s="263">
        <v>21290</v>
      </c>
      <c r="D15" s="263">
        <v>904</v>
      </c>
      <c r="E15" s="276">
        <v>22194</v>
      </c>
      <c r="F15" s="263">
        <v>38</v>
      </c>
      <c r="G15" s="263">
        <v>161</v>
      </c>
      <c r="H15" s="276">
        <v>22393</v>
      </c>
      <c r="I15" s="277">
        <v>1914</v>
      </c>
      <c r="J15" s="278">
        <v>11.42</v>
      </c>
      <c r="K15" s="276">
        <v>22393</v>
      </c>
      <c r="L15" t="str">
        <f t="shared" si="0"/>
        <v>G09</v>
      </c>
    </row>
    <row r="16" spans="1:12" x14ac:dyDescent="0.3">
      <c r="A16" t="s">
        <v>245</v>
      </c>
      <c r="B16" s="263" t="s">
        <v>92</v>
      </c>
      <c r="C16" s="263">
        <v>26033</v>
      </c>
      <c r="D16" s="263">
        <v>1998</v>
      </c>
      <c r="E16" s="276">
        <v>28031</v>
      </c>
      <c r="F16" s="263">
        <v>46</v>
      </c>
      <c r="G16" s="263">
        <v>279</v>
      </c>
      <c r="H16" s="276">
        <v>28356</v>
      </c>
      <c r="I16" s="277">
        <v>1914</v>
      </c>
      <c r="J16" s="278"/>
      <c r="K16" s="276">
        <v>28356</v>
      </c>
      <c r="L16" t="str">
        <f t="shared" si="0"/>
        <v>G10</v>
      </c>
    </row>
    <row r="17" spans="1:12" x14ac:dyDescent="0.3">
      <c r="A17" t="s">
        <v>245</v>
      </c>
      <c r="B17" s="263" t="s">
        <v>80</v>
      </c>
      <c r="C17" s="263">
        <v>16583</v>
      </c>
      <c r="D17" s="263">
        <v>869</v>
      </c>
      <c r="E17" s="276">
        <v>17452</v>
      </c>
      <c r="F17" s="263">
        <v>59</v>
      </c>
      <c r="G17" s="263">
        <v>1527</v>
      </c>
      <c r="H17" s="276">
        <v>19038</v>
      </c>
      <c r="I17" s="277">
        <v>1780</v>
      </c>
      <c r="J17" s="278">
        <v>10.7</v>
      </c>
      <c r="K17" s="276">
        <v>19038</v>
      </c>
      <c r="L17" t="str">
        <f t="shared" si="0"/>
        <v>G11</v>
      </c>
    </row>
    <row r="18" spans="1:12" x14ac:dyDescent="0.3">
      <c r="A18" t="s">
        <v>245</v>
      </c>
      <c r="B18" s="263" t="s">
        <v>560</v>
      </c>
      <c r="C18" s="263">
        <v>26183</v>
      </c>
      <c r="D18" s="263">
        <v>1789</v>
      </c>
      <c r="E18" s="276">
        <v>27972</v>
      </c>
      <c r="F18" s="263">
        <v>260</v>
      </c>
      <c r="G18" s="263">
        <v>144</v>
      </c>
      <c r="H18" s="276">
        <v>28376</v>
      </c>
      <c r="I18" s="277">
        <v>1905</v>
      </c>
      <c r="J18" s="278">
        <v>14.9</v>
      </c>
      <c r="K18" s="276">
        <v>28376</v>
      </c>
      <c r="L18" t="str">
        <f t="shared" si="0"/>
        <v>C02</v>
      </c>
    </row>
    <row r="19" spans="1:12" x14ac:dyDescent="0.3">
      <c r="A19" t="s">
        <v>245</v>
      </c>
      <c r="B19" s="263" t="s">
        <v>561</v>
      </c>
      <c r="C19" s="263">
        <v>27610</v>
      </c>
      <c r="D19" s="263">
        <v>585</v>
      </c>
      <c r="E19" s="276">
        <v>28195</v>
      </c>
      <c r="F19" s="263">
        <v>143</v>
      </c>
      <c r="G19" s="263">
        <v>38</v>
      </c>
      <c r="H19" s="276">
        <v>28376</v>
      </c>
      <c r="I19" s="277">
        <v>1905</v>
      </c>
      <c r="J19" s="278">
        <v>15</v>
      </c>
      <c r="K19" s="276">
        <v>28376</v>
      </c>
      <c r="L19" t="str">
        <f t="shared" si="0"/>
        <v>C01</v>
      </c>
    </row>
    <row r="20" spans="1:12" x14ac:dyDescent="0.3">
      <c r="A20" t="s">
        <v>245</v>
      </c>
      <c r="B20" s="263" t="s">
        <v>96</v>
      </c>
      <c r="C20" s="263">
        <v>20644</v>
      </c>
      <c r="D20" s="263">
        <v>1855</v>
      </c>
      <c r="E20" s="276">
        <v>22499</v>
      </c>
      <c r="F20" s="263">
        <v>159</v>
      </c>
      <c r="G20" s="263">
        <v>397</v>
      </c>
      <c r="H20" s="276">
        <v>23055</v>
      </c>
      <c r="I20" s="277">
        <v>1905</v>
      </c>
      <c r="J20" s="278">
        <v>12.1</v>
      </c>
      <c r="K20" s="276">
        <v>23055</v>
      </c>
      <c r="L20" t="str">
        <f t="shared" si="0"/>
        <v>D14</v>
      </c>
    </row>
    <row r="21" spans="1:12" x14ac:dyDescent="0.3">
      <c r="A21" t="s">
        <v>245</v>
      </c>
      <c r="B21" s="263" t="s">
        <v>97</v>
      </c>
      <c r="C21" s="263">
        <v>24819</v>
      </c>
      <c r="D21" s="263">
        <v>103</v>
      </c>
      <c r="E21" s="276">
        <v>24922</v>
      </c>
      <c r="F21" s="263">
        <v>127</v>
      </c>
      <c r="G21" s="263">
        <v>274</v>
      </c>
      <c r="H21" s="276">
        <v>25323</v>
      </c>
      <c r="I21" s="277">
        <v>1905</v>
      </c>
      <c r="J21" s="278">
        <v>13.29</v>
      </c>
      <c r="K21" s="276">
        <v>25323</v>
      </c>
      <c r="L21" t="str">
        <f t="shared" si="0"/>
        <v>D15</v>
      </c>
    </row>
    <row r="22" spans="1:12" x14ac:dyDescent="0.3">
      <c r="A22" t="s">
        <v>245</v>
      </c>
      <c r="B22" s="263" t="s">
        <v>48</v>
      </c>
      <c r="C22" s="263">
        <v>30267</v>
      </c>
      <c r="D22" s="263">
        <v>3079</v>
      </c>
      <c r="E22" s="276">
        <v>33346</v>
      </c>
      <c r="F22" s="263">
        <v>68</v>
      </c>
      <c r="G22" s="263">
        <v>1493</v>
      </c>
      <c r="H22" s="276">
        <v>34907</v>
      </c>
      <c r="I22" s="277">
        <v>1905</v>
      </c>
      <c r="J22" s="278">
        <v>18.32</v>
      </c>
      <c r="K22" s="276">
        <v>34907</v>
      </c>
      <c r="L22" t="str">
        <f t="shared" si="0"/>
        <v>D12</v>
      </c>
    </row>
    <row r="23" spans="1:12" x14ac:dyDescent="0.3">
      <c r="A23" t="s">
        <v>246</v>
      </c>
      <c r="B23" s="263" t="s">
        <v>562</v>
      </c>
      <c r="C23" s="263">
        <v>6904</v>
      </c>
      <c r="D23" s="263">
        <v>0</v>
      </c>
      <c r="E23" s="276">
        <v>6904</v>
      </c>
      <c r="F23" s="263">
        <v>10</v>
      </c>
      <c r="G23" s="263">
        <v>262</v>
      </c>
      <c r="H23" s="276">
        <v>7176</v>
      </c>
      <c r="I23" s="277">
        <v>1905</v>
      </c>
      <c r="J23" s="279">
        <v>3.7</v>
      </c>
      <c r="K23" s="276">
        <v>7176</v>
      </c>
      <c r="L23" t="str">
        <f t="shared" si="0"/>
        <v>C07</v>
      </c>
    </row>
    <row r="24" spans="1:12" x14ac:dyDescent="0.3">
      <c r="A24" t="s">
        <v>246</v>
      </c>
      <c r="B24" s="263" t="s">
        <v>563</v>
      </c>
      <c r="C24" s="263">
        <v>12736</v>
      </c>
      <c r="D24" s="263">
        <v>0</v>
      </c>
      <c r="E24" s="276">
        <v>12736</v>
      </c>
      <c r="F24" s="263">
        <v>46</v>
      </c>
      <c r="G24" s="263">
        <v>583</v>
      </c>
      <c r="H24" s="276">
        <v>13365</v>
      </c>
      <c r="I24" s="277">
        <v>1905</v>
      </c>
      <c r="J24" s="279">
        <v>7</v>
      </c>
      <c r="K24" s="276">
        <v>13365</v>
      </c>
      <c r="L24" t="str">
        <f t="shared" si="0"/>
        <v>B07</v>
      </c>
    </row>
    <row r="25" spans="1:12" x14ac:dyDescent="0.3">
      <c r="A25" t="s">
        <v>246</v>
      </c>
      <c r="B25" s="263" t="s">
        <v>64</v>
      </c>
      <c r="C25" s="263">
        <v>23090</v>
      </c>
      <c r="D25" s="263">
        <v>1127</v>
      </c>
      <c r="E25" s="276">
        <v>24217</v>
      </c>
      <c r="F25" s="263">
        <v>0</v>
      </c>
      <c r="G25" s="263">
        <v>60</v>
      </c>
      <c r="H25" s="276">
        <v>24277</v>
      </c>
      <c r="I25" s="277">
        <v>1780</v>
      </c>
      <c r="J25" s="279">
        <v>13.6</v>
      </c>
      <c r="K25" s="276">
        <v>24277</v>
      </c>
      <c r="L25" t="str">
        <f t="shared" si="0"/>
        <v>H11</v>
      </c>
    </row>
    <row r="26" spans="1:12" x14ac:dyDescent="0.3">
      <c r="A26" t="s">
        <v>246</v>
      </c>
      <c r="B26" s="263" t="s">
        <v>63</v>
      </c>
      <c r="C26" s="263">
        <v>24479</v>
      </c>
      <c r="D26" s="263">
        <v>847</v>
      </c>
      <c r="E26" s="276">
        <v>25326</v>
      </c>
      <c r="F26" s="263">
        <v>0</v>
      </c>
      <c r="G26" s="263">
        <v>394</v>
      </c>
      <c r="H26" s="276">
        <v>25720</v>
      </c>
      <c r="I26" s="277">
        <v>1780</v>
      </c>
      <c r="J26" s="279">
        <v>14.45</v>
      </c>
      <c r="K26" s="276">
        <v>25720</v>
      </c>
      <c r="L26" t="str">
        <f t="shared" si="0"/>
        <v>H10</v>
      </c>
    </row>
    <row r="27" spans="1:12" x14ac:dyDescent="0.3">
      <c r="A27" t="s">
        <v>246</v>
      </c>
      <c r="B27" s="263" t="s">
        <v>62</v>
      </c>
      <c r="C27" s="263">
        <v>17995</v>
      </c>
      <c r="D27" s="263">
        <v>719</v>
      </c>
      <c r="E27" s="276">
        <v>18714</v>
      </c>
      <c r="F27" s="263">
        <v>1</v>
      </c>
      <c r="G27" s="263">
        <v>244</v>
      </c>
      <c r="H27" s="276">
        <v>18959</v>
      </c>
      <c r="I27" s="277">
        <v>1780</v>
      </c>
      <c r="J27" s="279">
        <v>10.65</v>
      </c>
      <c r="K27" s="276">
        <v>18959</v>
      </c>
      <c r="L27" t="str">
        <f t="shared" si="0"/>
        <v>H09</v>
      </c>
    </row>
    <row r="28" spans="1:12" x14ac:dyDescent="0.3">
      <c r="A28" t="s">
        <v>246</v>
      </c>
      <c r="B28" s="263" t="s">
        <v>65</v>
      </c>
      <c r="C28" s="263">
        <v>21471</v>
      </c>
      <c r="D28" s="263">
        <v>428</v>
      </c>
      <c r="E28" s="276">
        <v>21899</v>
      </c>
      <c r="F28" s="263">
        <v>160</v>
      </c>
      <c r="G28" s="263">
        <v>500</v>
      </c>
      <c r="H28" s="276">
        <v>22559</v>
      </c>
      <c r="I28" s="277">
        <v>1834.0650406504064</v>
      </c>
      <c r="J28" s="279">
        <v>12.3</v>
      </c>
      <c r="K28" s="276">
        <v>22559</v>
      </c>
      <c r="L28" t="str">
        <f t="shared" si="0"/>
        <v>G13</v>
      </c>
    </row>
    <row r="29" spans="1:12" x14ac:dyDescent="0.3">
      <c r="A29" t="s">
        <v>246</v>
      </c>
      <c r="B29" s="263" t="s">
        <v>66</v>
      </c>
      <c r="C29" s="263">
        <v>21906</v>
      </c>
      <c r="D29" s="263">
        <v>823</v>
      </c>
      <c r="E29" s="276">
        <v>22729</v>
      </c>
      <c r="F29" s="263">
        <v>355</v>
      </c>
      <c r="G29" s="263">
        <v>287</v>
      </c>
      <c r="H29" s="276">
        <v>23371</v>
      </c>
      <c r="I29" s="277">
        <v>1831.5830721003135</v>
      </c>
      <c r="J29" s="279">
        <v>12.76</v>
      </c>
      <c r="K29" s="276">
        <v>23371</v>
      </c>
      <c r="L29" t="str">
        <f t="shared" si="0"/>
        <v>H13</v>
      </c>
    </row>
    <row r="30" spans="1:12" x14ac:dyDescent="0.3">
      <c r="A30" t="s">
        <v>244</v>
      </c>
      <c r="B30" s="263" t="s">
        <v>564</v>
      </c>
      <c r="C30" s="263">
        <v>23273</v>
      </c>
      <c r="D30" s="263">
        <v>2157</v>
      </c>
      <c r="E30" s="276">
        <v>25430</v>
      </c>
      <c r="F30" s="263">
        <v>88</v>
      </c>
      <c r="G30" s="263">
        <v>1172</v>
      </c>
      <c r="H30" s="276">
        <v>26690</v>
      </c>
      <c r="I30" s="277">
        <v>1780</v>
      </c>
      <c r="J30" s="279">
        <v>14.99</v>
      </c>
      <c r="K30" s="276">
        <v>26690</v>
      </c>
      <c r="L30" t="str">
        <f t="shared" si="0"/>
        <v>A03</v>
      </c>
    </row>
    <row r="31" spans="1:12" x14ac:dyDescent="0.3">
      <c r="A31" t="s">
        <v>244</v>
      </c>
      <c r="B31" s="263" t="s">
        <v>354</v>
      </c>
      <c r="C31" s="263">
        <v>18649</v>
      </c>
      <c r="D31" s="263">
        <v>1735</v>
      </c>
      <c r="E31" s="276">
        <v>20384</v>
      </c>
      <c r="F31" s="263">
        <v>251</v>
      </c>
      <c r="G31" s="263">
        <v>2</v>
      </c>
      <c r="H31" s="276">
        <v>20637</v>
      </c>
      <c r="I31" s="277">
        <v>1892</v>
      </c>
      <c r="J31" s="279">
        <v>10.9</v>
      </c>
      <c r="K31" s="276">
        <v>20637</v>
      </c>
      <c r="L31" t="str">
        <f t="shared" si="0"/>
        <v>D02</v>
      </c>
    </row>
    <row r="32" spans="1:12" x14ac:dyDescent="0.3">
      <c r="A32" t="s">
        <v>244</v>
      </c>
      <c r="B32" s="263" t="s">
        <v>353</v>
      </c>
      <c r="C32" s="263">
        <v>19490</v>
      </c>
      <c r="D32" s="263">
        <v>2650</v>
      </c>
      <c r="E32" s="276">
        <v>22140</v>
      </c>
      <c r="F32" s="263">
        <v>1683</v>
      </c>
      <c r="G32" s="263">
        <v>492</v>
      </c>
      <c r="H32" s="276">
        <v>24315</v>
      </c>
      <c r="I32" s="277">
        <v>1849</v>
      </c>
      <c r="J32" s="280">
        <v>12.83</v>
      </c>
      <c r="K32" s="276">
        <v>24315</v>
      </c>
      <c r="L32" t="str">
        <f t="shared" si="0"/>
        <v>D01</v>
      </c>
    </row>
    <row r="33" spans="1:12" x14ac:dyDescent="0.3">
      <c r="A33" t="s">
        <v>248</v>
      </c>
      <c r="B33" s="263" t="s">
        <v>565</v>
      </c>
      <c r="C33" s="263">
        <v>11541</v>
      </c>
      <c r="D33" s="263">
        <v>942</v>
      </c>
      <c r="E33" s="281">
        <v>12483</v>
      </c>
      <c r="F33" s="263">
        <v>203</v>
      </c>
      <c r="G33" s="263">
        <v>363</v>
      </c>
      <c r="H33" s="281">
        <v>13049</v>
      </c>
      <c r="I33" s="277">
        <v>1905</v>
      </c>
      <c r="J33" s="279">
        <v>6.84</v>
      </c>
      <c r="K33" s="281">
        <v>13049</v>
      </c>
      <c r="L33" t="str">
        <f t="shared" si="0"/>
        <v>G06</v>
      </c>
    </row>
    <row r="34" spans="1:12" x14ac:dyDescent="0.3">
      <c r="A34" t="s">
        <v>248</v>
      </c>
      <c r="B34" s="263" t="s">
        <v>566</v>
      </c>
      <c r="C34" s="263">
        <v>24391</v>
      </c>
      <c r="D34" s="263">
        <v>2313</v>
      </c>
      <c r="E34" s="281">
        <v>26704</v>
      </c>
      <c r="F34" s="263">
        <v>47</v>
      </c>
      <c r="G34" s="263">
        <v>206</v>
      </c>
      <c r="H34" s="281">
        <v>26957</v>
      </c>
      <c r="I34" s="277">
        <v>1905</v>
      </c>
      <c r="J34" s="279">
        <v>14.15</v>
      </c>
      <c r="K34" s="281">
        <v>26957</v>
      </c>
      <c r="L34" t="str">
        <f t="shared" si="0"/>
        <v>G05</v>
      </c>
    </row>
    <row r="35" spans="1:12" x14ac:dyDescent="0.3">
      <c r="A35" t="s">
        <v>248</v>
      </c>
      <c r="B35" s="263" t="s">
        <v>567</v>
      </c>
      <c r="C35" s="263">
        <v>25493</v>
      </c>
      <c r="D35" s="263">
        <v>224</v>
      </c>
      <c r="E35" s="281">
        <v>25717</v>
      </c>
      <c r="F35" s="263">
        <v>570</v>
      </c>
      <c r="G35" s="263">
        <v>14</v>
      </c>
      <c r="H35" s="281">
        <v>26301</v>
      </c>
      <c r="I35" s="277">
        <v>1905</v>
      </c>
      <c r="J35" s="279">
        <v>13.8</v>
      </c>
      <c r="K35" s="281">
        <v>26301</v>
      </c>
      <c r="L35" t="str">
        <f t="shared" si="0"/>
        <v>G04</v>
      </c>
    </row>
    <row r="36" spans="1:12" x14ac:dyDescent="0.3">
      <c r="A36" t="s">
        <v>247</v>
      </c>
      <c r="B36" s="263" t="s">
        <v>131</v>
      </c>
      <c r="C36" s="273">
        <v>10602</v>
      </c>
      <c r="D36" s="273">
        <v>591</v>
      </c>
      <c r="E36" s="282">
        <v>11193</v>
      </c>
      <c r="F36" s="273">
        <v>150</v>
      </c>
      <c r="G36" s="273">
        <v>963</v>
      </c>
      <c r="H36" s="276">
        <v>12306</v>
      </c>
      <c r="I36" s="277">
        <v>1780</v>
      </c>
      <c r="J36" s="263">
        <v>7</v>
      </c>
      <c r="K36" s="276">
        <v>12306</v>
      </c>
      <c r="L36" t="str">
        <f t="shared" si="0"/>
        <v>B03</v>
      </c>
    </row>
  </sheetData>
  <pageMargins left="0.7" right="0.7" top="0.75" bottom="0.75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30"/>
  <dimension ref="A1:AJ166"/>
  <sheetViews>
    <sheetView zoomScale="80" zoomScaleNormal="80" workbookViewId="0">
      <pane xSplit="5" ySplit="1" topLeftCell="K82" activePane="bottomRight" state="frozen"/>
      <selection pane="topRight" activeCell="E1" sqref="E1"/>
      <selection pane="bottomLeft" activeCell="A2" sqref="A2"/>
      <selection pane="bottomRight" activeCell="M58" activeCellId="1" sqref="L2:L85 M57:M58"/>
    </sheetView>
  </sheetViews>
  <sheetFormatPr baseColWidth="10" defaultRowHeight="14.4" x14ac:dyDescent="0.3"/>
  <cols>
    <col min="1" max="1" width="16.77734375" bestFit="1" customWidth="1"/>
    <col min="2" max="2" width="11.21875" bestFit="1" customWidth="1"/>
    <col min="3" max="3" width="15.5546875" bestFit="1" customWidth="1"/>
    <col min="4" max="4" width="15.5546875" customWidth="1"/>
    <col min="5" max="5" width="16.77734375" customWidth="1"/>
    <col min="6" max="6" width="11.77734375" customWidth="1"/>
    <col min="7" max="7" width="10.77734375" customWidth="1"/>
    <col min="8" max="8" width="16.21875" customWidth="1"/>
    <col min="9" max="9" width="10.77734375" customWidth="1"/>
    <col min="10" max="10" width="13.21875" customWidth="1"/>
    <col min="11" max="11" width="11.21875" customWidth="1"/>
    <col min="12" max="12" width="17.21875" customWidth="1"/>
    <col min="13" max="13" width="21.44140625" customWidth="1"/>
    <col min="14" max="14" width="18.21875" customWidth="1"/>
    <col min="15" max="15" width="22.77734375" customWidth="1"/>
    <col min="16" max="16" width="19" customWidth="1"/>
    <col min="17" max="17" width="23.21875" customWidth="1"/>
    <col min="18" max="18" width="22.44140625" customWidth="1"/>
    <col min="19" max="19" width="17.5546875" customWidth="1"/>
    <col min="20" max="20" width="16.21875" customWidth="1"/>
    <col min="21" max="21" width="15.21875" bestFit="1" customWidth="1"/>
    <col min="22" max="22" width="18" customWidth="1"/>
    <col min="24" max="24" width="13.21875" customWidth="1"/>
    <col min="25" max="25" width="18.5546875" customWidth="1"/>
    <col min="26" max="26" width="11.21875" customWidth="1"/>
    <col min="27" max="27" width="11.77734375" customWidth="1"/>
    <col min="28" max="28" width="41.5546875" bestFit="1" customWidth="1"/>
    <col min="29" max="29" width="16" customWidth="1"/>
    <col min="30" max="30" width="30.44140625" bestFit="1" customWidth="1"/>
    <col min="31" max="31" width="10.77734375" customWidth="1"/>
    <col min="32" max="32" width="27.21875" bestFit="1" customWidth="1"/>
    <col min="33" max="33" width="13.21875" customWidth="1"/>
    <col min="34" max="35" width="23.77734375" customWidth="1"/>
  </cols>
  <sheetData>
    <row r="1" spans="1:36" ht="15.6" x14ac:dyDescent="0.3">
      <c r="A1" s="212" t="s">
        <v>114</v>
      </c>
      <c r="B1" s="213" t="s">
        <v>115</v>
      </c>
      <c r="C1" s="212" t="s">
        <v>256</v>
      </c>
      <c r="D1" s="212" t="s">
        <v>528</v>
      </c>
      <c r="E1" s="213" t="s">
        <v>5</v>
      </c>
      <c r="F1" s="213" t="s">
        <v>257</v>
      </c>
      <c r="G1" s="212" t="s">
        <v>375</v>
      </c>
      <c r="H1" s="213" t="s">
        <v>387</v>
      </c>
      <c r="I1" s="213" t="s">
        <v>145</v>
      </c>
      <c r="J1" s="213" t="s">
        <v>0</v>
      </c>
      <c r="K1" s="213" t="s">
        <v>118</v>
      </c>
      <c r="L1" s="213" t="s">
        <v>123</v>
      </c>
      <c r="M1" s="213" t="s">
        <v>124</v>
      </c>
      <c r="N1" s="213" t="s">
        <v>125</v>
      </c>
      <c r="O1" s="213" t="s">
        <v>413</v>
      </c>
      <c r="P1" s="214" t="s">
        <v>411</v>
      </c>
      <c r="Q1" s="214" t="s">
        <v>412</v>
      </c>
      <c r="R1" s="214" t="s">
        <v>416</v>
      </c>
      <c r="S1" s="213" t="s">
        <v>240</v>
      </c>
      <c r="T1" s="213" t="s">
        <v>241</v>
      </c>
      <c r="U1" s="213" t="s">
        <v>1</v>
      </c>
      <c r="V1" s="213" t="s">
        <v>378</v>
      </c>
      <c r="W1" s="213" t="s">
        <v>249</v>
      </c>
      <c r="X1" s="213" t="s">
        <v>3</v>
      </c>
      <c r="Y1" s="213" t="s">
        <v>262</v>
      </c>
      <c r="Z1" s="213" t="s">
        <v>263</v>
      </c>
      <c r="AA1" s="213" t="s">
        <v>258</v>
      </c>
      <c r="AB1" s="213" t="s">
        <v>259</v>
      </c>
      <c r="AC1" s="213" t="s">
        <v>455</v>
      </c>
      <c r="AD1" s="213" t="s">
        <v>260</v>
      </c>
      <c r="AE1" s="213" t="s">
        <v>261</v>
      </c>
      <c r="AF1" s="213" t="s">
        <v>212</v>
      </c>
      <c r="AG1" s="215" t="s">
        <v>210</v>
      </c>
      <c r="AH1" s="234" t="s">
        <v>466</v>
      </c>
      <c r="AI1" s="234" t="s">
        <v>481</v>
      </c>
      <c r="AJ1" s="234" t="s">
        <v>471</v>
      </c>
    </row>
    <row r="2" spans="1:36" x14ac:dyDescent="0.3">
      <c r="A2" s="186" t="s">
        <v>167</v>
      </c>
      <c r="B2" s="1" t="s">
        <v>67</v>
      </c>
      <c r="C2" s="186" t="s">
        <v>244</v>
      </c>
      <c r="D2" s="186" t="str">
        <f>VLOOKUP(Tabla134[[#This Row],[VAR]],FUNDOS!$B$2:$C$18,2,FALSE)</f>
        <v>T8</v>
      </c>
      <c r="E2" s="1" t="s">
        <v>153</v>
      </c>
      <c r="F2" s="1" t="str">
        <f>Tabla134[[#This Row],[VAR]]&amp;Tabla134[[#This Row],[LOTE]]</f>
        <v>JSF01</v>
      </c>
      <c r="G2" s="186" t="s">
        <v>376</v>
      </c>
      <c r="H2" s="1" t="s">
        <v>351</v>
      </c>
      <c r="I2" s="1">
        <v>2024</v>
      </c>
      <c r="J2" s="4">
        <v>1684</v>
      </c>
      <c r="K2" s="2">
        <f>ROUND(O2/$J2,2)</f>
        <v>10.24</v>
      </c>
      <c r="L2" s="2">
        <f t="shared" ref="K2:M33" si="0">ROUND(P2/$J2,2)</f>
        <v>10.16</v>
      </c>
      <c r="M2" s="2">
        <f t="shared" si="0"/>
        <v>0.06</v>
      </c>
      <c r="N2" s="2">
        <f>Tabla134[[#This Row],[Total Has]]-Tabla134[[#This Row],[Has Productivas]]-Tabla134[[#This Row],[Has Formación]]</f>
        <v>2.0000000000000073E-2</v>
      </c>
      <c r="O2" s="3">
        <v>17244</v>
      </c>
      <c r="P2" s="3">
        <v>17112</v>
      </c>
      <c r="Q2" s="3">
        <v>94</v>
      </c>
      <c r="R2" s="3">
        <f>Tabla134[[#This Row],[Total Espacios]]-Tabla134[[#This Row],[Pltas. Prod.]]-Tabla134[[#This Row],[Pltas Formación]]</f>
        <v>38</v>
      </c>
      <c r="S2" s="95">
        <v>1.8</v>
      </c>
      <c r="T2" s="95">
        <v>3.3</v>
      </c>
      <c r="U2" s="2" t="s">
        <v>7</v>
      </c>
      <c r="V2" s="99">
        <v>43302</v>
      </c>
      <c r="W2" s="1">
        <f ca="1">IF(INT((TODAY()-Tabla134[[#This Row],[Fecha plantación]])/365)&gt;30,"",INT((TODAY()-Tabla134[[#This Row],[Fecha plantación]])/365))</f>
        <v>8</v>
      </c>
      <c r="X2" s="1" t="s">
        <v>12</v>
      </c>
      <c r="Y2" s="99">
        <v>30984</v>
      </c>
      <c r="Z2" s="1">
        <f ca="1">INT(YEARFRAC(Tabla134[[#This Row],[Fecha nacimiento]],TODAY()))</f>
        <v>41</v>
      </c>
      <c r="AA2" s="239">
        <f>IFERROR(VLOOKUP(Tabla134[[#This Row],[Supervisor de lote]],'DATABASE DATOS SUP'!$B$2:$D$59,3,FALSE),"-")</f>
        <v>965699885</v>
      </c>
      <c r="AB2" s="239" t="str">
        <f>IFERROR(VLOOKUP(Tabla134[[#This Row],[Supervisor de lote]],'DATABASE DATOS SUP'!$B$2:$E$59,4,FALSE),"-")</f>
        <v>Progreso Bajo</v>
      </c>
      <c r="AC2" s="240" t="str">
        <f>IFERROR(VLOOKUP(Tabla134[[#This Row],[Supervisor de lote]],Tabla1[],7,FALSE),"")</f>
        <v>Tambogrande</v>
      </c>
      <c r="AD2" s="239" t="str">
        <f>IFERROR(VLOOKUP(Tabla134[[#This Row],[Supervisor de lote]],'DATABASE DATOS SUP'!$B$2:$F$59,5,FALSE),"-")</f>
        <v>Educación secundaria</v>
      </c>
      <c r="AE2" s="1"/>
      <c r="AF2" s="102" t="s">
        <v>199</v>
      </c>
      <c r="AG2" s="75" t="s">
        <v>9</v>
      </c>
      <c r="AH2" s="233" t="s">
        <v>467</v>
      </c>
      <c r="AI2" s="233" t="s">
        <v>483</v>
      </c>
      <c r="AJ2" s="233" t="s">
        <v>486</v>
      </c>
    </row>
    <row r="3" spans="1:36" x14ac:dyDescent="0.3">
      <c r="A3" s="186" t="s">
        <v>167</v>
      </c>
      <c r="B3" s="1" t="s">
        <v>68</v>
      </c>
      <c r="C3" s="186" t="s">
        <v>244</v>
      </c>
      <c r="D3" s="186" t="str">
        <f>VLOOKUP(Tabla134[[#This Row],[VAR]],FUNDOS!$B$2:$C$18,2,FALSE)</f>
        <v>T8</v>
      </c>
      <c r="E3" s="1" t="s">
        <v>153</v>
      </c>
      <c r="F3" s="1" t="str">
        <f>Tabla134[[#This Row],[VAR]]&amp;Tabla134[[#This Row],[LOTE]]</f>
        <v>JSF02</v>
      </c>
      <c r="G3" s="186" t="s">
        <v>376</v>
      </c>
      <c r="H3" s="1" t="s">
        <v>351</v>
      </c>
      <c r="I3" s="1">
        <v>2024</v>
      </c>
      <c r="J3" s="4">
        <v>1684</v>
      </c>
      <c r="K3" s="2">
        <f t="shared" si="0"/>
        <v>13.54</v>
      </c>
      <c r="L3" s="2">
        <f t="shared" si="0"/>
        <v>13.42</v>
      </c>
      <c r="M3" s="2">
        <f t="shared" si="0"/>
        <v>0.08</v>
      </c>
      <c r="N3" s="2">
        <f>Tabla134[[#This Row],[Total Has]]-Tabla134[[#This Row],[Has Productivas]]-Tabla134[[#This Row],[Has Formación]]</f>
        <v>3.9999999999999217E-2</v>
      </c>
      <c r="O3" s="3">
        <v>22805</v>
      </c>
      <c r="P3" s="3">
        <v>22596</v>
      </c>
      <c r="Q3" s="3">
        <v>128</v>
      </c>
      <c r="R3" s="3">
        <f>Tabla134[[#This Row],[Total Espacios]]-Tabla134[[#This Row],[Pltas. Prod.]]-Tabla134[[#This Row],[Pltas Formación]]</f>
        <v>81</v>
      </c>
      <c r="S3" s="95">
        <v>1.8</v>
      </c>
      <c r="T3" s="95">
        <v>3.3</v>
      </c>
      <c r="U3" s="2" t="s">
        <v>7</v>
      </c>
      <c r="V3" s="99">
        <v>43306</v>
      </c>
      <c r="W3" s="1">
        <f ca="1">IF(INT((TODAY()-Tabla134[[#This Row],[Fecha plantación]])/365)&gt;30,"",INT((TODAY()-Tabla134[[#This Row],[Fecha plantación]])/365))</f>
        <v>8</v>
      </c>
      <c r="X3" s="1" t="s">
        <v>12</v>
      </c>
      <c r="Y3" s="99">
        <v>30984</v>
      </c>
      <c r="Z3" s="1">
        <f ca="1">INT(YEARFRAC(Tabla134[[#This Row],[Fecha nacimiento]],TODAY()))</f>
        <v>41</v>
      </c>
      <c r="AA3" s="239">
        <f>IFERROR(VLOOKUP(Tabla134[[#This Row],[Supervisor de lote]],'DATABASE DATOS SUP'!$B$2:$D$59,3,FALSE),"-")</f>
        <v>965699885</v>
      </c>
      <c r="AB3" s="239" t="str">
        <f>IFERROR(VLOOKUP(Tabla134[[#This Row],[Supervisor de lote]],'DATABASE DATOS SUP'!$B$2:$E$59,4,FALSE),"-")</f>
        <v>Progreso Bajo</v>
      </c>
      <c r="AC3" s="240" t="str">
        <f>IFERROR(VLOOKUP(Tabla134[[#This Row],[Supervisor de lote]],Tabla1[],7,FALSE),"")</f>
        <v>Tambogrande</v>
      </c>
      <c r="AD3" s="239" t="str">
        <f>IFERROR(VLOOKUP(Tabla134[[#This Row],[Supervisor de lote]],'DATABASE DATOS SUP'!$B$2:$F$59,5,FALSE),"-")</f>
        <v>Educación secundaria</v>
      </c>
      <c r="AE3" s="1"/>
      <c r="AF3" s="102" t="s">
        <v>199</v>
      </c>
      <c r="AG3" s="75" t="s">
        <v>9</v>
      </c>
      <c r="AH3" s="233" t="s">
        <v>467</v>
      </c>
      <c r="AI3" s="233" t="s">
        <v>483</v>
      </c>
      <c r="AJ3" s="233" t="s">
        <v>486</v>
      </c>
    </row>
    <row r="4" spans="1:36" x14ac:dyDescent="0.3">
      <c r="A4" s="186" t="s">
        <v>167</v>
      </c>
      <c r="B4" s="1" t="s">
        <v>69</v>
      </c>
      <c r="C4" s="186" t="s">
        <v>244</v>
      </c>
      <c r="D4" s="186" t="str">
        <f>VLOOKUP(Tabla134[[#This Row],[VAR]],FUNDOS!$B$2:$C$18,2,FALSE)</f>
        <v>T8</v>
      </c>
      <c r="E4" s="1" t="s">
        <v>153</v>
      </c>
      <c r="F4" s="1" t="str">
        <f>Tabla134[[#This Row],[VAR]]&amp;Tabla134[[#This Row],[LOTE]]</f>
        <v>JSF03</v>
      </c>
      <c r="G4" s="186" t="s">
        <v>376</v>
      </c>
      <c r="H4" s="1" t="s">
        <v>351</v>
      </c>
      <c r="I4" s="1">
        <v>2024</v>
      </c>
      <c r="J4" s="4">
        <v>1684</v>
      </c>
      <c r="K4" s="2">
        <f t="shared" si="0"/>
        <v>14.81</v>
      </c>
      <c r="L4" s="2">
        <f t="shared" si="0"/>
        <v>14.42</v>
      </c>
      <c r="M4" s="2">
        <f t="shared" si="0"/>
        <v>0.32</v>
      </c>
      <c r="N4" s="2">
        <f>Tabla134[[#This Row],[Total Has]]-Tabla134[[#This Row],[Has Productivas]]-Tabla134[[#This Row],[Has Formación]]</f>
        <v>7.0000000000000562E-2</v>
      </c>
      <c r="O4" s="3">
        <v>24934</v>
      </c>
      <c r="P4" s="3">
        <v>24279</v>
      </c>
      <c r="Q4" s="3">
        <v>547</v>
      </c>
      <c r="R4" s="3">
        <f>Tabla134[[#This Row],[Total Espacios]]-Tabla134[[#This Row],[Pltas. Prod.]]-Tabla134[[#This Row],[Pltas Formación]]</f>
        <v>108</v>
      </c>
      <c r="S4" s="95">
        <v>1.8</v>
      </c>
      <c r="T4" s="95">
        <v>3.3</v>
      </c>
      <c r="U4" s="2" t="s">
        <v>7</v>
      </c>
      <c r="V4" s="99">
        <v>43308</v>
      </c>
      <c r="W4" s="1">
        <f ca="1">IF(INT((TODAY()-Tabla134[[#This Row],[Fecha plantación]])/365)&gt;30,"",INT((TODAY()-Tabla134[[#This Row],[Fecha plantación]])/365))</f>
        <v>8</v>
      </c>
      <c r="X4" s="1" t="s">
        <v>12</v>
      </c>
      <c r="Y4" s="99">
        <v>35663</v>
      </c>
      <c r="Z4" s="1">
        <f ca="1">INT(YEARFRAC(Tabla134[[#This Row],[Fecha nacimiento]],TODAY()))</f>
        <v>28</v>
      </c>
      <c r="AA4" s="239">
        <f>IFERROR(VLOOKUP(Tabla134[[#This Row],[Supervisor de lote]],'DATABASE DATOS SUP'!$B$2:$D$59,3,FALSE),"-")</f>
        <v>951800391</v>
      </c>
      <c r="AB4" s="239" t="str">
        <f>IFERROR(VLOOKUP(Tabla134[[#This Row],[Supervisor de lote]],'DATABASE DATOS SUP'!$B$2:$E$59,4,FALSE),"-")</f>
        <v>URB Micaela Bastidas Etapa 4 Mz O3 Lote 3</v>
      </c>
      <c r="AC4" s="240" t="str">
        <f>IFERROR(VLOOKUP(Tabla134[[#This Row],[Supervisor de lote]],Tabla1[],7,FALSE),"")</f>
        <v>Piura</v>
      </c>
      <c r="AD4" s="239" t="str">
        <f>IFERROR(VLOOKUP(Tabla134[[#This Row],[Supervisor de lote]],'DATABASE DATOS SUP'!$B$2:$F$59,5,FALSE),"-")</f>
        <v>Educación superior universitaria</v>
      </c>
      <c r="AE4" s="1" t="s">
        <v>269</v>
      </c>
      <c r="AF4" s="102" t="s">
        <v>298</v>
      </c>
      <c r="AG4" s="75" t="s">
        <v>9</v>
      </c>
      <c r="AH4" s="233" t="s">
        <v>467</v>
      </c>
      <c r="AI4" s="233" t="s">
        <v>483</v>
      </c>
      <c r="AJ4" s="233" t="s">
        <v>486</v>
      </c>
    </row>
    <row r="5" spans="1:36" x14ac:dyDescent="0.3">
      <c r="A5" s="186" t="s">
        <v>167</v>
      </c>
      <c r="B5" s="1" t="s">
        <v>70</v>
      </c>
      <c r="C5" s="186" t="s">
        <v>244</v>
      </c>
      <c r="D5" s="186" t="str">
        <f>VLOOKUP(Tabla134[[#This Row],[VAR]],FUNDOS!$B$2:$C$18,2,FALSE)</f>
        <v>T8</v>
      </c>
      <c r="E5" s="1" t="s">
        <v>153</v>
      </c>
      <c r="F5" s="1" t="str">
        <f>Tabla134[[#This Row],[VAR]]&amp;Tabla134[[#This Row],[LOTE]]</f>
        <v>JSF04</v>
      </c>
      <c r="G5" s="186" t="s">
        <v>376</v>
      </c>
      <c r="H5" s="1" t="s">
        <v>351</v>
      </c>
      <c r="I5" s="1">
        <v>2024</v>
      </c>
      <c r="J5" s="4">
        <v>1262</v>
      </c>
      <c r="K5" s="2">
        <f t="shared" si="0"/>
        <v>12.26</v>
      </c>
      <c r="L5" s="2">
        <f t="shared" si="0"/>
        <v>11.99</v>
      </c>
      <c r="M5" s="2">
        <f t="shared" si="0"/>
        <v>0.16</v>
      </c>
      <c r="N5" s="2">
        <f>Tabla134[[#This Row],[Total Has]]-Tabla134[[#This Row],[Has Productivas]]-Tabla134[[#This Row],[Has Formación]]</f>
        <v>0.10999999999999957</v>
      </c>
      <c r="O5" s="3">
        <v>15472</v>
      </c>
      <c r="P5" s="3">
        <v>15129</v>
      </c>
      <c r="Q5" s="3">
        <v>204</v>
      </c>
      <c r="R5" s="3">
        <f>Tabla134[[#This Row],[Total Espacios]]-Tabla134[[#This Row],[Pltas. Prod.]]-Tabla134[[#This Row],[Pltas Formación]]</f>
        <v>139</v>
      </c>
      <c r="S5" s="95">
        <v>2.4</v>
      </c>
      <c r="T5" s="95">
        <v>3.3</v>
      </c>
      <c r="U5" s="2" t="s">
        <v>7</v>
      </c>
      <c r="V5" s="99">
        <v>43346</v>
      </c>
      <c r="W5" s="1">
        <f ca="1">IF(INT((TODAY()-Tabla134[[#This Row],[Fecha plantación]])/365)&gt;30,"",INT((TODAY()-Tabla134[[#This Row],[Fecha plantación]])/365))</f>
        <v>7</v>
      </c>
      <c r="X5" s="1" t="s">
        <v>12</v>
      </c>
      <c r="Y5" s="99">
        <v>35663</v>
      </c>
      <c r="Z5" s="1">
        <f ca="1">INT(YEARFRAC(Tabla134[[#This Row],[Fecha nacimiento]],TODAY()))</f>
        <v>28</v>
      </c>
      <c r="AA5" s="239">
        <f>IFERROR(VLOOKUP(Tabla134[[#This Row],[Supervisor de lote]],'DATABASE DATOS SUP'!$B$2:$D$59,3,FALSE),"-")</f>
        <v>934012411</v>
      </c>
      <c r="AB5" s="239" t="str">
        <f>IFERROR(VLOOKUP(Tabla134[[#This Row],[Supervisor de lote]],'DATABASE DATOS SUP'!$B$2:$E$59,4,FALSE),"-")</f>
        <v>Caserio el papayo medio piura</v>
      </c>
      <c r="AC5" s="240">
        <f>IFERROR(VLOOKUP(Tabla134[[#This Row],[Supervisor de lote]],Tabla1[],7,FALSE),"")</f>
        <v>0</v>
      </c>
      <c r="AD5" s="239" t="str">
        <f>IFERROR(VLOOKUP(Tabla134[[#This Row],[Supervisor de lote]],'DATABASE DATOS SUP'!$B$2:$F$59,5,FALSE),"-")</f>
        <v>Educación secundaria</v>
      </c>
      <c r="AE5" s="1" t="s">
        <v>269</v>
      </c>
      <c r="AF5" s="102" t="s">
        <v>307</v>
      </c>
      <c r="AG5" s="75" t="s">
        <v>9</v>
      </c>
      <c r="AH5" s="233" t="s">
        <v>467</v>
      </c>
      <c r="AI5" s="233" t="s">
        <v>483</v>
      </c>
      <c r="AJ5" s="233" t="s">
        <v>486</v>
      </c>
    </row>
    <row r="6" spans="1:36" x14ac:dyDescent="0.3">
      <c r="A6" s="186" t="s">
        <v>167</v>
      </c>
      <c r="B6" s="1" t="s">
        <v>74</v>
      </c>
      <c r="C6" s="186" t="s">
        <v>244</v>
      </c>
      <c r="D6" s="186" t="str">
        <f>VLOOKUP(Tabla134[[#This Row],[VAR]],FUNDOS!$B$2:$C$18,2,FALSE)</f>
        <v>T8</v>
      </c>
      <c r="E6" s="1" t="s">
        <v>153</v>
      </c>
      <c r="F6" s="1" t="str">
        <f>Tabla134[[#This Row],[VAR]]&amp;Tabla134[[#This Row],[LOTE]]</f>
        <v>JSE01</v>
      </c>
      <c r="G6" s="186" t="s">
        <v>377</v>
      </c>
      <c r="H6" s="1" t="s">
        <v>351</v>
      </c>
      <c r="I6" s="1">
        <v>2024</v>
      </c>
      <c r="J6" s="6">
        <v>1894</v>
      </c>
      <c r="K6" s="2">
        <f t="shared" si="0"/>
        <v>14.96</v>
      </c>
      <c r="L6" s="2">
        <f t="shared" si="0"/>
        <v>14.78</v>
      </c>
      <c r="M6" s="2">
        <f t="shared" si="0"/>
        <v>0.08</v>
      </c>
      <c r="N6" s="2">
        <f>Tabla134[[#This Row],[Total Has]]-Tabla134[[#This Row],[Has Productivas]]-Tabla134[[#This Row],[Has Formación]]</f>
        <v>0.10000000000000149</v>
      </c>
      <c r="O6" s="3">
        <v>28343</v>
      </c>
      <c r="P6" s="3">
        <v>28000</v>
      </c>
      <c r="Q6" s="3">
        <v>159</v>
      </c>
      <c r="R6" s="219">
        <f>Tabla134[[#This Row],[Total Espacios]]-Tabla134[[#This Row],[Pltas. Prod.]]-Tabla134[[#This Row],[Pltas Formación]]</f>
        <v>184</v>
      </c>
      <c r="S6" s="95">
        <v>1.6</v>
      </c>
      <c r="T6" s="95">
        <v>3.3</v>
      </c>
      <c r="U6" s="2" t="s">
        <v>7</v>
      </c>
      <c r="V6" s="99">
        <v>44392</v>
      </c>
      <c r="W6" s="1">
        <f ca="1">IF(INT((TODAY()-Tabla134[[#This Row],[Fecha plantación]])/365)&gt;30,"",INT((TODAY()-Tabla134[[#This Row],[Fecha plantación]])/365))</f>
        <v>5</v>
      </c>
      <c r="X6" s="1" t="s">
        <v>12</v>
      </c>
      <c r="Y6" s="99">
        <v>34631</v>
      </c>
      <c r="Z6" s="1">
        <f ca="1">INT(YEARFRAC(Tabla134[[#This Row],[Fecha nacimiento]],TODAY()))</f>
        <v>31</v>
      </c>
      <c r="AA6" s="239">
        <f>IFERROR(VLOOKUP(Tabla134[[#This Row],[Supervisor de lote]],'DATABASE DATOS SUP'!$B$2:$D$59,3,FALSE),"-")</f>
        <v>988291254</v>
      </c>
      <c r="AB6" s="239" t="str">
        <f>IFERROR(VLOOKUP(Tabla134[[#This Row],[Supervisor de lote]],'DATABASE DATOS SUP'!$B$2:$E$59,4,FALSE),"-")</f>
        <v>Expolvorinea mz .g lote 11</v>
      </c>
      <c r="AC6" s="240" t="str">
        <f>IFERROR(VLOOKUP(Tabla134[[#This Row],[Supervisor de lote]],Tabla1[],7,FALSE),"")</f>
        <v>Piura</v>
      </c>
      <c r="AD6" s="239" t="str">
        <f>IFERROR(VLOOKUP(Tabla134[[#This Row],[Supervisor de lote]],'DATABASE DATOS SUP'!$B$2:$F$59,5,FALSE),"-")</f>
        <v>Educación superior técnica</v>
      </c>
      <c r="AE6" s="1" t="s">
        <v>302</v>
      </c>
      <c r="AF6" s="102" t="s">
        <v>419</v>
      </c>
      <c r="AG6" s="75" t="s">
        <v>9</v>
      </c>
      <c r="AH6" s="233" t="s">
        <v>467</v>
      </c>
      <c r="AI6" s="233" t="s">
        <v>483</v>
      </c>
      <c r="AJ6" s="233" t="s">
        <v>486</v>
      </c>
    </row>
    <row r="7" spans="1:36" x14ac:dyDescent="0.3">
      <c r="A7" s="186" t="s">
        <v>167</v>
      </c>
      <c r="B7" s="1" t="s">
        <v>75</v>
      </c>
      <c r="C7" s="186" t="s">
        <v>244</v>
      </c>
      <c r="D7" s="186" t="str">
        <f>VLOOKUP(Tabla134[[#This Row],[VAR]],FUNDOS!$B$2:$C$18,2,FALSE)</f>
        <v>T8</v>
      </c>
      <c r="E7" s="1" t="s">
        <v>153</v>
      </c>
      <c r="F7" s="1" t="str">
        <f>Tabla134[[#This Row],[VAR]]&amp;Tabla134[[#This Row],[LOTE]]</f>
        <v>JSE02</v>
      </c>
      <c r="G7" s="186" t="s">
        <v>377</v>
      </c>
      <c r="H7" s="1" t="s">
        <v>351</v>
      </c>
      <c r="I7" s="1">
        <v>2024</v>
      </c>
      <c r="J7" s="6">
        <v>1894</v>
      </c>
      <c r="K7" s="2">
        <f t="shared" si="0"/>
        <v>4.3600000000000003</v>
      </c>
      <c r="L7" s="2">
        <f t="shared" si="0"/>
        <v>4.09</v>
      </c>
      <c r="M7" s="2">
        <f t="shared" si="0"/>
        <v>0.17</v>
      </c>
      <c r="N7" s="2">
        <f>Tabla134[[#This Row],[Total Has]]-Tabla134[[#This Row],[Has Productivas]]-Tabla134[[#This Row],[Has Formación]]</f>
        <v>0.10000000000000045</v>
      </c>
      <c r="O7" s="3">
        <v>8256</v>
      </c>
      <c r="P7" s="3">
        <v>7755</v>
      </c>
      <c r="Q7" s="3">
        <v>327</v>
      </c>
      <c r="R7" s="219">
        <f>Tabla134[[#This Row],[Total Espacios]]-Tabla134[[#This Row],[Pltas. Prod.]]-Tabla134[[#This Row],[Pltas Formación]]</f>
        <v>174</v>
      </c>
      <c r="S7" s="95">
        <v>1.6</v>
      </c>
      <c r="T7" s="95">
        <v>3.3</v>
      </c>
      <c r="U7" s="2" t="s">
        <v>7</v>
      </c>
      <c r="V7" s="99">
        <v>44398</v>
      </c>
      <c r="W7" s="1">
        <f ca="1">IF(INT((TODAY()-Tabla134[[#This Row],[Fecha plantación]])/365)&gt;30,"",INT((TODAY()-Tabla134[[#This Row],[Fecha plantación]])/365))</f>
        <v>5</v>
      </c>
      <c r="X7" s="1" t="s">
        <v>12</v>
      </c>
      <c r="Y7" s="99">
        <v>34631</v>
      </c>
      <c r="Z7" s="1">
        <f ca="1">INT(YEARFRAC(Tabla134[[#This Row],[Fecha nacimiento]],TODAY()))</f>
        <v>31</v>
      </c>
      <c r="AA7" s="239">
        <f>IFERROR(VLOOKUP(Tabla134[[#This Row],[Supervisor de lote]],'DATABASE DATOS SUP'!$B$2:$D$59,3,FALSE),"-")</f>
        <v>988291254</v>
      </c>
      <c r="AB7" s="239" t="str">
        <f>IFERROR(VLOOKUP(Tabla134[[#This Row],[Supervisor de lote]],'DATABASE DATOS SUP'!$B$2:$E$59,4,FALSE),"-")</f>
        <v>Expolvorinea mz .g lote 11</v>
      </c>
      <c r="AC7" s="240" t="str">
        <f>IFERROR(VLOOKUP(Tabla134[[#This Row],[Supervisor de lote]],Tabla1[],7,FALSE),"")</f>
        <v>Piura</v>
      </c>
      <c r="AD7" s="239" t="str">
        <f>IFERROR(VLOOKUP(Tabla134[[#This Row],[Supervisor de lote]],'DATABASE DATOS SUP'!$B$2:$F$59,5,FALSE),"-")</f>
        <v>Educación superior técnica</v>
      </c>
      <c r="AE7" s="1" t="s">
        <v>302</v>
      </c>
      <c r="AF7" s="102" t="s">
        <v>419</v>
      </c>
      <c r="AG7" s="75" t="s">
        <v>9</v>
      </c>
      <c r="AH7" s="233" t="s">
        <v>467</v>
      </c>
      <c r="AI7" s="233" t="s">
        <v>483</v>
      </c>
      <c r="AJ7" s="233" t="s">
        <v>486</v>
      </c>
    </row>
    <row r="8" spans="1:36" x14ac:dyDescent="0.3">
      <c r="A8" s="186" t="s">
        <v>167</v>
      </c>
      <c r="B8" s="1" t="s">
        <v>76</v>
      </c>
      <c r="C8" s="186" t="s">
        <v>244</v>
      </c>
      <c r="D8" s="186" t="str">
        <f>VLOOKUP(Tabla134[[#This Row],[VAR]],FUNDOS!$B$2:$C$18,2,FALSE)</f>
        <v>T8</v>
      </c>
      <c r="E8" s="1" t="s">
        <v>153</v>
      </c>
      <c r="F8" s="1" t="str">
        <f>Tabla134[[#This Row],[VAR]]&amp;Tabla134[[#This Row],[LOTE]]</f>
        <v>JSE03</v>
      </c>
      <c r="G8" s="186" t="s">
        <v>377</v>
      </c>
      <c r="H8" s="1" t="s">
        <v>351</v>
      </c>
      <c r="I8" s="1">
        <v>2024</v>
      </c>
      <c r="J8" s="6">
        <v>1894</v>
      </c>
      <c r="K8" s="2">
        <f t="shared" si="0"/>
        <v>7.85</v>
      </c>
      <c r="L8" s="2">
        <f t="shared" si="0"/>
        <v>6.67</v>
      </c>
      <c r="M8" s="2">
        <f t="shared" si="0"/>
        <v>1.1100000000000001</v>
      </c>
      <c r="N8" s="2">
        <f>Tabla134[[#This Row],[Total Has]]-Tabla134[[#This Row],[Has Productivas]]-Tabla134[[#This Row],[Has Formación]]</f>
        <v>6.9999999999999618E-2</v>
      </c>
      <c r="O8" s="3">
        <v>14870</v>
      </c>
      <c r="P8" s="3">
        <v>12633</v>
      </c>
      <c r="Q8" s="3">
        <v>2103</v>
      </c>
      <c r="R8" s="3">
        <f>Tabla134[[#This Row],[Total Espacios]]-Tabla134[[#This Row],[Pltas. Prod.]]-Tabla134[[#This Row],[Pltas Formación]]</f>
        <v>134</v>
      </c>
      <c r="S8" s="95">
        <v>1.6</v>
      </c>
      <c r="T8" s="95">
        <v>3.3</v>
      </c>
      <c r="U8" s="2" t="s">
        <v>7</v>
      </c>
      <c r="V8" s="99">
        <v>44400</v>
      </c>
      <c r="W8" s="1">
        <f ca="1">IF(INT((TODAY()-Tabla134[[#This Row],[Fecha plantación]])/365)&gt;30,"",INT((TODAY()-Tabla134[[#This Row],[Fecha plantación]])/365))</f>
        <v>5</v>
      </c>
      <c r="X8" s="1" t="s">
        <v>12</v>
      </c>
      <c r="Y8" s="99">
        <v>31153</v>
      </c>
      <c r="Z8" s="1">
        <f ca="1">INT(YEARFRAC(Tabla134[[#This Row],[Fecha nacimiento]],TODAY()))</f>
        <v>41</v>
      </c>
      <c r="AA8" s="239">
        <f>IFERROR(VLOOKUP(Tabla134[[#This Row],[Supervisor de lote]],'DATABASE DATOS SUP'!$B$2:$D$59,3,FALSE),"-")</f>
        <v>976412072</v>
      </c>
      <c r="AB8" s="239" t="str">
        <f>IFERROR(VLOOKUP(Tabla134[[#This Row],[Supervisor de lote]],'DATABASE DATOS SUP'!$B$2:$E$59,4,FALSE),"-")</f>
        <v>Caserío Terela Medio Piura</v>
      </c>
      <c r="AC8" s="240" t="str">
        <f>IFERROR(VLOOKUP(Tabla134[[#This Row],[Supervisor de lote]],Tabla1[],7,FALSE),"")</f>
        <v>Terela</v>
      </c>
      <c r="AD8" s="239" t="str">
        <f>IFERROR(VLOOKUP(Tabla134[[#This Row],[Supervisor de lote]],'DATABASE DATOS SUP'!$B$2:$F$59,5,FALSE),"-")</f>
        <v>Educacion superior técnica incompleta</v>
      </c>
      <c r="AE8" s="1" t="s">
        <v>281</v>
      </c>
      <c r="AF8" s="102" t="s">
        <v>200</v>
      </c>
      <c r="AG8" s="75" t="s">
        <v>9</v>
      </c>
      <c r="AH8" s="233" t="s">
        <v>467</v>
      </c>
      <c r="AI8" s="233" t="s">
        <v>483</v>
      </c>
      <c r="AJ8" s="233" t="s">
        <v>486</v>
      </c>
    </row>
    <row r="9" spans="1:36" x14ac:dyDescent="0.3">
      <c r="A9" s="186" t="s">
        <v>167</v>
      </c>
      <c r="B9" s="1" t="s">
        <v>77</v>
      </c>
      <c r="C9" s="186" t="s">
        <v>244</v>
      </c>
      <c r="D9" s="186" t="str">
        <f>VLOOKUP(Tabla134[[#This Row],[VAR]],FUNDOS!$B$2:$C$18,2,FALSE)</f>
        <v>T8</v>
      </c>
      <c r="E9" s="1" t="s">
        <v>153</v>
      </c>
      <c r="F9" s="1" t="str">
        <f>Tabla134[[#This Row],[VAR]]&amp;Tabla134[[#This Row],[LOTE]]</f>
        <v>JSE04</v>
      </c>
      <c r="G9" s="186" t="s">
        <v>377</v>
      </c>
      <c r="H9" s="1" t="s">
        <v>351</v>
      </c>
      <c r="I9" s="1">
        <v>2024</v>
      </c>
      <c r="J9" s="6">
        <v>1905</v>
      </c>
      <c r="K9" s="2">
        <f t="shared" si="0"/>
        <v>13.08</v>
      </c>
      <c r="L9" s="2">
        <f t="shared" si="0"/>
        <v>10.98</v>
      </c>
      <c r="M9" s="2">
        <f t="shared" si="0"/>
        <v>1.53</v>
      </c>
      <c r="N9" s="2">
        <f>Tabla134[[#This Row],[Total Has]]-Tabla134[[#This Row],[Has Productivas]]-Tabla134[[#This Row],[Has Formación]]</f>
        <v>0.56999999999999962</v>
      </c>
      <c r="O9" s="3">
        <v>24926</v>
      </c>
      <c r="P9" s="3">
        <v>20912</v>
      </c>
      <c r="Q9" s="3">
        <v>2920</v>
      </c>
      <c r="R9" s="3">
        <f>Tabla134[[#This Row],[Total Espacios]]-Tabla134[[#This Row],[Pltas. Prod.]]-Tabla134[[#This Row],[Pltas Formación]]</f>
        <v>1094</v>
      </c>
      <c r="S9" s="95">
        <v>1.5</v>
      </c>
      <c r="T9" s="95">
        <v>3.5</v>
      </c>
      <c r="U9" s="2" t="s">
        <v>7</v>
      </c>
      <c r="V9" s="99">
        <v>44403</v>
      </c>
      <c r="W9" s="1">
        <f ca="1">IF(INT((TODAY()-Tabla134[[#This Row],[Fecha plantación]])/365)&gt;30,"",INT((TODAY()-Tabla134[[#This Row],[Fecha plantación]])/365))</f>
        <v>5</v>
      </c>
      <c r="X9" s="1" t="s">
        <v>12</v>
      </c>
      <c r="Y9" s="99">
        <v>31153</v>
      </c>
      <c r="Z9" s="1">
        <f ca="1">INT(YEARFRAC(Tabla134[[#This Row],[Fecha nacimiento]],TODAY()))</f>
        <v>41</v>
      </c>
      <c r="AA9" s="239">
        <f>IFERROR(VLOOKUP(Tabla134[[#This Row],[Supervisor de lote]],'DATABASE DATOS SUP'!$B$2:$D$59,3,FALSE),"-")</f>
        <v>976412072</v>
      </c>
      <c r="AB9" s="239" t="str">
        <f>IFERROR(VLOOKUP(Tabla134[[#This Row],[Supervisor de lote]],'DATABASE DATOS SUP'!$B$2:$E$59,4,FALSE),"-")</f>
        <v>Caserío Terela Medio Piura</v>
      </c>
      <c r="AC9" s="240" t="str">
        <f>IFERROR(VLOOKUP(Tabla134[[#This Row],[Supervisor de lote]],Tabla1[],7,FALSE),"")</f>
        <v>Terela</v>
      </c>
      <c r="AD9" s="239" t="str">
        <f>IFERROR(VLOOKUP(Tabla134[[#This Row],[Supervisor de lote]],'DATABASE DATOS SUP'!$B$2:$F$59,5,FALSE),"-")</f>
        <v>Educacion superior técnica incompleta</v>
      </c>
      <c r="AE9" s="216" t="s">
        <v>281</v>
      </c>
      <c r="AF9" s="218" t="s">
        <v>200</v>
      </c>
      <c r="AG9" s="230" t="s">
        <v>9</v>
      </c>
      <c r="AH9" s="233" t="s">
        <v>467</v>
      </c>
      <c r="AI9" s="233" t="s">
        <v>483</v>
      </c>
      <c r="AJ9" s="233" t="s">
        <v>486</v>
      </c>
    </row>
    <row r="10" spans="1:36" x14ac:dyDescent="0.3">
      <c r="A10" s="187" t="s">
        <v>105</v>
      </c>
      <c r="B10" s="1" t="s">
        <v>23</v>
      </c>
      <c r="C10" s="187" t="s">
        <v>242</v>
      </c>
      <c r="D10" s="187" t="str">
        <f>VLOOKUP(Tabla134[[#This Row],[VAR]],FUNDOS!$B$2:$C$18,2,FALSE)</f>
        <v>T4</v>
      </c>
      <c r="E10" s="1" t="s">
        <v>371</v>
      </c>
      <c r="F10" s="1" t="str">
        <f>Tabla134[[#This Row],[VAR]]&amp;Tabla134[[#This Row],[LOTE]]</f>
        <v>TMD04</v>
      </c>
      <c r="G10" s="186" t="s">
        <v>377</v>
      </c>
      <c r="H10" s="1" t="s">
        <v>349</v>
      </c>
      <c r="I10" s="1">
        <v>2024</v>
      </c>
      <c r="J10" s="4">
        <v>2070</v>
      </c>
      <c r="K10" s="2">
        <f t="shared" si="0"/>
        <v>13.75</v>
      </c>
      <c r="L10" s="2">
        <f t="shared" si="0"/>
        <v>13.57</v>
      </c>
      <c r="M10" s="2">
        <f t="shared" si="0"/>
        <v>7.0000000000000007E-2</v>
      </c>
      <c r="N10" s="2">
        <f>Tabla134[[#This Row],[Total Has]]-Tabla134[[#This Row],[Has Productivas]]-Tabla134[[#This Row],[Has Formación]]</f>
        <v>0.10999999999999971</v>
      </c>
      <c r="O10" s="3">
        <v>28460</v>
      </c>
      <c r="P10" s="3">
        <v>28096</v>
      </c>
      <c r="Q10" s="3">
        <v>154</v>
      </c>
      <c r="R10" s="3">
        <f>Tabla134[[#This Row],[Total Espacios]]-Tabla134[[#This Row],[Pltas. Prod.]]-Tabla134[[#This Row],[Pltas Formación]]</f>
        <v>210</v>
      </c>
      <c r="S10" s="95">
        <v>1.6</v>
      </c>
      <c r="T10" s="95">
        <v>3.5</v>
      </c>
      <c r="U10" s="2" t="s">
        <v>7</v>
      </c>
      <c r="V10" s="99">
        <v>42668</v>
      </c>
      <c r="W10" s="1">
        <f ca="1">IF(INT((TODAY()-Tabla134[[#This Row],[Fecha plantación]])/365)&gt;30,"",INT((TODAY()-Tabla134[[#This Row],[Fecha plantación]])/365))</f>
        <v>9</v>
      </c>
      <c r="X10" s="1" t="s">
        <v>12</v>
      </c>
      <c r="Y10" s="99">
        <v>31842</v>
      </c>
      <c r="Z10" s="1">
        <f ca="1">INT(YEARFRAC(Tabla134[[#This Row],[Fecha nacimiento]],TODAY()))</f>
        <v>39</v>
      </c>
      <c r="AA10" s="239">
        <f>IFERROR(VLOOKUP(Tabla134[[#This Row],[Supervisor de lote]],'DATABASE DATOS SUP'!$B$2:$D$59,3,FALSE),"-")</f>
        <v>962638155</v>
      </c>
      <c r="AB10" s="239" t="str">
        <f>IFERROR(VLOOKUP(Tabla134[[#This Row],[Supervisor de lote]],'DATABASE DATOS SUP'!$B$2:$E$59,4,FALSE),"-")</f>
        <v>Castilla chiclayito calle los pinos</v>
      </c>
      <c r="AC10" s="240" t="str">
        <f>IFERROR(VLOOKUP(Tabla134[[#This Row],[Supervisor de lote]],Tabla1[],7,FALSE),"")</f>
        <v>Castilla</v>
      </c>
      <c r="AD10" s="239" t="str">
        <f>IFERROR(VLOOKUP(Tabla134[[#This Row],[Supervisor de lote]],'DATABASE DATOS SUP'!$B$2:$F$59,5,FALSE),"-")</f>
        <v>Educación secundaria</v>
      </c>
      <c r="AE10" s="1"/>
      <c r="AF10" s="102" t="s">
        <v>292</v>
      </c>
      <c r="AG10" s="75" t="s">
        <v>9</v>
      </c>
      <c r="AH10" s="233" t="s">
        <v>468</v>
      </c>
      <c r="AI10" s="233" t="s">
        <v>483</v>
      </c>
      <c r="AJ10" s="233" t="s">
        <v>487</v>
      </c>
    </row>
    <row r="11" spans="1:36" x14ac:dyDescent="0.3">
      <c r="A11" s="187" t="s">
        <v>105</v>
      </c>
      <c r="B11" s="1" t="s">
        <v>24</v>
      </c>
      <c r="C11" s="187" t="s">
        <v>242</v>
      </c>
      <c r="D11" s="187" t="str">
        <f>VLOOKUP(Tabla134[[#This Row],[VAR]],FUNDOS!$B$2:$C$18,2,FALSE)</f>
        <v>T4</v>
      </c>
      <c r="E11" s="1" t="s">
        <v>371</v>
      </c>
      <c r="F11" s="1" t="str">
        <f>Tabla134[[#This Row],[VAR]]&amp;Tabla134[[#This Row],[LOTE]]</f>
        <v>TMD05</v>
      </c>
      <c r="G11" s="186" t="s">
        <v>377</v>
      </c>
      <c r="H11" s="1" t="s">
        <v>349</v>
      </c>
      <c r="I11" s="1">
        <v>2024</v>
      </c>
      <c r="J11" s="4">
        <v>2070</v>
      </c>
      <c r="K11" s="2">
        <f t="shared" si="0"/>
        <v>12.89</v>
      </c>
      <c r="L11" s="2">
        <f t="shared" si="0"/>
        <v>12.72</v>
      </c>
      <c r="M11" s="2">
        <f t="shared" si="0"/>
        <v>7.0000000000000007E-2</v>
      </c>
      <c r="N11" s="2">
        <f>Tabla134[[#This Row],[Total Has]]-Tabla134[[#This Row],[Has Productivas]]-Tabla134[[#This Row],[Has Formación]]</f>
        <v>9.9999999999999922E-2</v>
      </c>
      <c r="O11" s="3">
        <v>26685</v>
      </c>
      <c r="P11" s="3">
        <v>26327</v>
      </c>
      <c r="Q11" s="3">
        <v>150</v>
      </c>
      <c r="R11" s="3">
        <f>Tabla134[[#This Row],[Total Espacios]]-Tabla134[[#This Row],[Pltas. Prod.]]-Tabla134[[#This Row],[Pltas Formación]]</f>
        <v>208</v>
      </c>
      <c r="S11" s="95">
        <v>1.6</v>
      </c>
      <c r="T11" s="95">
        <v>3.5</v>
      </c>
      <c r="U11" s="2" t="s">
        <v>7</v>
      </c>
      <c r="V11" s="99">
        <v>42678</v>
      </c>
      <c r="W11" s="1">
        <f ca="1">IF(INT((TODAY()-Tabla134[[#This Row],[Fecha plantación]])/365)&gt;30,"",INT((TODAY()-Tabla134[[#This Row],[Fecha plantación]])/365))</f>
        <v>9</v>
      </c>
      <c r="X11" s="1" t="s">
        <v>12</v>
      </c>
      <c r="Y11" s="99">
        <v>30930</v>
      </c>
      <c r="Z11" s="1">
        <f ca="1">INT(YEARFRAC(Tabla134[[#This Row],[Fecha nacimiento]],TODAY()))</f>
        <v>41</v>
      </c>
      <c r="AA11" s="239">
        <f>IFERROR(VLOOKUP(Tabla134[[#This Row],[Supervisor de lote]],'DATABASE DATOS SUP'!$B$2:$D$59,3,FALSE),"-")</f>
        <v>947657425</v>
      </c>
      <c r="AB11" s="239" t="str">
        <f>IFERROR(VLOOKUP(Tabla134[[#This Row],[Supervisor de lote]],'DATABASE DATOS SUP'!$B$2:$E$59,4,FALSE),"-")</f>
        <v>Caserío El Papayo Medio Piura</v>
      </c>
      <c r="AC11" s="240" t="str">
        <f>IFERROR(VLOOKUP(Tabla134[[#This Row],[Supervisor de lote]],Tabla1[],7,FALSE),"")</f>
        <v>El Papayo</v>
      </c>
      <c r="AD11" s="239" t="str">
        <f>IFERROR(VLOOKUP(Tabla134[[#This Row],[Supervisor de lote]],'DATABASE DATOS SUP'!$B$2:$F$59,5,FALSE),"-")</f>
        <v>Educación secundaria</v>
      </c>
      <c r="AE11" s="1"/>
      <c r="AF11" s="102" t="s">
        <v>197</v>
      </c>
      <c r="AG11" s="75" t="s">
        <v>9</v>
      </c>
      <c r="AH11" s="233" t="s">
        <v>468</v>
      </c>
      <c r="AI11" s="233" t="s">
        <v>483</v>
      </c>
      <c r="AJ11" s="233" t="s">
        <v>487</v>
      </c>
    </row>
    <row r="12" spans="1:36" x14ac:dyDescent="0.3">
      <c r="A12" s="187" t="s">
        <v>105</v>
      </c>
      <c r="B12" s="1" t="s">
        <v>25</v>
      </c>
      <c r="C12" s="187" t="s">
        <v>242</v>
      </c>
      <c r="D12" s="187" t="str">
        <f>VLOOKUP(Tabla134[[#This Row],[VAR]],FUNDOS!$B$2:$C$18,2,FALSE)</f>
        <v>T4</v>
      </c>
      <c r="E12" s="1" t="s">
        <v>371</v>
      </c>
      <c r="F12" s="1" t="str">
        <f>Tabla134[[#This Row],[VAR]]&amp;Tabla134[[#This Row],[LOTE]]</f>
        <v>TMD06</v>
      </c>
      <c r="G12" s="186" t="s">
        <v>377</v>
      </c>
      <c r="H12" s="1" t="s">
        <v>349</v>
      </c>
      <c r="I12" s="1">
        <v>2024</v>
      </c>
      <c r="J12" s="4">
        <v>2070</v>
      </c>
      <c r="K12" s="2">
        <f t="shared" si="0"/>
        <v>14.22</v>
      </c>
      <c r="L12" s="2">
        <f t="shared" si="0"/>
        <v>12.87</v>
      </c>
      <c r="M12" s="2">
        <f t="shared" si="0"/>
        <v>0.15</v>
      </c>
      <c r="N12" s="2">
        <f>Tabla134[[#This Row],[Total Has]]-Tabla134[[#This Row],[Has Productivas]]-Tabla134[[#This Row],[Has Formación]]</f>
        <v>1.2000000000000015</v>
      </c>
      <c r="O12" s="3">
        <v>29441</v>
      </c>
      <c r="P12" s="3">
        <v>26635</v>
      </c>
      <c r="Q12" s="3">
        <v>305</v>
      </c>
      <c r="R12" s="3">
        <f>Tabla134[[#This Row],[Total Espacios]]-Tabla134[[#This Row],[Pltas. Prod.]]-Tabla134[[#This Row],[Pltas Formación]]</f>
        <v>2501</v>
      </c>
      <c r="S12" s="95">
        <v>1.6</v>
      </c>
      <c r="T12" s="95">
        <v>3.5</v>
      </c>
      <c r="U12" s="2" t="s">
        <v>7</v>
      </c>
      <c r="V12" s="99">
        <v>42731</v>
      </c>
      <c r="W12" s="1">
        <f ca="1">IF(INT((TODAY()-Tabla134[[#This Row],[Fecha plantación]])/365)&gt;30,"",INT((TODAY()-Tabla134[[#This Row],[Fecha plantación]])/365))</f>
        <v>9</v>
      </c>
      <c r="X12" s="1" t="s">
        <v>12</v>
      </c>
      <c r="Y12" s="99">
        <v>30930</v>
      </c>
      <c r="Z12" s="1">
        <f ca="1">INT(YEARFRAC(Tabla134[[#This Row],[Fecha nacimiento]],TODAY()))</f>
        <v>41</v>
      </c>
      <c r="AA12" s="239">
        <f>IFERROR(VLOOKUP(Tabla134[[#This Row],[Supervisor de lote]],'DATABASE DATOS SUP'!$B$2:$D$59,3,FALSE),"-")</f>
        <v>947657425</v>
      </c>
      <c r="AB12" s="239" t="str">
        <f>IFERROR(VLOOKUP(Tabla134[[#This Row],[Supervisor de lote]],'DATABASE DATOS SUP'!$B$2:$E$59,4,FALSE),"-")</f>
        <v>Caserío El Papayo Medio Piura</v>
      </c>
      <c r="AC12" s="240" t="str">
        <f>IFERROR(VLOOKUP(Tabla134[[#This Row],[Supervisor de lote]],Tabla1[],7,FALSE),"")</f>
        <v>El Papayo</v>
      </c>
      <c r="AD12" s="239" t="str">
        <f>IFERROR(VLOOKUP(Tabla134[[#This Row],[Supervisor de lote]],'DATABASE DATOS SUP'!$B$2:$F$59,5,FALSE),"-")</f>
        <v>Educación secundaria</v>
      </c>
      <c r="AE12" s="1"/>
      <c r="AF12" s="102" t="s">
        <v>197</v>
      </c>
      <c r="AG12" s="75" t="s">
        <v>9</v>
      </c>
      <c r="AH12" s="233" t="s">
        <v>468</v>
      </c>
      <c r="AI12" s="233" t="s">
        <v>483</v>
      </c>
      <c r="AJ12" s="233" t="s">
        <v>487</v>
      </c>
    </row>
    <row r="13" spans="1:36" x14ac:dyDescent="0.3">
      <c r="A13" s="187" t="s">
        <v>105</v>
      </c>
      <c r="B13" s="1" t="s">
        <v>33</v>
      </c>
      <c r="C13" s="187" t="s">
        <v>242</v>
      </c>
      <c r="D13" s="187" t="str">
        <f>VLOOKUP(Tabla134[[#This Row],[VAR]],FUNDOS!$B$2:$C$18,2,FALSE)</f>
        <v>T4</v>
      </c>
      <c r="E13" s="1" t="s">
        <v>371</v>
      </c>
      <c r="F13" s="1" t="str">
        <f>Tabla134[[#This Row],[VAR]]&amp;Tabla134[[#This Row],[LOTE]]</f>
        <v>TMF05</v>
      </c>
      <c r="G13" s="186" t="s">
        <v>377</v>
      </c>
      <c r="H13" s="1" t="s">
        <v>349</v>
      </c>
      <c r="I13" s="1">
        <v>2024</v>
      </c>
      <c r="J13" s="4">
        <v>1953</v>
      </c>
      <c r="K13" s="2">
        <f t="shared" si="0"/>
        <v>14.42</v>
      </c>
      <c r="L13" s="2">
        <f t="shared" si="0"/>
        <v>14.2</v>
      </c>
      <c r="M13" s="2">
        <f t="shared" si="0"/>
        <v>0.15</v>
      </c>
      <c r="N13" s="2">
        <f>Tabla134[[#This Row],[Total Has]]-Tabla134[[#This Row],[Has Productivas]]-Tabla134[[#This Row],[Has Formación]]</f>
        <v>7.0000000000000645E-2</v>
      </c>
      <c r="O13" s="3">
        <v>28153</v>
      </c>
      <c r="P13" s="3">
        <v>27724</v>
      </c>
      <c r="Q13" s="3">
        <v>297</v>
      </c>
      <c r="R13" s="3">
        <f>Tabla134[[#This Row],[Total Espacios]]-Tabla134[[#This Row],[Pltas. Prod.]]-Tabla134[[#This Row],[Pltas Formación]]</f>
        <v>132</v>
      </c>
      <c r="S13" s="95">
        <v>1.6</v>
      </c>
      <c r="T13" s="95">
        <v>3.3</v>
      </c>
      <c r="U13" s="2" t="s">
        <v>7</v>
      </c>
      <c r="V13" s="99">
        <v>43659</v>
      </c>
      <c r="W13" s="1">
        <f ca="1">IF(INT((TODAY()-Tabla134[[#This Row],[Fecha plantación]])/365)&gt;30,"",INT((TODAY()-Tabla134[[#This Row],[Fecha plantación]])/365))</f>
        <v>7</v>
      </c>
      <c r="X13" s="1" t="s">
        <v>12</v>
      </c>
      <c r="Y13" s="99">
        <v>32665</v>
      </c>
      <c r="Z13" s="1">
        <f ca="1">INT(YEARFRAC(Tabla134[[#This Row],[Fecha nacimiento]],TODAY()))</f>
        <v>37</v>
      </c>
      <c r="AA13" s="239">
        <f>IFERROR(VLOOKUP(Tabla134[[#This Row],[Supervisor de lote]],'DATABASE DATOS SUP'!$B$2:$D$59,3,FALSE),"-")</f>
        <v>957943066</v>
      </c>
      <c r="AB13" s="239" t="str">
        <f>IFERROR(VLOOKUP(Tabla134[[#This Row],[Supervisor de lote]],'DATABASE DATOS SUP'!$B$2:$E$59,4,FALSE),"-")</f>
        <v>San Rafael  medio piura</v>
      </c>
      <c r="AC13" s="240" t="str">
        <f>IFERROR(VLOOKUP(Tabla134[[#This Row],[Supervisor de lote]],Tabla1[],7,FALSE),"")</f>
        <v>Medio Piura</v>
      </c>
      <c r="AD13" s="239" t="str">
        <f>IFERROR(VLOOKUP(Tabla134[[#This Row],[Supervisor de lote]],'DATABASE DATOS SUP'!$B$2:$F$59,5,FALSE),"-")</f>
        <v>Educación secundaria</v>
      </c>
      <c r="AE13" s="1"/>
      <c r="AF13" s="102" t="s">
        <v>294</v>
      </c>
      <c r="AG13" s="75" t="s">
        <v>9</v>
      </c>
      <c r="AH13" s="233" t="s">
        <v>468</v>
      </c>
      <c r="AI13" s="233" t="s">
        <v>483</v>
      </c>
      <c r="AJ13" s="233" t="s">
        <v>486</v>
      </c>
    </row>
    <row r="14" spans="1:36" x14ac:dyDescent="0.3">
      <c r="A14" s="187" t="s">
        <v>105</v>
      </c>
      <c r="B14" s="1" t="s">
        <v>35</v>
      </c>
      <c r="C14" s="187" t="s">
        <v>242</v>
      </c>
      <c r="D14" s="187" t="str">
        <f>VLOOKUP(Tabla134[[#This Row],[VAR]],FUNDOS!$B$2:$C$18,2,FALSE)</f>
        <v>T4</v>
      </c>
      <c r="E14" s="1" t="s">
        <v>371</v>
      </c>
      <c r="F14" s="1" t="str">
        <f>Tabla134[[#This Row],[VAR]]&amp;Tabla134[[#This Row],[LOTE]]</f>
        <v>TMF06</v>
      </c>
      <c r="G14" s="186" t="s">
        <v>377</v>
      </c>
      <c r="H14" s="1" t="s">
        <v>349</v>
      </c>
      <c r="I14" s="1">
        <v>2024</v>
      </c>
      <c r="J14" s="4">
        <v>1953</v>
      </c>
      <c r="K14" s="2">
        <f t="shared" si="0"/>
        <v>14.27</v>
      </c>
      <c r="L14" s="2">
        <f t="shared" si="0"/>
        <v>14.26</v>
      </c>
      <c r="M14" s="2">
        <f t="shared" si="0"/>
        <v>0</v>
      </c>
      <c r="N14" s="2">
        <f>Tabla134[[#This Row],[Total Has]]-Tabla134[[#This Row],[Has Productivas]]-Tabla134[[#This Row],[Has Formación]]</f>
        <v>9.9999999999997868E-3</v>
      </c>
      <c r="O14" s="3">
        <v>27869</v>
      </c>
      <c r="P14" s="3">
        <v>27841</v>
      </c>
      <c r="Q14" s="3">
        <v>4</v>
      </c>
      <c r="R14" s="3">
        <f>Tabla134[[#This Row],[Total Espacios]]-Tabla134[[#This Row],[Pltas. Prod.]]-Tabla134[[#This Row],[Pltas Formación]]</f>
        <v>24</v>
      </c>
      <c r="S14" s="95">
        <v>1.6</v>
      </c>
      <c r="T14" s="95">
        <v>3.3</v>
      </c>
      <c r="U14" s="2" t="s">
        <v>7</v>
      </c>
      <c r="V14" s="99">
        <v>43657</v>
      </c>
      <c r="W14" s="1">
        <f ca="1">IF(INT((TODAY()-Tabla134[[#This Row],[Fecha plantación]])/365)&gt;30,"",INT((TODAY()-Tabla134[[#This Row],[Fecha plantación]])/365))</f>
        <v>7</v>
      </c>
      <c r="X14" s="1" t="s">
        <v>12</v>
      </c>
      <c r="Y14" s="99">
        <v>31082</v>
      </c>
      <c r="Z14" s="1">
        <f ca="1">INT(YEARFRAC(Tabla134[[#This Row],[Fecha nacimiento]],TODAY()))</f>
        <v>41</v>
      </c>
      <c r="AA14" s="239">
        <f>IFERROR(VLOOKUP(Tabla134[[#This Row],[Supervisor de lote]],'DATABASE DATOS SUP'!$B$2:$D$59,3,FALSE),"-")</f>
        <v>951464092</v>
      </c>
      <c r="AB14" s="239" t="str">
        <f>IFERROR(VLOOKUP(Tabla134[[#This Row],[Supervisor de lote]],'DATABASE DATOS SUP'!$B$2:$E$59,4,FALSE),"-")</f>
        <v>La obrilla</v>
      </c>
      <c r="AC14" s="240">
        <f>IFERROR(VLOOKUP(Tabla134[[#This Row],[Supervisor de lote]],Tabla1[],7,FALSE),"")</f>
        <v>0</v>
      </c>
      <c r="AD14" s="239" t="str">
        <f>IFERROR(VLOOKUP(Tabla134[[#This Row],[Supervisor de lote]],'DATABASE DATOS SUP'!$B$2:$F$59,5,FALSE),"-")</f>
        <v>Educación secundaria</v>
      </c>
      <c r="AE14" s="1"/>
      <c r="AF14" s="102" t="s">
        <v>314</v>
      </c>
      <c r="AG14" s="75" t="s">
        <v>9</v>
      </c>
      <c r="AH14" s="233" t="s">
        <v>468</v>
      </c>
      <c r="AI14" s="233" t="s">
        <v>483</v>
      </c>
      <c r="AJ14" s="233" t="s">
        <v>486</v>
      </c>
    </row>
    <row r="15" spans="1:36" x14ac:dyDescent="0.3">
      <c r="A15" s="187" t="s">
        <v>105</v>
      </c>
      <c r="B15" s="1" t="s">
        <v>36</v>
      </c>
      <c r="C15" s="187" t="s">
        <v>242</v>
      </c>
      <c r="D15" s="187" t="str">
        <f>VLOOKUP(Tabla134[[#This Row],[VAR]],FUNDOS!$B$2:$C$18,2,FALSE)</f>
        <v>T4</v>
      </c>
      <c r="E15" s="1" t="s">
        <v>371</v>
      </c>
      <c r="F15" s="1" t="str">
        <f>Tabla134[[#This Row],[VAR]]&amp;Tabla134[[#This Row],[LOTE]]</f>
        <v>TMF07</v>
      </c>
      <c r="G15" s="186" t="s">
        <v>377</v>
      </c>
      <c r="H15" s="1" t="s">
        <v>349</v>
      </c>
      <c r="I15" s="1">
        <v>2024</v>
      </c>
      <c r="J15" s="4">
        <v>1953</v>
      </c>
      <c r="K15" s="2">
        <f t="shared" si="0"/>
        <v>14.65</v>
      </c>
      <c r="L15" s="2">
        <f t="shared" si="0"/>
        <v>14.64</v>
      </c>
      <c r="M15" s="2">
        <f t="shared" si="0"/>
        <v>0</v>
      </c>
      <c r="N15" s="2">
        <f>Tabla134[[#This Row],[Total Has]]-Tabla134[[#This Row],[Has Productivas]]-Tabla134[[#This Row],[Has Formación]]</f>
        <v>9.9999999999997868E-3</v>
      </c>
      <c r="O15" s="3">
        <v>28615</v>
      </c>
      <c r="P15" s="3">
        <v>28584</v>
      </c>
      <c r="Q15" s="3">
        <v>5</v>
      </c>
      <c r="R15" s="3">
        <f>Tabla134[[#This Row],[Total Espacios]]-Tabla134[[#This Row],[Pltas. Prod.]]-Tabla134[[#This Row],[Pltas Formación]]</f>
        <v>26</v>
      </c>
      <c r="S15" s="95">
        <v>1.6</v>
      </c>
      <c r="T15" s="95">
        <v>3.3</v>
      </c>
      <c r="U15" s="2" t="s">
        <v>7</v>
      </c>
      <c r="V15" s="99">
        <v>43654</v>
      </c>
      <c r="W15" s="1">
        <f ca="1">IF(INT((TODAY()-Tabla134[[#This Row],[Fecha plantación]])/365)&gt;30,"",INT((TODAY()-Tabla134[[#This Row],[Fecha plantación]])/365))</f>
        <v>7</v>
      </c>
      <c r="X15" s="1" t="s">
        <v>12</v>
      </c>
      <c r="Y15" s="99">
        <v>31082</v>
      </c>
      <c r="Z15" s="1">
        <f ca="1">INT(YEARFRAC(Tabla134[[#This Row],[Fecha nacimiento]],TODAY()))</f>
        <v>41</v>
      </c>
      <c r="AA15" s="239">
        <f>IFERROR(VLOOKUP(Tabla134[[#This Row],[Supervisor de lote]],'DATABASE DATOS SUP'!$B$2:$D$59,3,FALSE),"-")</f>
        <v>951464092</v>
      </c>
      <c r="AB15" s="239" t="str">
        <f>IFERROR(VLOOKUP(Tabla134[[#This Row],[Supervisor de lote]],'DATABASE DATOS SUP'!$B$2:$E$59,4,FALSE),"-")</f>
        <v>La obrilla</v>
      </c>
      <c r="AC15" s="240">
        <f>IFERROR(VLOOKUP(Tabla134[[#This Row],[Supervisor de lote]],Tabla1[],7,FALSE),"")</f>
        <v>0</v>
      </c>
      <c r="AD15" s="239" t="str">
        <f>IFERROR(VLOOKUP(Tabla134[[#This Row],[Supervisor de lote]],'DATABASE DATOS SUP'!$B$2:$F$59,5,FALSE),"-")</f>
        <v>Educación secundaria</v>
      </c>
      <c r="AE15" s="1"/>
      <c r="AF15" s="102" t="s">
        <v>314</v>
      </c>
      <c r="AG15" s="75" t="s">
        <v>9</v>
      </c>
      <c r="AH15" s="233" t="s">
        <v>468</v>
      </c>
      <c r="AI15" s="233" t="s">
        <v>483</v>
      </c>
      <c r="AJ15" s="233" t="s">
        <v>486</v>
      </c>
    </row>
    <row r="16" spans="1:36" x14ac:dyDescent="0.3">
      <c r="A16" s="187" t="s">
        <v>105</v>
      </c>
      <c r="B16" s="1" t="s">
        <v>37</v>
      </c>
      <c r="C16" s="187" t="s">
        <v>242</v>
      </c>
      <c r="D16" s="187" t="str">
        <f>VLOOKUP(Tabla134[[#This Row],[VAR]],FUNDOS!$B$2:$C$18,2,FALSE)</f>
        <v>T4</v>
      </c>
      <c r="E16" s="1" t="s">
        <v>371</v>
      </c>
      <c r="F16" s="1" t="str">
        <f>Tabla134[[#This Row],[VAR]]&amp;Tabla134[[#This Row],[LOTE]]</f>
        <v>TME05</v>
      </c>
      <c r="G16" s="186" t="s">
        <v>377</v>
      </c>
      <c r="H16" s="1" t="s">
        <v>349</v>
      </c>
      <c r="I16" s="1">
        <v>2024</v>
      </c>
      <c r="J16" s="4">
        <v>1780</v>
      </c>
      <c r="K16" s="2">
        <f t="shared" si="0"/>
        <v>14.09</v>
      </c>
      <c r="L16" s="2">
        <f t="shared" si="0"/>
        <v>13.35</v>
      </c>
      <c r="M16" s="2">
        <f t="shared" si="0"/>
        <v>0.06</v>
      </c>
      <c r="N16" s="2">
        <f>Tabla134[[#This Row],[Total Has]]-Tabla134[[#This Row],[Has Productivas]]-Tabla134[[#This Row],[Has Formación]]</f>
        <v>0.68000000000000016</v>
      </c>
      <c r="O16" s="3">
        <v>25088</v>
      </c>
      <c r="P16" s="3">
        <v>23756</v>
      </c>
      <c r="Q16" s="3">
        <v>106</v>
      </c>
      <c r="R16" s="3">
        <f>Tabla134[[#This Row],[Total Espacios]]-Tabla134[[#This Row],[Pltas. Prod.]]-Tabla134[[#This Row],[Pltas Formación]]</f>
        <v>1226</v>
      </c>
      <c r="S16" s="95">
        <v>1.6</v>
      </c>
      <c r="T16" s="95">
        <v>3.5</v>
      </c>
      <c r="U16" s="2" t="s">
        <v>7</v>
      </c>
      <c r="V16" s="99">
        <v>44002</v>
      </c>
      <c r="W16" s="1">
        <f ca="1">IF(INT((TODAY()-Tabla134[[#This Row],[Fecha plantación]])/365)&gt;30,"",INT((TODAY()-Tabla134[[#This Row],[Fecha plantación]])/365))</f>
        <v>6</v>
      </c>
      <c r="X16" s="1" t="s">
        <v>12</v>
      </c>
      <c r="Y16" s="99">
        <v>32665</v>
      </c>
      <c r="Z16" s="1">
        <f ca="1">INT(YEARFRAC(Tabla134[[#This Row],[Fecha nacimiento]],TODAY()))</f>
        <v>37</v>
      </c>
      <c r="AA16" s="239">
        <f>IFERROR(VLOOKUP(Tabla134[[#This Row],[Supervisor de lote]],'DATABASE DATOS SUP'!$B$2:$D$59,3,FALSE),"-")</f>
        <v>0</v>
      </c>
      <c r="AB16" s="239">
        <f>IFERROR(VLOOKUP(Tabla134[[#This Row],[Supervisor de lote]],'DATABASE DATOS SUP'!$B$2:$E$59,4,FALSE),"-")</f>
        <v>0</v>
      </c>
      <c r="AC16" s="240">
        <f>IFERROR(VLOOKUP(Tabla134[[#This Row],[Supervisor de lote]],Tabla1[],7,FALSE),"")</f>
        <v>0</v>
      </c>
      <c r="AD16" s="239" t="str">
        <f>IFERROR(VLOOKUP(Tabla134[[#This Row],[Supervisor de lote]],'DATABASE DATOS SUP'!$B$2:$F$59,5,FALSE),"-")</f>
        <v>Educación superior universitaria</v>
      </c>
      <c r="AE16" s="1"/>
      <c r="AF16" s="102" t="s">
        <v>476</v>
      </c>
      <c r="AG16" s="75" t="s">
        <v>9</v>
      </c>
      <c r="AH16" s="233" t="s">
        <v>468</v>
      </c>
      <c r="AI16" s="233" t="s">
        <v>483</v>
      </c>
      <c r="AJ16" s="233" t="s">
        <v>486</v>
      </c>
    </row>
    <row r="17" spans="1:36" x14ac:dyDescent="0.3">
      <c r="A17" s="187" t="s">
        <v>105</v>
      </c>
      <c r="B17" s="1" t="s">
        <v>38</v>
      </c>
      <c r="C17" s="187" t="s">
        <v>242</v>
      </c>
      <c r="D17" s="187" t="str">
        <f>VLOOKUP(Tabla134[[#This Row],[VAR]],FUNDOS!$B$2:$C$18,2,FALSE)</f>
        <v>T4</v>
      </c>
      <c r="E17" s="1" t="s">
        <v>371</v>
      </c>
      <c r="F17" s="1" t="str">
        <f>Tabla134[[#This Row],[VAR]]&amp;Tabla134[[#This Row],[LOTE]]</f>
        <v>TME06</v>
      </c>
      <c r="G17" s="186" t="s">
        <v>377</v>
      </c>
      <c r="H17" s="1" t="s">
        <v>349</v>
      </c>
      <c r="I17" s="1">
        <v>2024</v>
      </c>
      <c r="J17" s="4">
        <v>1780</v>
      </c>
      <c r="K17" s="2">
        <f t="shared" si="0"/>
        <v>14.74</v>
      </c>
      <c r="L17" s="2">
        <f t="shared" si="0"/>
        <v>14.68</v>
      </c>
      <c r="M17" s="2">
        <f t="shared" si="0"/>
        <v>0</v>
      </c>
      <c r="N17" s="2">
        <f>Tabla134[[#This Row],[Total Has]]-Tabla134[[#This Row],[Has Productivas]]-Tabla134[[#This Row],[Has Formación]]</f>
        <v>6.0000000000000497E-2</v>
      </c>
      <c r="O17" s="3">
        <v>26240</v>
      </c>
      <c r="P17" s="3">
        <v>26136</v>
      </c>
      <c r="Q17" s="3">
        <v>8</v>
      </c>
      <c r="R17" s="3">
        <f>Tabla134[[#This Row],[Total Espacios]]-Tabla134[[#This Row],[Pltas. Prod.]]-Tabla134[[#This Row],[Pltas Formación]]</f>
        <v>96</v>
      </c>
      <c r="S17" s="95">
        <v>1.6</v>
      </c>
      <c r="T17" s="95">
        <v>3.5</v>
      </c>
      <c r="U17" s="2" t="s">
        <v>7</v>
      </c>
      <c r="V17" s="99">
        <v>44012</v>
      </c>
      <c r="W17" s="1">
        <f ca="1">IF(INT((TODAY()-Tabla134[[#This Row],[Fecha plantación]])/365)&gt;30,"",INT((TODAY()-Tabla134[[#This Row],[Fecha plantación]])/365))</f>
        <v>6</v>
      </c>
      <c r="X17" s="1" t="s">
        <v>12</v>
      </c>
      <c r="Y17" s="99">
        <v>35580</v>
      </c>
      <c r="Z17" s="1">
        <f ca="1">INT(YEARFRAC(Tabla134[[#This Row],[Fecha nacimiento]],TODAY()))</f>
        <v>29</v>
      </c>
      <c r="AA17" s="239">
        <f>IFERROR(VLOOKUP(Tabla134[[#This Row],[Supervisor de lote]],'DATABASE DATOS SUP'!$B$2:$D$59,3,FALSE),"-")</f>
        <v>954262739</v>
      </c>
      <c r="AB17" s="239" t="str">
        <f>IFERROR(VLOOKUP(Tabla134[[#This Row],[Supervisor de lote]],'DATABASE DATOS SUP'!$B$2:$E$59,4,FALSE),"-")</f>
        <v>Terela medio piura</v>
      </c>
      <c r="AC17" s="240" t="str">
        <f>IFERROR(VLOOKUP(Tabla134[[#This Row],[Supervisor de lote]],Tabla1[],7,FALSE),"")</f>
        <v>Terela</v>
      </c>
      <c r="AD17" s="239" t="str">
        <f>IFERROR(VLOOKUP(Tabla134[[#This Row],[Supervisor de lote]],'DATABASE DATOS SUP'!$B$2:$F$59,5,FALSE),"-")</f>
        <v>Educación secundaria</v>
      </c>
      <c r="AE17" s="1" t="s">
        <v>291</v>
      </c>
      <c r="AF17" s="102" t="s">
        <v>403</v>
      </c>
      <c r="AG17" s="75" t="s">
        <v>9</v>
      </c>
      <c r="AH17" s="233" t="s">
        <v>468</v>
      </c>
      <c r="AI17" s="233" t="s">
        <v>483</v>
      </c>
      <c r="AJ17" s="233" t="s">
        <v>486</v>
      </c>
    </row>
    <row r="18" spans="1:36" x14ac:dyDescent="0.3">
      <c r="A18" s="187" t="s">
        <v>105</v>
      </c>
      <c r="B18" s="1" t="s">
        <v>39</v>
      </c>
      <c r="C18" s="187" t="s">
        <v>242</v>
      </c>
      <c r="D18" s="187" t="str">
        <f>VLOOKUP(Tabla134[[#This Row],[VAR]],FUNDOS!$B$2:$C$18,2,FALSE)</f>
        <v>T4</v>
      </c>
      <c r="E18" s="1" t="s">
        <v>371</v>
      </c>
      <c r="F18" s="1" t="str">
        <f>Tabla134[[#This Row],[VAR]]&amp;Tabla134[[#This Row],[LOTE]]</f>
        <v>TME07</v>
      </c>
      <c r="G18" s="186" t="s">
        <v>377</v>
      </c>
      <c r="H18" s="1" t="s">
        <v>349</v>
      </c>
      <c r="I18" s="1">
        <v>2024</v>
      </c>
      <c r="J18" s="4">
        <v>1780</v>
      </c>
      <c r="K18" s="2">
        <f t="shared" si="0"/>
        <v>14.96</v>
      </c>
      <c r="L18" s="2">
        <f t="shared" si="0"/>
        <v>14.86</v>
      </c>
      <c r="M18" s="2">
        <f t="shared" si="0"/>
        <v>0</v>
      </c>
      <c r="N18" s="2">
        <f>Tabla134[[#This Row],[Total Has]]-Tabla134[[#This Row],[Has Productivas]]-Tabla134[[#This Row],[Has Formación]]</f>
        <v>0.10000000000000142</v>
      </c>
      <c r="O18" s="3">
        <v>26631</v>
      </c>
      <c r="P18" s="3">
        <v>26446</v>
      </c>
      <c r="Q18" s="3">
        <v>6</v>
      </c>
      <c r="R18" s="3">
        <f>Tabla134[[#This Row],[Total Espacios]]-Tabla134[[#This Row],[Pltas. Prod.]]-Tabla134[[#This Row],[Pltas Formación]]</f>
        <v>179</v>
      </c>
      <c r="S18" s="95">
        <v>1.6</v>
      </c>
      <c r="T18" s="95">
        <v>3.5</v>
      </c>
      <c r="U18" s="2" t="s">
        <v>7</v>
      </c>
      <c r="V18" s="99">
        <v>44015</v>
      </c>
      <c r="W18" s="1">
        <f ca="1">IF(INT((TODAY()-Tabla134[[#This Row],[Fecha plantación]])/365)&gt;30,"",INT((TODAY()-Tabla134[[#This Row],[Fecha plantación]])/365))</f>
        <v>6</v>
      </c>
      <c r="X18" s="1" t="s">
        <v>12</v>
      </c>
      <c r="Y18" s="99">
        <v>35580</v>
      </c>
      <c r="Z18" s="1">
        <f ca="1">INT(YEARFRAC(Tabla134[[#This Row],[Fecha nacimiento]],TODAY()))</f>
        <v>29</v>
      </c>
      <c r="AA18" s="239" t="str">
        <f>IFERROR(VLOOKUP(Tabla134[[#This Row],[Supervisor de lote]],'DATABASE DATOS SUP'!$B$2:$D$59,3,FALSE),"-")</f>
        <v>solicitar</v>
      </c>
      <c r="AB18" s="239" t="str">
        <f>IFERROR(VLOOKUP(Tabla134[[#This Row],[Supervisor de lote]],'DATABASE DATOS SUP'!$B$2:$E$59,4,FALSE),"-")</f>
        <v>solicitar</v>
      </c>
      <c r="AC18" s="240">
        <f>IFERROR(VLOOKUP(Tabla134[[#This Row],[Supervisor de lote]],Tabla1[],7,FALSE),"")</f>
        <v>0</v>
      </c>
      <c r="AD18" s="239" t="str">
        <f>IFERROR(VLOOKUP(Tabla134[[#This Row],[Supervisor de lote]],'DATABASE DATOS SUP'!$B$2:$F$59,5,FALSE),"-")</f>
        <v>solicitar</v>
      </c>
      <c r="AE18" s="1" t="s">
        <v>291</v>
      </c>
      <c r="AF18" s="102" t="s">
        <v>404</v>
      </c>
      <c r="AG18" s="75" t="s">
        <v>9</v>
      </c>
      <c r="AH18" s="233" t="s">
        <v>468</v>
      </c>
      <c r="AI18" s="233" t="s">
        <v>483</v>
      </c>
      <c r="AJ18" s="233" t="s">
        <v>486</v>
      </c>
    </row>
    <row r="19" spans="1:36" x14ac:dyDescent="0.3">
      <c r="A19" s="186" t="s">
        <v>108</v>
      </c>
      <c r="B19" s="1" t="s">
        <v>51</v>
      </c>
      <c r="C19" s="186" t="s">
        <v>248</v>
      </c>
      <c r="D19" s="186" t="str">
        <f>VLOOKUP(Tabla134[[#This Row],[VAR]],FUNDOS!$B$2:$C$18,2,FALSE)</f>
        <v>T5</v>
      </c>
      <c r="E19" s="1" t="s">
        <v>49</v>
      </c>
      <c r="F19" s="1" t="str">
        <f>Tabla134[[#This Row],[VAR]]&amp;Tabla134[[#This Row],[LOTE]]</f>
        <v>ALB03</v>
      </c>
      <c r="G19" s="186" t="s">
        <v>377</v>
      </c>
      <c r="H19" s="1" t="s">
        <v>349</v>
      </c>
      <c r="I19" s="1">
        <v>2024</v>
      </c>
      <c r="J19" s="4">
        <v>1780</v>
      </c>
      <c r="K19" s="2">
        <f t="shared" si="0"/>
        <v>7.05</v>
      </c>
      <c r="L19" s="2">
        <f t="shared" si="0"/>
        <v>6.21</v>
      </c>
      <c r="M19" s="2">
        <f t="shared" si="0"/>
        <v>0.27</v>
      </c>
      <c r="N19" s="2">
        <f>Tabla134[[#This Row],[Total Has]]-Tabla134[[#This Row],[Has Productivas]]-Tabla134[[#This Row],[Has Formación]]</f>
        <v>0.56999999999999984</v>
      </c>
      <c r="O19" s="3">
        <v>12544</v>
      </c>
      <c r="P19" s="3">
        <v>11056</v>
      </c>
      <c r="Q19" s="3">
        <v>486</v>
      </c>
      <c r="R19" s="3">
        <f>Tabla134[[#This Row],[Total Espacios]]-Tabla134[[#This Row],[Pltas. Prod.]]-Tabla134[[#This Row],[Pltas Formación]]</f>
        <v>1002</v>
      </c>
      <c r="S19" s="95">
        <v>1.6</v>
      </c>
      <c r="T19" s="95">
        <v>3.5</v>
      </c>
      <c r="U19" s="2" t="s">
        <v>7</v>
      </c>
      <c r="V19" s="99">
        <v>43332</v>
      </c>
      <c r="W19" s="1">
        <f ca="1">IF(INT((TODAY()-Tabla134[[#This Row],[Fecha plantación]])/365)&gt;30,"",INT((TODAY()-Tabla134[[#This Row],[Fecha plantación]])/365))</f>
        <v>7</v>
      </c>
      <c r="X19" s="1" t="s">
        <v>12</v>
      </c>
      <c r="Y19" s="99">
        <v>31656</v>
      </c>
      <c r="Z19" s="1">
        <f ca="1">INT(YEARFRAC(Tabla134[[#This Row],[Fecha nacimiento]],TODAY()))</f>
        <v>39</v>
      </c>
      <c r="AA19" s="239">
        <f>IFERROR(VLOOKUP(Tabla134[[#This Row],[Supervisor de lote]],'DATABASE DATOS SUP'!$B$2:$D$59,3,FALSE),"-")</f>
        <v>957800460</v>
      </c>
      <c r="AB19" s="239" t="str">
        <f>IFERROR(VLOOKUP(Tabla134[[#This Row],[Supervisor de lote]],'DATABASE DATOS SUP'!$B$2:$E$59,4,FALSE),"-")</f>
        <v xml:space="preserve">San Vicente </v>
      </c>
      <c r="AC19" s="240">
        <f>IFERROR(VLOOKUP(Tabla134[[#This Row],[Supervisor de lote]],Tabla1[],7,FALSE),"")</f>
        <v>0</v>
      </c>
      <c r="AD19" s="239" t="str">
        <f>IFERROR(VLOOKUP(Tabla134[[#This Row],[Supervisor de lote]],'DATABASE DATOS SUP'!$B$2:$F$59,5,FALSE),"-")</f>
        <v>Educación secundaria</v>
      </c>
      <c r="AE19" s="1"/>
      <c r="AF19" s="102" t="s">
        <v>325</v>
      </c>
      <c r="AG19" s="75" t="s">
        <v>9</v>
      </c>
      <c r="AH19" s="233" t="s">
        <v>467</v>
      </c>
      <c r="AI19" s="233" t="s">
        <v>484</v>
      </c>
      <c r="AJ19" s="233" t="s">
        <v>487</v>
      </c>
    </row>
    <row r="20" spans="1:36" x14ac:dyDescent="0.3">
      <c r="A20" s="186" t="s">
        <v>167</v>
      </c>
      <c r="B20" s="1" t="s">
        <v>71</v>
      </c>
      <c r="C20" s="186" t="s">
        <v>244</v>
      </c>
      <c r="D20" s="186" t="str">
        <f>VLOOKUP(Tabla134[[#This Row],[VAR]],FUNDOS!$B$2:$C$18,2,FALSE)</f>
        <v>T8</v>
      </c>
      <c r="E20" s="1" t="s">
        <v>49</v>
      </c>
      <c r="F20" s="1" t="str">
        <f>Tabla134[[#This Row],[VAR]]&amp;Tabla134[[#This Row],[LOTE]]</f>
        <v>JSA01</v>
      </c>
      <c r="G20" s="186" t="s">
        <v>377</v>
      </c>
      <c r="H20" s="1" t="s">
        <v>351</v>
      </c>
      <c r="I20" s="1">
        <v>2024</v>
      </c>
      <c r="J20" s="4">
        <v>1780.2</v>
      </c>
      <c r="K20" s="2">
        <f t="shared" si="0"/>
        <v>15</v>
      </c>
      <c r="L20" s="2">
        <f t="shared" si="0"/>
        <v>10.68</v>
      </c>
      <c r="M20" s="2">
        <f t="shared" si="0"/>
        <v>3.47</v>
      </c>
      <c r="N20" s="2">
        <f>Tabla134[[#This Row],[Total Has]]-Tabla134[[#This Row],[Has Productivas]]-Tabla134[[#This Row],[Has Formación]]</f>
        <v>0.85000000000000009</v>
      </c>
      <c r="O20" s="3">
        <v>26703</v>
      </c>
      <c r="P20" s="3">
        <v>19018</v>
      </c>
      <c r="Q20" s="3">
        <v>6183</v>
      </c>
      <c r="R20" s="3">
        <f>Tabla134[[#This Row],[Total Espacios]]-Tabla134[[#This Row],[Pltas. Prod.]]-Tabla134[[#This Row],[Pltas Formación]]</f>
        <v>1502</v>
      </c>
      <c r="S20" s="95">
        <v>1.6</v>
      </c>
      <c r="T20" s="95">
        <v>3.5</v>
      </c>
      <c r="U20" s="2" t="s">
        <v>7</v>
      </c>
      <c r="V20" s="99">
        <v>44036</v>
      </c>
      <c r="W20" s="1">
        <f ca="1">IF(INT((TODAY()-Tabla134[[#This Row],[Fecha plantación]])/365)&gt;30,"",INT((TODAY()-Tabla134[[#This Row],[Fecha plantación]])/365))</f>
        <v>6</v>
      </c>
      <c r="X20" s="1" t="s">
        <v>12</v>
      </c>
      <c r="Y20" s="99">
        <v>35485</v>
      </c>
      <c r="Z20" s="1">
        <f ca="1">INT(YEARFRAC(Tabla134[[#This Row],[Fecha nacimiento]],TODAY()))</f>
        <v>29</v>
      </c>
      <c r="AA20" s="239" t="str">
        <f>IFERROR(VLOOKUP(Tabla134[[#This Row],[Supervisor de lote]],'DATABASE DATOS SUP'!$B$2:$D$59,3,FALSE),"-")</f>
        <v>solicitar</v>
      </c>
      <c r="AB20" s="239" t="str">
        <f>IFERROR(VLOOKUP(Tabla134[[#This Row],[Supervisor de lote]],'DATABASE DATOS SUP'!$B$2:$E$59,4,FALSE),"-")</f>
        <v>solicitar</v>
      </c>
      <c r="AC20" s="240">
        <f>IFERROR(VLOOKUP(Tabla134[[#This Row],[Supervisor de lote]],Tabla1[],7,FALSE),"")</f>
        <v>0</v>
      </c>
      <c r="AD20" s="239" t="str">
        <f>IFERROR(VLOOKUP(Tabla134[[#This Row],[Supervisor de lote]],'DATABASE DATOS SUP'!$B$2:$F$59,5,FALSE),"-")</f>
        <v>solicitar</v>
      </c>
      <c r="AE20" s="1"/>
      <c r="AF20" s="102" t="s">
        <v>405</v>
      </c>
      <c r="AG20" s="75" t="s">
        <v>9</v>
      </c>
      <c r="AH20" s="233" t="s">
        <v>467</v>
      </c>
      <c r="AI20" s="233" t="s">
        <v>484</v>
      </c>
      <c r="AJ20" s="233" t="s">
        <v>487</v>
      </c>
    </row>
    <row r="21" spans="1:36" x14ac:dyDescent="0.3">
      <c r="A21" s="186" t="s">
        <v>167</v>
      </c>
      <c r="B21" s="1" t="s">
        <v>72</v>
      </c>
      <c r="C21" s="186" t="s">
        <v>244</v>
      </c>
      <c r="D21" s="186" t="str">
        <f>VLOOKUP(Tabla134[[#This Row],[VAR]],FUNDOS!$B$2:$C$18,2,FALSE)</f>
        <v>T8</v>
      </c>
      <c r="E21" s="1" t="s">
        <v>49</v>
      </c>
      <c r="F21" s="1" t="str">
        <f>Tabla134[[#This Row],[VAR]]&amp;Tabla134[[#This Row],[LOTE]]</f>
        <v>JSA02</v>
      </c>
      <c r="G21" s="186" t="s">
        <v>377</v>
      </c>
      <c r="H21" s="1" t="s">
        <v>351</v>
      </c>
      <c r="I21" s="1">
        <v>2024</v>
      </c>
      <c r="J21" s="4">
        <v>1780.2</v>
      </c>
      <c r="K21" s="2">
        <f t="shared" si="0"/>
        <v>14.99</v>
      </c>
      <c r="L21" s="2">
        <f t="shared" si="0"/>
        <v>12.47</v>
      </c>
      <c r="M21" s="2">
        <f t="shared" si="0"/>
        <v>1.95</v>
      </c>
      <c r="N21" s="2">
        <f>Tabla134[[#This Row],[Total Has]]-Tabla134[[#This Row],[Has Productivas]]-Tabla134[[#This Row],[Has Formación]]</f>
        <v>0.56999999999999962</v>
      </c>
      <c r="O21" s="3">
        <v>26688</v>
      </c>
      <c r="P21" s="3">
        <v>22204</v>
      </c>
      <c r="Q21" s="3">
        <v>3474</v>
      </c>
      <c r="R21" s="3">
        <f>Tabla134[[#This Row],[Total Espacios]]-Tabla134[[#This Row],[Pltas. Prod.]]-Tabla134[[#This Row],[Pltas Formación]]</f>
        <v>1010</v>
      </c>
      <c r="S21" s="95">
        <v>1.6</v>
      </c>
      <c r="T21" s="95">
        <v>3.5</v>
      </c>
      <c r="U21" s="2" t="s">
        <v>7</v>
      </c>
      <c r="V21" s="99">
        <v>44039</v>
      </c>
      <c r="W21" s="1">
        <f ca="1">IF(INT((TODAY()-Tabla134[[#This Row],[Fecha plantación]])/365)&gt;30,"",INT((TODAY()-Tabla134[[#This Row],[Fecha plantación]])/365))</f>
        <v>6</v>
      </c>
      <c r="X21" s="1" t="s">
        <v>12</v>
      </c>
      <c r="Y21" s="99">
        <v>35485</v>
      </c>
      <c r="Z21" s="1">
        <f ca="1">INT(YEARFRAC(Tabla134[[#This Row],[Fecha nacimiento]],TODAY()))</f>
        <v>29</v>
      </c>
      <c r="AA21" s="239">
        <f>IFERROR(VLOOKUP(Tabla134[[#This Row],[Supervisor de lote]],'DATABASE DATOS SUP'!$B$2:$D$59,3,FALSE),"-")</f>
        <v>927501356</v>
      </c>
      <c r="AB21" s="239" t="str">
        <f>IFERROR(VLOOKUP(Tabla134[[#This Row],[Supervisor de lote]],'DATABASE DATOS SUP'!$B$2:$E$59,4,FALSE),"-")</f>
        <v>Caserio San Pablo catacaos</v>
      </c>
      <c r="AC21" s="240" t="str">
        <f>IFERROR(VLOOKUP(Tabla134[[#This Row],[Supervisor de lote]],Tabla1[],7,FALSE),"")</f>
        <v>Catacaos</v>
      </c>
      <c r="AD21" s="239" t="str">
        <f>IFERROR(VLOOKUP(Tabla134[[#This Row],[Supervisor de lote]],'DATABASE DATOS SUP'!$B$2:$F$59,5,FALSE),"-")</f>
        <v>Educación secundaria</v>
      </c>
      <c r="AE21" s="1"/>
      <c r="AF21" s="102" t="s">
        <v>422</v>
      </c>
      <c r="AG21" s="75" t="s">
        <v>9</v>
      </c>
      <c r="AH21" s="233" t="s">
        <v>467</v>
      </c>
      <c r="AI21" s="233" t="s">
        <v>484</v>
      </c>
      <c r="AJ21" s="233" t="s">
        <v>487</v>
      </c>
    </row>
    <row r="22" spans="1:36" x14ac:dyDescent="0.3">
      <c r="A22" s="186" t="s">
        <v>167</v>
      </c>
      <c r="B22" s="1" t="s">
        <v>73</v>
      </c>
      <c r="C22" s="186" t="s">
        <v>244</v>
      </c>
      <c r="D22" s="186" t="str">
        <f>VLOOKUP(Tabla134[[#This Row],[VAR]],FUNDOS!$B$2:$C$18,2,FALSE)</f>
        <v>T8</v>
      </c>
      <c r="E22" s="1" t="s">
        <v>49</v>
      </c>
      <c r="F22" s="1" t="str">
        <f>Tabla134[[#This Row],[VAR]]&amp;Tabla134[[#This Row],[LOTE]]</f>
        <v>JSA03</v>
      </c>
      <c r="G22" s="186" t="s">
        <v>377</v>
      </c>
      <c r="H22" s="1" t="s">
        <v>351</v>
      </c>
      <c r="I22" s="1">
        <v>2024</v>
      </c>
      <c r="J22" s="4">
        <v>1779.3333333333333</v>
      </c>
      <c r="K22" s="2">
        <f t="shared" si="0"/>
        <v>15</v>
      </c>
      <c r="L22" s="2">
        <f t="shared" si="0"/>
        <v>14.01</v>
      </c>
      <c r="M22" s="2">
        <f t="shared" si="0"/>
        <v>0.45</v>
      </c>
      <c r="N22" s="2">
        <f>Tabla134[[#This Row],[Total Has]]-Tabla134[[#This Row],[Has Productivas]]-Tabla134[[#This Row],[Has Formación]]</f>
        <v>0.54000000000000026</v>
      </c>
      <c r="O22" s="3">
        <v>26690</v>
      </c>
      <c r="P22" s="3">
        <v>24935</v>
      </c>
      <c r="Q22" s="3">
        <v>795</v>
      </c>
      <c r="R22" s="3">
        <f>Tabla134[[#This Row],[Total Espacios]]-Tabla134[[#This Row],[Pltas. Prod.]]-Tabla134[[#This Row],[Pltas Formación]]</f>
        <v>960</v>
      </c>
      <c r="S22" s="95">
        <v>1.6</v>
      </c>
      <c r="T22" s="95">
        <v>3.5</v>
      </c>
      <c r="U22" s="2" t="s">
        <v>7</v>
      </c>
      <c r="V22" s="99">
        <v>44105</v>
      </c>
      <c r="W22" s="1">
        <f ca="1">IF(INT((TODAY()-Tabla134[[#This Row],[Fecha plantación]])/365)&gt;30,"",INT((TODAY()-Tabla134[[#This Row],[Fecha plantación]])/365))</f>
        <v>5</v>
      </c>
      <c r="X22" s="1" t="s">
        <v>12</v>
      </c>
      <c r="Y22" s="99">
        <v>28288</v>
      </c>
      <c r="Z22" s="1">
        <f ca="1">INT(YEARFRAC(Tabla134[[#This Row],[Fecha nacimiento]],TODAY()))</f>
        <v>49</v>
      </c>
      <c r="AA22" s="239" t="str">
        <f>IFERROR(VLOOKUP(Tabla134[[#This Row],[Supervisor de lote]],'DATABASE DATOS SUP'!$B$2:$D$59,3,FALSE),"-")</f>
        <v>solicitar</v>
      </c>
      <c r="AB22" s="239" t="str">
        <f>IFERROR(VLOOKUP(Tabla134[[#This Row],[Supervisor de lote]],'DATABASE DATOS SUP'!$B$2:$E$59,4,FALSE),"-")</f>
        <v>solicitar</v>
      </c>
      <c r="AC22" s="240">
        <f>IFERROR(VLOOKUP(Tabla134[[#This Row],[Supervisor de lote]],Tabla1[],7,FALSE),"")</f>
        <v>0</v>
      </c>
      <c r="AD22" s="239" t="str">
        <f>IFERROR(VLOOKUP(Tabla134[[#This Row],[Supervisor de lote]],'DATABASE DATOS SUP'!$B$2:$F$59,5,FALSE),"-")</f>
        <v>solicitar</v>
      </c>
      <c r="AE22" s="1"/>
      <c r="AF22" s="102" t="s">
        <v>406</v>
      </c>
      <c r="AG22" s="75" t="s">
        <v>9</v>
      </c>
      <c r="AH22" s="233" t="s">
        <v>467</v>
      </c>
      <c r="AI22" s="233" t="s">
        <v>484</v>
      </c>
      <c r="AJ22" s="233" t="s">
        <v>487</v>
      </c>
    </row>
    <row r="23" spans="1:36" x14ac:dyDescent="0.3">
      <c r="A23" s="186" t="s">
        <v>112</v>
      </c>
      <c r="B23" s="1" t="s">
        <v>81</v>
      </c>
      <c r="C23" s="186" t="s">
        <v>247</v>
      </c>
      <c r="D23" s="186" t="str">
        <f>VLOOKUP(Tabla134[[#This Row],[VAR]],FUNDOS!$B$2:$C$18,2,FALSE)</f>
        <v>TS</v>
      </c>
      <c r="E23" s="1" t="s">
        <v>49</v>
      </c>
      <c r="F23" s="1" t="str">
        <f>Tabla134[[#This Row],[VAR]]&amp;Tabla134[[#This Row],[LOTE]]</f>
        <v>SCB01</v>
      </c>
      <c r="G23" s="186" t="s">
        <v>377</v>
      </c>
      <c r="H23" s="1" t="s">
        <v>351</v>
      </c>
      <c r="I23" s="1">
        <v>2024</v>
      </c>
      <c r="J23" s="4">
        <v>1780</v>
      </c>
      <c r="K23" s="2">
        <f t="shared" si="0"/>
        <v>14.77</v>
      </c>
      <c r="L23" s="2">
        <f t="shared" si="0"/>
        <v>14.65</v>
      </c>
      <c r="M23" s="2">
        <f t="shared" si="0"/>
        <v>0.08</v>
      </c>
      <c r="N23" s="2">
        <f>Tabla134[[#This Row],[Total Has]]-Tabla134[[#This Row],[Has Productivas]]-Tabla134[[#This Row],[Has Formación]]</f>
        <v>3.9999999999999217E-2</v>
      </c>
      <c r="O23" s="3">
        <v>26289</v>
      </c>
      <c r="P23" s="3">
        <v>26076</v>
      </c>
      <c r="Q23" s="3">
        <v>149</v>
      </c>
      <c r="R23" s="3">
        <f>Tabla134[[#This Row],[Total Espacios]]-Tabla134[[#This Row],[Pltas. Prod.]]-Tabla134[[#This Row],[Pltas Formación]]</f>
        <v>64</v>
      </c>
      <c r="S23" s="95">
        <v>1.6</v>
      </c>
      <c r="T23" s="95">
        <v>3.5</v>
      </c>
      <c r="U23" s="2" t="s">
        <v>7</v>
      </c>
      <c r="V23" s="99">
        <v>44041</v>
      </c>
      <c r="W23" s="1">
        <f ca="1">IF(INT((TODAY()-Tabla134[[#This Row],[Fecha plantación]])/365)&gt;30,"",INT((TODAY()-Tabla134[[#This Row],[Fecha plantación]])/365))</f>
        <v>6</v>
      </c>
      <c r="X23" s="1" t="s">
        <v>12</v>
      </c>
      <c r="Y23" s="99">
        <v>27983</v>
      </c>
      <c r="Z23" s="1">
        <f ca="1">INT(YEARFRAC(Tabla134[[#This Row],[Fecha nacimiento]],TODAY()))</f>
        <v>49</v>
      </c>
      <c r="AA23" s="239">
        <f>IFERROR(VLOOKUP(Tabla134[[#This Row],[Supervisor de lote]],'DATABASE DATOS SUP'!$B$2:$D$59,3,FALSE),"-")</f>
        <v>960488740</v>
      </c>
      <c r="AB23" s="239" t="str">
        <f>IFERROR(VLOOKUP(Tabla134[[#This Row],[Supervisor de lote]],'DATABASE DATOS SUP'!$B$2:$E$59,4,FALSE),"-")</f>
        <v xml:space="preserve">La Obrilla </v>
      </c>
      <c r="AC23" s="240" t="str">
        <f>IFERROR(VLOOKUP(Tabla134[[#This Row],[Supervisor de lote]],Tabla1[],7,FALSE),"")</f>
        <v>Castilla</v>
      </c>
      <c r="AD23" s="239" t="str">
        <f>IFERROR(VLOOKUP(Tabla134[[#This Row],[Supervisor de lote]],'DATABASE DATOS SUP'!$B$2:$F$59,5,FALSE),"-")</f>
        <v>Educación secundaria</v>
      </c>
      <c r="AE23" s="1"/>
      <c r="AF23" s="102" t="s">
        <v>176</v>
      </c>
      <c r="AG23" s="75" t="s">
        <v>9</v>
      </c>
      <c r="AH23" s="233" t="s">
        <v>467</v>
      </c>
      <c r="AI23" s="233" t="s">
        <v>484</v>
      </c>
      <c r="AJ23" s="233" t="s">
        <v>487</v>
      </c>
    </row>
    <row r="24" spans="1:36" x14ac:dyDescent="0.3">
      <c r="A24" s="186" t="s">
        <v>112</v>
      </c>
      <c r="B24" s="1" t="s">
        <v>82</v>
      </c>
      <c r="C24" s="186" t="s">
        <v>247</v>
      </c>
      <c r="D24" s="186" t="str">
        <f>VLOOKUP(Tabla134[[#This Row],[VAR]],FUNDOS!$B$2:$C$18,2,FALSE)</f>
        <v>TS</v>
      </c>
      <c r="E24" s="1" t="s">
        <v>49</v>
      </c>
      <c r="F24" s="1" t="str">
        <f>Tabla134[[#This Row],[VAR]]&amp;Tabla134[[#This Row],[LOTE]]</f>
        <v>SCB02</v>
      </c>
      <c r="G24" s="186" t="s">
        <v>377</v>
      </c>
      <c r="H24" s="1" t="s">
        <v>351</v>
      </c>
      <c r="I24" s="1">
        <v>2024</v>
      </c>
      <c r="J24" s="4">
        <v>1780</v>
      </c>
      <c r="K24" s="2">
        <f t="shared" si="0"/>
        <v>14.75</v>
      </c>
      <c r="L24" s="2">
        <f t="shared" si="0"/>
        <v>12.6</v>
      </c>
      <c r="M24" s="2">
        <f t="shared" si="0"/>
        <v>0.18</v>
      </c>
      <c r="N24" s="2">
        <f>Tabla134[[#This Row],[Total Has]]-Tabla134[[#This Row],[Has Productivas]]-Tabla134[[#This Row],[Has Formación]]</f>
        <v>1.9700000000000004</v>
      </c>
      <c r="O24" s="3">
        <v>26253</v>
      </c>
      <c r="P24" s="3">
        <v>22431</v>
      </c>
      <c r="Q24" s="3">
        <v>316</v>
      </c>
      <c r="R24" s="3">
        <f>Tabla134[[#This Row],[Total Espacios]]-Tabla134[[#This Row],[Pltas. Prod.]]-Tabla134[[#This Row],[Pltas Formación]]</f>
        <v>3506</v>
      </c>
      <c r="S24" s="95">
        <v>1.6</v>
      </c>
      <c r="T24" s="95">
        <v>3.5</v>
      </c>
      <c r="U24" s="2" t="s">
        <v>7</v>
      </c>
      <c r="V24" s="99">
        <v>44044</v>
      </c>
      <c r="W24" s="1">
        <f ca="1">IF(INT((TODAY()-Tabla134[[#This Row],[Fecha plantación]])/365)&gt;30,"",INT((TODAY()-Tabla134[[#This Row],[Fecha plantación]])/365))</f>
        <v>6</v>
      </c>
      <c r="X24" s="1" t="s">
        <v>12</v>
      </c>
      <c r="Y24" s="99">
        <v>27983</v>
      </c>
      <c r="Z24" s="1">
        <f ca="1">INT(YEARFRAC(Tabla134[[#This Row],[Fecha nacimiento]],TODAY()))</f>
        <v>49</v>
      </c>
      <c r="AA24" s="239" t="str">
        <f>IFERROR(VLOOKUP(Tabla134[[#This Row],[Supervisor de lote]],'DATABASE DATOS SUP'!$B$2:$D$59,3,FALSE),"-")</f>
        <v>solicitar</v>
      </c>
      <c r="AB24" s="239" t="str">
        <f>IFERROR(VLOOKUP(Tabla134[[#This Row],[Supervisor de lote]],'DATABASE DATOS SUP'!$B$2:$E$59,4,FALSE),"-")</f>
        <v>solicitar</v>
      </c>
      <c r="AC24" s="240">
        <f>IFERROR(VLOOKUP(Tabla134[[#This Row],[Supervisor de lote]],Tabla1[],7,FALSE),"")</f>
        <v>0</v>
      </c>
      <c r="AD24" s="239" t="str">
        <f>IFERROR(VLOOKUP(Tabla134[[#This Row],[Supervisor de lote]],'DATABASE DATOS SUP'!$B$2:$F$59,5,FALSE),"-")</f>
        <v>solicitar</v>
      </c>
      <c r="AE24" s="1"/>
      <c r="AF24" s="102" t="s">
        <v>407</v>
      </c>
      <c r="AG24" s="75" t="s">
        <v>9</v>
      </c>
      <c r="AH24" s="233" t="s">
        <v>467</v>
      </c>
      <c r="AI24" s="233" t="s">
        <v>484</v>
      </c>
      <c r="AJ24" s="233" t="s">
        <v>487</v>
      </c>
    </row>
    <row r="25" spans="1:36" x14ac:dyDescent="0.3">
      <c r="A25" s="186" t="s">
        <v>112</v>
      </c>
      <c r="B25" s="1" t="s">
        <v>51</v>
      </c>
      <c r="C25" s="186" t="s">
        <v>247</v>
      </c>
      <c r="D25" s="186" t="str">
        <f>VLOOKUP(Tabla134[[#This Row],[VAR]],FUNDOS!$B$2:$C$18,2,FALSE)</f>
        <v>TS</v>
      </c>
      <c r="E25" s="1" t="s">
        <v>49</v>
      </c>
      <c r="F25" s="1" t="str">
        <f>Tabla134[[#This Row],[VAR]]&amp;Tabla134[[#This Row],[LOTE]]</f>
        <v>SCB03</v>
      </c>
      <c r="G25" s="186" t="s">
        <v>377</v>
      </c>
      <c r="H25" s="1" t="s">
        <v>351</v>
      </c>
      <c r="I25" s="1">
        <v>2024</v>
      </c>
      <c r="J25" s="4">
        <v>1780</v>
      </c>
      <c r="K25" s="2">
        <f t="shared" si="0"/>
        <v>6.91</v>
      </c>
      <c r="L25" s="2">
        <f t="shared" si="0"/>
        <v>6.21</v>
      </c>
      <c r="M25" s="2">
        <f t="shared" si="0"/>
        <v>0.18</v>
      </c>
      <c r="N25" s="2">
        <f>Tabla134[[#This Row],[Total Has]]-Tabla134[[#This Row],[Has Productivas]]-Tabla134[[#This Row],[Has Formación]]</f>
        <v>0.52000000000000024</v>
      </c>
      <c r="O25" s="3">
        <v>12306</v>
      </c>
      <c r="P25" s="3">
        <v>11058</v>
      </c>
      <c r="Q25" s="3">
        <v>318</v>
      </c>
      <c r="R25" s="3">
        <f>Tabla134[[#This Row],[Total Espacios]]-Tabla134[[#This Row],[Pltas. Prod.]]-Tabla134[[#This Row],[Pltas Formación]]</f>
        <v>930</v>
      </c>
      <c r="S25" s="95">
        <v>1.6</v>
      </c>
      <c r="T25" s="95">
        <v>3.5</v>
      </c>
      <c r="U25" s="2" t="s">
        <v>7</v>
      </c>
      <c r="V25" s="99">
        <v>44410</v>
      </c>
      <c r="W25" s="1">
        <f ca="1">IF(INT((TODAY()-Tabla134[[#This Row],[Fecha plantación]])/365)&gt;30,"",INT((TODAY()-Tabla134[[#This Row],[Fecha plantación]])/365))</f>
        <v>5</v>
      </c>
      <c r="X25" s="1" t="s">
        <v>12</v>
      </c>
      <c r="Y25" s="99">
        <v>31656</v>
      </c>
      <c r="Z25" s="1">
        <f ca="1">INT(YEARFRAC(Tabla134[[#This Row],[Fecha nacimiento]],TODAY()))</f>
        <v>39</v>
      </c>
      <c r="AA25" s="239">
        <f>IFERROR(VLOOKUP(Tabla134[[#This Row],[Supervisor de lote]],'DATABASE DATOS SUP'!$B$2:$D$59,3,FALSE),"-")</f>
        <v>957800460</v>
      </c>
      <c r="AB25" s="239" t="str">
        <f>IFERROR(VLOOKUP(Tabla134[[#This Row],[Supervisor de lote]],'DATABASE DATOS SUP'!$B$2:$E$59,4,FALSE),"-")</f>
        <v xml:space="preserve">San Vicente </v>
      </c>
      <c r="AC25" s="240">
        <f>IFERROR(VLOOKUP(Tabla134[[#This Row],[Supervisor de lote]],Tabla1[],7,FALSE),"")</f>
        <v>0</v>
      </c>
      <c r="AD25" s="239" t="str">
        <f>IFERROR(VLOOKUP(Tabla134[[#This Row],[Supervisor de lote]],'DATABASE DATOS SUP'!$B$2:$F$59,5,FALSE),"-")</f>
        <v>Educación secundaria</v>
      </c>
      <c r="AE25" s="1"/>
      <c r="AF25" s="102" t="s">
        <v>325</v>
      </c>
      <c r="AG25" s="75" t="s">
        <v>9</v>
      </c>
      <c r="AH25" s="233" t="s">
        <v>467</v>
      </c>
      <c r="AI25" s="233" t="s">
        <v>484</v>
      </c>
      <c r="AJ25" s="233" t="s">
        <v>487</v>
      </c>
    </row>
    <row r="26" spans="1:36" x14ac:dyDescent="0.3">
      <c r="A26" s="186" t="s">
        <v>108</v>
      </c>
      <c r="B26" s="1" t="s">
        <v>52</v>
      </c>
      <c r="C26" s="186" t="s">
        <v>248</v>
      </c>
      <c r="D26" s="186" t="str">
        <f>VLOOKUP(Tabla134[[#This Row],[VAR]],FUNDOS!$B$2:$C$18,2,FALSE)</f>
        <v>T5</v>
      </c>
      <c r="E26" s="1" t="s">
        <v>53</v>
      </c>
      <c r="F26" s="1" t="str">
        <f>Tabla134[[#This Row],[VAR]]&amp;Tabla134[[#This Row],[LOTE]]</f>
        <v>ALG01</v>
      </c>
      <c r="G26" s="186" t="s">
        <v>377</v>
      </c>
      <c r="H26" s="1" t="s">
        <v>349</v>
      </c>
      <c r="I26" s="1">
        <v>2024</v>
      </c>
      <c r="J26" s="4">
        <v>1905</v>
      </c>
      <c r="K26" s="2">
        <f t="shared" si="0"/>
        <v>2.29</v>
      </c>
      <c r="L26" s="2">
        <f t="shared" si="0"/>
        <v>2.2400000000000002</v>
      </c>
      <c r="M26" s="2">
        <f t="shared" si="0"/>
        <v>0.05</v>
      </c>
      <c r="N26" s="2">
        <f>Tabla134[[#This Row],[Total Has]]-Tabla134[[#This Row],[Has Productivas]]-Tabla134[[#This Row],[Has Formación]]</f>
        <v>-1.8041124150158794E-16</v>
      </c>
      <c r="O26" s="3">
        <v>4367</v>
      </c>
      <c r="P26" s="3">
        <v>4274</v>
      </c>
      <c r="Q26" s="3">
        <v>90</v>
      </c>
      <c r="R26" s="3">
        <f>Tabla134[[#This Row],[Total Espacios]]-Tabla134[[#This Row],[Pltas. Prod.]]-Tabla134[[#This Row],[Pltas Formación]]</f>
        <v>3</v>
      </c>
      <c r="S26" s="95">
        <v>0.75</v>
      </c>
      <c r="T26" s="95">
        <v>3</v>
      </c>
      <c r="U26" s="2" t="s">
        <v>7</v>
      </c>
      <c r="V26" s="99">
        <v>43332</v>
      </c>
      <c r="W26" s="1">
        <f ca="1">IF(INT((TODAY()-Tabla134[[#This Row],[Fecha plantación]])/365)&gt;30,"",INT((TODAY()-Tabla134[[#This Row],[Fecha plantación]])/365))</f>
        <v>7</v>
      </c>
      <c r="X26" s="1" t="s">
        <v>8</v>
      </c>
      <c r="Y26" s="99">
        <v>30592</v>
      </c>
      <c r="Z26" s="1">
        <f ca="1">INT(YEARFRAC(Tabla134[[#This Row],[Fecha nacimiento]],TODAY()))</f>
        <v>42</v>
      </c>
      <c r="AA26" s="239">
        <f>IFERROR(VLOOKUP(Tabla134[[#This Row],[Supervisor de lote]],'DATABASE DATOS SUP'!$B$2:$D$59,3,FALSE),"-")</f>
        <v>961627685</v>
      </c>
      <c r="AB26" s="239" t="str">
        <f>IFERROR(VLOOKUP(Tabla134[[#This Row],[Supervisor de lote]],'DATABASE DATOS SUP'!$B$2:$E$59,4,FALSE),"-")</f>
        <v>AAHH Nueva Esperanza Mz A 5 lote 17 calle mancora</v>
      </c>
      <c r="AC26" s="240" t="str">
        <f>IFERROR(VLOOKUP(Tabla134[[#This Row],[Supervisor de lote]],Tabla1[],7,FALSE),"")</f>
        <v>26 de octubre</v>
      </c>
      <c r="AD26" s="239" t="str">
        <f>IFERROR(VLOOKUP(Tabla134[[#This Row],[Supervisor de lote]],'DATABASE DATOS SUP'!$B$2:$F$59,5,FALSE),"-")</f>
        <v>Educación superior universitaria</v>
      </c>
      <c r="AE26" s="216" t="s">
        <v>313</v>
      </c>
      <c r="AF26" s="218" t="s">
        <v>311</v>
      </c>
      <c r="AG26" s="230" t="s">
        <v>27</v>
      </c>
      <c r="AH26" s="233" t="s">
        <v>469</v>
      </c>
      <c r="AI26" s="233" t="s">
        <v>482</v>
      </c>
      <c r="AJ26" s="233" t="s">
        <v>486</v>
      </c>
    </row>
    <row r="27" spans="1:36" x14ac:dyDescent="0.3">
      <c r="A27" s="186" t="s">
        <v>108</v>
      </c>
      <c r="B27" s="1" t="s">
        <v>54</v>
      </c>
      <c r="C27" s="186" t="s">
        <v>248</v>
      </c>
      <c r="D27" s="186" t="str">
        <f>VLOOKUP(Tabla134[[#This Row],[VAR]],FUNDOS!$B$2:$C$18,2,FALSE)</f>
        <v>T5</v>
      </c>
      <c r="E27" s="1" t="s">
        <v>53</v>
      </c>
      <c r="F27" s="1" t="str">
        <f>Tabla134[[#This Row],[VAR]]&amp;Tabla134[[#This Row],[LOTE]]</f>
        <v>ALG02</v>
      </c>
      <c r="G27" s="186" t="s">
        <v>377</v>
      </c>
      <c r="H27" s="1" t="s">
        <v>349</v>
      </c>
      <c r="I27" s="1">
        <v>2024</v>
      </c>
      <c r="J27" s="4">
        <v>1905</v>
      </c>
      <c r="K27" s="2">
        <f t="shared" si="0"/>
        <v>13.61</v>
      </c>
      <c r="L27" s="2">
        <f t="shared" si="0"/>
        <v>13.27</v>
      </c>
      <c r="M27" s="2">
        <f t="shared" si="0"/>
        <v>0.33</v>
      </c>
      <c r="N27" s="2">
        <f>Tabla134[[#This Row],[Total Has]]-Tabla134[[#This Row],[Has Productivas]]-Tabla134[[#This Row],[Has Formación]]</f>
        <v>9.9999999999998423E-3</v>
      </c>
      <c r="O27" s="3">
        <v>25923</v>
      </c>
      <c r="P27" s="3">
        <v>25286</v>
      </c>
      <c r="Q27" s="3">
        <v>633</v>
      </c>
      <c r="R27" s="3">
        <f>Tabla134[[#This Row],[Total Espacios]]-Tabla134[[#This Row],[Pltas. Prod.]]-Tabla134[[#This Row],[Pltas Formación]]</f>
        <v>4</v>
      </c>
      <c r="S27" s="95">
        <v>0.75</v>
      </c>
      <c r="T27" s="95">
        <v>3</v>
      </c>
      <c r="U27" s="2" t="s">
        <v>7</v>
      </c>
      <c r="V27" s="99">
        <v>42937</v>
      </c>
      <c r="W27" s="1">
        <f ca="1">IF(INT((TODAY()-Tabla134[[#This Row],[Fecha plantación]])/365)&gt;30,"",INT((TODAY()-Tabla134[[#This Row],[Fecha plantación]])/365))</f>
        <v>9</v>
      </c>
      <c r="X27" s="1" t="s">
        <v>8</v>
      </c>
      <c r="Y27" s="99">
        <v>30592</v>
      </c>
      <c r="Z27" s="1">
        <f ca="1">INT(YEARFRAC(Tabla134[[#This Row],[Fecha nacimiento]],TODAY()))</f>
        <v>42</v>
      </c>
      <c r="AA27" s="239">
        <f>IFERROR(VLOOKUP(Tabla134[[#This Row],[Supervisor de lote]],'DATABASE DATOS SUP'!$B$2:$D$59,3,FALSE),"-")</f>
        <v>961627685</v>
      </c>
      <c r="AB27" s="239" t="str">
        <f>IFERROR(VLOOKUP(Tabla134[[#This Row],[Supervisor de lote]],'DATABASE DATOS SUP'!$B$2:$E$59,4,FALSE),"-")</f>
        <v>AAHH Nueva Esperanza Mz A 5 lote 17 calle mancora</v>
      </c>
      <c r="AC27" s="240" t="str">
        <f>IFERROR(VLOOKUP(Tabla134[[#This Row],[Supervisor de lote]],Tabla1[],7,FALSE),"")</f>
        <v>26 de octubre</v>
      </c>
      <c r="AD27" s="239" t="str">
        <f>IFERROR(VLOOKUP(Tabla134[[#This Row],[Supervisor de lote]],'DATABASE DATOS SUP'!$B$2:$F$59,5,FALSE),"-")</f>
        <v>Educación superior universitaria</v>
      </c>
      <c r="AE27" s="216" t="s">
        <v>313</v>
      </c>
      <c r="AF27" s="218" t="s">
        <v>311</v>
      </c>
      <c r="AG27" s="230" t="s">
        <v>27</v>
      </c>
      <c r="AH27" s="233" t="s">
        <v>469</v>
      </c>
      <c r="AI27" s="233" t="s">
        <v>482</v>
      </c>
      <c r="AJ27" s="233" t="s">
        <v>486</v>
      </c>
    </row>
    <row r="28" spans="1:36" x14ac:dyDescent="0.3">
      <c r="A28" s="186" t="s">
        <v>108</v>
      </c>
      <c r="B28" s="1" t="s">
        <v>55</v>
      </c>
      <c r="C28" s="186" t="s">
        <v>248</v>
      </c>
      <c r="D28" s="186" t="str">
        <f>VLOOKUP(Tabla134[[#This Row],[VAR]],FUNDOS!$B$2:$C$18,2,FALSE)</f>
        <v>T5</v>
      </c>
      <c r="E28" s="1" t="s">
        <v>53</v>
      </c>
      <c r="F28" s="1" t="str">
        <f>Tabla134[[#This Row],[VAR]]&amp;Tabla134[[#This Row],[LOTE]]</f>
        <v>ALG03</v>
      </c>
      <c r="G28" s="186" t="s">
        <v>377</v>
      </c>
      <c r="H28" s="1" t="s">
        <v>349</v>
      </c>
      <c r="I28" s="1">
        <v>2024</v>
      </c>
      <c r="J28" s="4">
        <v>1905</v>
      </c>
      <c r="K28" s="2">
        <f t="shared" si="0"/>
        <v>9.73</v>
      </c>
      <c r="L28" s="2">
        <f t="shared" si="0"/>
        <v>8.2200000000000006</v>
      </c>
      <c r="M28" s="2">
        <f t="shared" si="0"/>
        <v>0.51</v>
      </c>
      <c r="N28" s="2">
        <f>Tabla134[[#This Row],[Total Has]]-Tabla134[[#This Row],[Has Productivas]]-Tabla134[[#This Row],[Has Formación]]</f>
        <v>0.99999999999999978</v>
      </c>
      <c r="O28" s="3">
        <v>18533</v>
      </c>
      <c r="P28" s="3">
        <v>15662</v>
      </c>
      <c r="Q28" s="3">
        <v>976</v>
      </c>
      <c r="R28" s="3">
        <f>Tabla134[[#This Row],[Total Espacios]]-Tabla134[[#This Row],[Pltas. Prod.]]-Tabla134[[#This Row],[Pltas Formación]]</f>
        <v>1895</v>
      </c>
      <c r="S28" s="95">
        <v>0.75</v>
      </c>
      <c r="T28" s="95">
        <v>3</v>
      </c>
      <c r="U28" s="2" t="s">
        <v>7</v>
      </c>
      <c r="V28" s="99">
        <v>42933</v>
      </c>
      <c r="W28" s="1">
        <f ca="1">IF(INT((TODAY()-Tabla134[[#This Row],[Fecha plantación]])/365)&gt;30,"",INT((TODAY()-Tabla134[[#This Row],[Fecha plantación]])/365))</f>
        <v>9</v>
      </c>
      <c r="X28" s="1" t="s">
        <v>8</v>
      </c>
      <c r="Y28" s="99">
        <v>34934</v>
      </c>
      <c r="Z28" s="1">
        <f ca="1">INT(YEARFRAC(Tabla134[[#This Row],[Fecha nacimiento]],TODAY()))</f>
        <v>30</v>
      </c>
      <c r="AA28" s="239">
        <f>IFERROR(VLOOKUP(Tabla134[[#This Row],[Supervisor de lote]],'DATABASE DATOS SUP'!$B$2:$D$59,3,FALSE),"-")</f>
        <v>939826510</v>
      </c>
      <c r="AB28" s="239" t="str">
        <f>IFERROR(VLOOKUP(Tabla134[[#This Row],[Supervisor de lote]],'DATABASE DATOS SUP'!$B$2:$E$59,4,FALSE),"-")</f>
        <v>Residencial monteverde Mz AD Lote 21</v>
      </c>
      <c r="AC28" s="240" t="str">
        <f>IFERROR(VLOOKUP(Tabla134[[#This Row],[Supervisor de lote]],Tabla1[],7,FALSE),"")</f>
        <v>Castilla</v>
      </c>
      <c r="AD28" s="239" t="str">
        <f>IFERROR(VLOOKUP(Tabla134[[#This Row],[Supervisor de lote]],'DATABASE DATOS SUP'!$B$2:$F$59,5,FALSE),"-")</f>
        <v>Educación superior universitaria</v>
      </c>
      <c r="AE28" s="216" t="s">
        <v>284</v>
      </c>
      <c r="AF28" s="218" t="s">
        <v>282</v>
      </c>
      <c r="AG28" s="230" t="s">
        <v>27</v>
      </c>
      <c r="AH28" s="233" t="s">
        <v>469</v>
      </c>
      <c r="AI28" s="233" t="s">
        <v>482</v>
      </c>
      <c r="AJ28" s="233" t="s">
        <v>486</v>
      </c>
    </row>
    <row r="29" spans="1:36" x14ac:dyDescent="0.3">
      <c r="A29" s="186" t="s">
        <v>108</v>
      </c>
      <c r="B29" s="1" t="s">
        <v>56</v>
      </c>
      <c r="C29" s="186" t="s">
        <v>248</v>
      </c>
      <c r="D29" s="186" t="str">
        <f>VLOOKUP(Tabla134[[#This Row],[VAR]],FUNDOS!$B$2:$C$18,2,FALSE)</f>
        <v>T5</v>
      </c>
      <c r="E29" s="1" t="s">
        <v>53</v>
      </c>
      <c r="F29" s="1" t="str">
        <f>Tabla134[[#This Row],[VAR]]&amp;Tabla134[[#This Row],[LOTE]]</f>
        <v>ALG04</v>
      </c>
      <c r="G29" s="186" t="s">
        <v>377</v>
      </c>
      <c r="H29" s="1" t="s">
        <v>349</v>
      </c>
      <c r="I29" s="1">
        <v>2024</v>
      </c>
      <c r="J29" s="4">
        <v>1905</v>
      </c>
      <c r="K29" s="2">
        <f t="shared" si="0"/>
        <v>13.81</v>
      </c>
      <c r="L29" s="2">
        <f t="shared" si="0"/>
        <v>12.94</v>
      </c>
      <c r="M29" s="2">
        <f t="shared" si="0"/>
        <v>0.31</v>
      </c>
      <c r="N29" s="2">
        <f>Tabla134[[#This Row],[Total Has]]-Tabla134[[#This Row],[Has Productivas]]-Tabla134[[#This Row],[Has Formación]]</f>
        <v>0.56000000000000094</v>
      </c>
      <c r="O29" s="3">
        <v>26303</v>
      </c>
      <c r="P29" s="3">
        <v>24657</v>
      </c>
      <c r="Q29" s="3">
        <v>589</v>
      </c>
      <c r="R29" s="3">
        <f>Tabla134[[#This Row],[Total Espacios]]-Tabla134[[#This Row],[Pltas. Prod.]]-Tabla134[[#This Row],[Pltas Formación]]</f>
        <v>1057</v>
      </c>
      <c r="S29" s="95">
        <v>0.75</v>
      </c>
      <c r="T29" s="95">
        <v>3</v>
      </c>
      <c r="U29" s="2" t="s">
        <v>7</v>
      </c>
      <c r="V29" s="99">
        <v>42671</v>
      </c>
      <c r="W29" s="1">
        <f ca="1">IF(INT((TODAY()-Tabla134[[#This Row],[Fecha plantación]])/365)&gt;30,"",INT((TODAY()-Tabla134[[#This Row],[Fecha plantación]])/365))</f>
        <v>9</v>
      </c>
      <c r="X29" s="1" t="s">
        <v>8</v>
      </c>
      <c r="Y29" s="99">
        <v>34934</v>
      </c>
      <c r="Z29" s="1">
        <f ca="1">INT(YEARFRAC(Tabla134[[#This Row],[Fecha nacimiento]],TODAY()))</f>
        <v>30</v>
      </c>
      <c r="AA29" s="239">
        <f>IFERROR(VLOOKUP(Tabla134[[#This Row],[Supervisor de lote]],'DATABASE DATOS SUP'!$B$2:$D$59,3,FALSE),"-")</f>
        <v>939826510</v>
      </c>
      <c r="AB29" s="239" t="str">
        <f>IFERROR(VLOOKUP(Tabla134[[#This Row],[Supervisor de lote]],'DATABASE DATOS SUP'!$B$2:$E$59,4,FALSE),"-")</f>
        <v>Residencial monteverde Mz AD Lote 21</v>
      </c>
      <c r="AC29" s="240" t="str">
        <f>IFERROR(VLOOKUP(Tabla134[[#This Row],[Supervisor de lote]],Tabla1[],7,FALSE),"")</f>
        <v>Castilla</v>
      </c>
      <c r="AD29" s="239" t="str">
        <f>IFERROR(VLOOKUP(Tabla134[[#This Row],[Supervisor de lote]],'DATABASE DATOS SUP'!$B$2:$F$59,5,FALSE),"-")</f>
        <v>Educación superior universitaria</v>
      </c>
      <c r="AE29" s="1" t="s">
        <v>284</v>
      </c>
      <c r="AF29" s="102" t="s">
        <v>282</v>
      </c>
      <c r="AG29" s="75" t="s">
        <v>27</v>
      </c>
      <c r="AH29" s="233" t="s">
        <v>469</v>
      </c>
      <c r="AI29" s="233" t="s">
        <v>482</v>
      </c>
      <c r="AJ29" s="233" t="s">
        <v>486</v>
      </c>
    </row>
    <row r="30" spans="1:36" x14ac:dyDescent="0.3">
      <c r="A30" s="186" t="s">
        <v>108</v>
      </c>
      <c r="B30" s="1" t="s">
        <v>57</v>
      </c>
      <c r="C30" s="186" t="s">
        <v>248</v>
      </c>
      <c r="D30" s="186" t="str">
        <f>VLOOKUP(Tabla134[[#This Row],[VAR]],FUNDOS!$B$2:$C$18,2,FALSE)</f>
        <v>T5</v>
      </c>
      <c r="E30" s="1" t="s">
        <v>53</v>
      </c>
      <c r="F30" s="1" t="str">
        <f>Tabla134[[#This Row],[VAR]]&amp;Tabla134[[#This Row],[LOTE]]</f>
        <v>ALG05</v>
      </c>
      <c r="G30" s="186" t="s">
        <v>377</v>
      </c>
      <c r="H30" s="1" t="s">
        <v>349</v>
      </c>
      <c r="I30" s="1">
        <v>2024</v>
      </c>
      <c r="J30" s="4">
        <v>1905</v>
      </c>
      <c r="K30" s="2">
        <f t="shared" si="0"/>
        <v>14.15</v>
      </c>
      <c r="L30" s="2">
        <f t="shared" si="0"/>
        <v>14.01</v>
      </c>
      <c r="M30" s="2">
        <f t="shared" si="0"/>
        <v>0.03</v>
      </c>
      <c r="N30" s="2">
        <f>Tabla134[[#This Row],[Total Has]]-Tabla134[[#This Row],[Has Productivas]]-Tabla134[[#This Row],[Has Formación]]</f>
        <v>0.11000000000000057</v>
      </c>
      <c r="O30" s="3">
        <v>26965</v>
      </c>
      <c r="P30" s="3">
        <v>26685</v>
      </c>
      <c r="Q30" s="3">
        <v>54</v>
      </c>
      <c r="R30" s="3">
        <f>Tabla134[[#This Row],[Total Espacios]]-Tabla134[[#This Row],[Pltas. Prod.]]-Tabla134[[#This Row],[Pltas Formación]]</f>
        <v>226</v>
      </c>
      <c r="S30" s="95">
        <v>0.75</v>
      </c>
      <c r="T30" s="95">
        <v>3</v>
      </c>
      <c r="U30" s="2" t="s">
        <v>7</v>
      </c>
      <c r="V30" s="99">
        <v>42668</v>
      </c>
      <c r="W30" s="1">
        <f ca="1">IF(INT((TODAY()-Tabla134[[#This Row],[Fecha plantación]])/365)&gt;30,"",INT((TODAY()-Tabla134[[#This Row],[Fecha plantación]])/365))</f>
        <v>9</v>
      </c>
      <c r="X30" s="1" t="s">
        <v>8</v>
      </c>
      <c r="Y30" s="99">
        <v>32011</v>
      </c>
      <c r="Z30" s="1">
        <f ca="1">INT(YEARFRAC(Tabla134[[#This Row],[Fecha nacimiento]],TODAY()))</f>
        <v>38</v>
      </c>
      <c r="AA30" s="239">
        <f>IFERROR(VLOOKUP(Tabla134[[#This Row],[Supervisor de lote]],'DATABASE DATOS SUP'!$B$2:$D$59,3,FALSE),"-")</f>
        <v>970624242</v>
      </c>
      <c r="AB30" s="239" t="str">
        <f>IFERROR(VLOOKUP(Tabla134[[#This Row],[Supervisor de lote]],'DATABASE DATOS SUP'!$B$2:$E$59,4,FALSE),"-")</f>
        <v xml:space="preserve">Caserío Río Seco medio Piura </v>
      </c>
      <c r="AC30" s="240" t="str">
        <f>IFERROR(VLOOKUP(Tabla134[[#This Row],[Supervisor de lote]],Tabla1[],7,FALSE),"")</f>
        <v>Rios Seco</v>
      </c>
      <c r="AD30" s="239" t="str">
        <f>IFERROR(VLOOKUP(Tabla134[[#This Row],[Supervisor de lote]],'DATABASE DATOS SUP'!$B$2:$F$59,5,FALSE),"-")</f>
        <v>Educación secundaria</v>
      </c>
      <c r="AE30" s="1"/>
      <c r="AF30" s="102" t="s">
        <v>273</v>
      </c>
      <c r="AG30" s="75" t="s">
        <v>27</v>
      </c>
      <c r="AH30" s="233" t="s">
        <v>469</v>
      </c>
      <c r="AI30" s="233" t="s">
        <v>482</v>
      </c>
      <c r="AJ30" s="233" t="s">
        <v>486</v>
      </c>
    </row>
    <row r="31" spans="1:36" x14ac:dyDescent="0.3">
      <c r="A31" s="186" t="s">
        <v>108</v>
      </c>
      <c r="B31" s="1" t="s">
        <v>58</v>
      </c>
      <c r="C31" s="186" t="s">
        <v>248</v>
      </c>
      <c r="D31" s="186" t="str">
        <f>VLOOKUP(Tabla134[[#This Row],[VAR]],FUNDOS!$B$2:$C$18,2,FALSE)</f>
        <v>T5</v>
      </c>
      <c r="E31" s="1" t="s">
        <v>53</v>
      </c>
      <c r="F31" s="1" t="str">
        <f>Tabla134[[#This Row],[VAR]]&amp;Tabla134[[#This Row],[LOTE]]</f>
        <v>ALG06</v>
      </c>
      <c r="G31" s="186" t="s">
        <v>377</v>
      </c>
      <c r="H31" s="1" t="s">
        <v>349</v>
      </c>
      <c r="I31" s="1">
        <v>2024</v>
      </c>
      <c r="J31" s="4">
        <v>1905</v>
      </c>
      <c r="K31" s="2">
        <f t="shared" si="0"/>
        <v>6.85</v>
      </c>
      <c r="L31" s="2">
        <f t="shared" si="0"/>
        <v>5.84</v>
      </c>
      <c r="M31" s="2">
        <f t="shared" si="0"/>
        <v>0.01</v>
      </c>
      <c r="N31" s="2">
        <f>Tabla134[[#This Row],[Total Has]]-Tabla134[[#This Row],[Has Productivas]]-Tabla134[[#This Row],[Has Formación]]</f>
        <v>0.99999999999999978</v>
      </c>
      <c r="O31" s="3">
        <v>13055</v>
      </c>
      <c r="P31" s="3">
        <v>11116</v>
      </c>
      <c r="Q31" s="3">
        <v>19</v>
      </c>
      <c r="R31" s="3">
        <f>Tabla134[[#This Row],[Total Espacios]]-Tabla134[[#This Row],[Pltas. Prod.]]-Tabla134[[#This Row],[Pltas Formación]]</f>
        <v>1920</v>
      </c>
      <c r="S31" s="95">
        <v>0.75</v>
      </c>
      <c r="T31" s="95">
        <v>3</v>
      </c>
      <c r="U31" s="2" t="s">
        <v>7</v>
      </c>
      <c r="V31" s="99">
        <v>42665</v>
      </c>
      <c r="W31" s="1">
        <f ca="1">IF(INT((TODAY()-Tabla134[[#This Row],[Fecha plantación]])/365)&gt;30,"",INT((TODAY()-Tabla134[[#This Row],[Fecha plantación]])/365))</f>
        <v>9</v>
      </c>
      <c r="X31" s="1" t="s">
        <v>8</v>
      </c>
      <c r="Y31" s="99">
        <v>32011</v>
      </c>
      <c r="Z31" s="1">
        <f ca="1">INT(YEARFRAC(Tabla134[[#This Row],[Fecha nacimiento]],TODAY()))</f>
        <v>38</v>
      </c>
      <c r="AA31" s="239">
        <f>IFERROR(VLOOKUP(Tabla134[[#This Row],[Supervisor de lote]],'DATABASE DATOS SUP'!$B$2:$D$59,3,FALSE),"-")</f>
        <v>970624242</v>
      </c>
      <c r="AB31" s="239" t="str">
        <f>IFERROR(VLOOKUP(Tabla134[[#This Row],[Supervisor de lote]],'DATABASE DATOS SUP'!$B$2:$E$59,4,FALSE),"-")</f>
        <v xml:space="preserve">Caserío Río Seco medio Piura </v>
      </c>
      <c r="AC31" s="240" t="str">
        <f>IFERROR(VLOOKUP(Tabla134[[#This Row],[Supervisor de lote]],Tabla1[],7,FALSE),"")</f>
        <v>Rios Seco</v>
      </c>
      <c r="AD31" s="239" t="str">
        <f>IFERROR(VLOOKUP(Tabla134[[#This Row],[Supervisor de lote]],'DATABASE DATOS SUP'!$B$2:$F$59,5,FALSE),"-")</f>
        <v>Educación secundaria</v>
      </c>
      <c r="AE31" s="1"/>
      <c r="AF31" s="102" t="s">
        <v>273</v>
      </c>
      <c r="AG31" s="75" t="s">
        <v>27</v>
      </c>
      <c r="AH31" s="233" t="s">
        <v>469</v>
      </c>
      <c r="AI31" s="233" t="s">
        <v>482</v>
      </c>
      <c r="AJ31" s="233" t="s">
        <v>486</v>
      </c>
    </row>
    <row r="32" spans="1:36" x14ac:dyDescent="0.3">
      <c r="A32" s="186" t="s">
        <v>109</v>
      </c>
      <c r="B32" s="1" t="s">
        <v>130</v>
      </c>
      <c r="C32" s="186" t="s">
        <v>246</v>
      </c>
      <c r="D32" s="186" t="str">
        <f>VLOOKUP(Tabla134[[#This Row],[VAR]],FUNDOS!$B$2:$C$18,2,FALSE)</f>
        <v>T9</v>
      </c>
      <c r="E32" s="1" t="s">
        <v>53</v>
      </c>
      <c r="F32" s="1" t="str">
        <f>Tabla134[[#This Row],[VAR]]&amp;Tabla134[[#This Row],[LOTE]]</f>
        <v>CCH09</v>
      </c>
      <c r="G32" s="186" t="s">
        <v>376</v>
      </c>
      <c r="H32" s="1" t="s">
        <v>351</v>
      </c>
      <c r="I32" s="1">
        <v>2024</v>
      </c>
      <c r="J32" s="4">
        <v>1780</v>
      </c>
      <c r="K32" s="2">
        <f t="shared" si="0"/>
        <v>10.65</v>
      </c>
      <c r="L32" s="2">
        <f t="shared" si="0"/>
        <v>10.55</v>
      </c>
      <c r="M32" s="2">
        <f t="shared" si="0"/>
        <v>0</v>
      </c>
      <c r="N32" s="2">
        <f>Tabla134[[#This Row],[Total Has]]-Tabla134[[#This Row],[Has Productivas]]-Tabla134[[#This Row],[Has Formación]]</f>
        <v>9.9999999999999645E-2</v>
      </c>
      <c r="O32" s="3">
        <v>18959</v>
      </c>
      <c r="P32" s="3">
        <v>18778</v>
      </c>
      <c r="Q32" s="3">
        <v>2</v>
      </c>
      <c r="R32" s="3">
        <f>Tabla134[[#This Row],[Total Espacios]]-Tabla134[[#This Row],[Pltas. Prod.]]-Tabla134[[#This Row],[Pltas Formación]]</f>
        <v>179</v>
      </c>
      <c r="S32" s="95">
        <v>1.6</v>
      </c>
      <c r="T32" s="95">
        <v>3.5</v>
      </c>
      <c r="U32" s="2" t="s">
        <v>7</v>
      </c>
      <c r="V32" s="99">
        <v>44013</v>
      </c>
      <c r="W32" s="1">
        <f ca="1">IF(INT((TODAY()-Tabla134[[#This Row],[Fecha plantación]])/365)&gt;30,"",INT((TODAY()-Tabla134[[#This Row],[Fecha plantación]])/365))</f>
        <v>6</v>
      </c>
      <c r="X32" s="1" t="s">
        <v>12</v>
      </c>
      <c r="Y32" s="99">
        <v>36183</v>
      </c>
      <c r="Z32" s="1">
        <f ca="1">INT(YEARFRAC(Tabla134[[#This Row],[Fecha nacimiento]],TODAY()))</f>
        <v>27</v>
      </c>
      <c r="AA32" s="239">
        <f>IFERROR(VLOOKUP(Tabla134[[#This Row],[Supervisor de lote]],'DATABASE DATOS SUP'!$B$2:$D$59,3,FALSE),"-")</f>
        <v>937078700</v>
      </c>
      <c r="AB32" s="239" t="str">
        <f>IFERROR(VLOOKUP(Tabla134[[#This Row],[Supervisor de lote]],'DATABASE DATOS SUP'!$B$2:$E$59,4,FALSE),"-")</f>
        <v>Urb. El Bosque Mza R Lote 1</v>
      </c>
      <c r="AC32" s="240">
        <f>IFERROR(VLOOKUP(Tabla134[[#This Row],[Supervisor de lote]],Tabla1[],7,FALSE),"")</f>
        <v>0</v>
      </c>
      <c r="AD32" s="239" t="str">
        <f>IFERROR(VLOOKUP(Tabla134[[#This Row],[Supervisor de lote]],'DATABASE DATOS SUP'!$B$2:$F$59,5,FALSE),"-")</f>
        <v>Educación superior universitaria</v>
      </c>
      <c r="AE32" s="216" t="s">
        <v>269</v>
      </c>
      <c r="AF32" s="218" t="s">
        <v>285</v>
      </c>
      <c r="AG32" s="230" t="s">
        <v>27</v>
      </c>
      <c r="AH32" s="233" t="s">
        <v>469</v>
      </c>
      <c r="AI32" s="233" t="s">
        <v>482</v>
      </c>
      <c r="AJ32" s="233" t="s">
        <v>486</v>
      </c>
    </row>
    <row r="33" spans="1:36" x14ac:dyDescent="0.3">
      <c r="A33" s="186" t="s">
        <v>109</v>
      </c>
      <c r="B33" s="1" t="s">
        <v>63</v>
      </c>
      <c r="C33" s="186" t="s">
        <v>246</v>
      </c>
      <c r="D33" s="186" t="str">
        <f>VLOOKUP(Tabla134[[#This Row],[VAR]],FUNDOS!$B$2:$C$18,2,FALSE)</f>
        <v>T9</v>
      </c>
      <c r="E33" s="1" t="s">
        <v>53</v>
      </c>
      <c r="F33" s="1" t="str">
        <f>Tabla134[[#This Row],[VAR]]&amp;Tabla134[[#This Row],[LOTE]]</f>
        <v>CCH10</v>
      </c>
      <c r="G33" s="186" t="s">
        <v>376</v>
      </c>
      <c r="H33" s="1" t="s">
        <v>351</v>
      </c>
      <c r="I33" s="1">
        <v>2024</v>
      </c>
      <c r="J33" s="4">
        <v>1780</v>
      </c>
      <c r="K33" s="2">
        <f t="shared" si="0"/>
        <v>14.45</v>
      </c>
      <c r="L33" s="2">
        <f t="shared" si="0"/>
        <v>14.28</v>
      </c>
      <c r="M33" s="2">
        <f t="shared" si="0"/>
        <v>0.01</v>
      </c>
      <c r="N33" s="2">
        <f>Tabla134[[#This Row],[Total Has]]-Tabla134[[#This Row],[Has Productivas]]-Tabla134[[#This Row],[Has Formación]]</f>
        <v>0.15999999999999992</v>
      </c>
      <c r="O33" s="3">
        <v>25720</v>
      </c>
      <c r="P33" s="3">
        <v>25421</v>
      </c>
      <c r="Q33" s="3">
        <v>15</v>
      </c>
      <c r="R33" s="3">
        <f>Tabla134[[#This Row],[Total Espacios]]-Tabla134[[#This Row],[Pltas. Prod.]]-Tabla134[[#This Row],[Pltas Formación]]</f>
        <v>284</v>
      </c>
      <c r="S33" s="95">
        <v>1.6</v>
      </c>
      <c r="T33" s="95">
        <v>3.5</v>
      </c>
      <c r="U33" s="2" t="s">
        <v>7</v>
      </c>
      <c r="V33" s="99">
        <v>44013</v>
      </c>
      <c r="W33" s="1">
        <f ca="1">IF(INT((TODAY()-Tabla134[[#This Row],[Fecha plantación]])/365)&gt;30,"",INT((TODAY()-Tabla134[[#This Row],[Fecha plantación]])/365))</f>
        <v>6</v>
      </c>
      <c r="X33" s="1" t="s">
        <v>12</v>
      </c>
      <c r="Y33" s="99">
        <v>36183</v>
      </c>
      <c r="Z33" s="1">
        <f ca="1">INT(YEARFRAC(Tabla134[[#This Row],[Fecha nacimiento]],TODAY()))</f>
        <v>27</v>
      </c>
      <c r="AA33" s="239">
        <f>IFERROR(VLOOKUP(Tabla134[[#This Row],[Supervisor de lote]],'DATABASE DATOS SUP'!$B$2:$D$59,3,FALSE),"-")</f>
        <v>937078700</v>
      </c>
      <c r="AB33" s="239" t="str">
        <f>IFERROR(VLOOKUP(Tabla134[[#This Row],[Supervisor de lote]],'DATABASE DATOS SUP'!$B$2:$E$59,4,FALSE),"-")</f>
        <v>Urb. El Bosque Mza R Lote 1</v>
      </c>
      <c r="AC33" s="240">
        <f>IFERROR(VLOOKUP(Tabla134[[#This Row],[Supervisor de lote]],Tabla1[],7,FALSE),"")</f>
        <v>0</v>
      </c>
      <c r="AD33" s="239" t="str">
        <f>IFERROR(VLOOKUP(Tabla134[[#This Row],[Supervisor de lote]],'DATABASE DATOS SUP'!$B$2:$F$59,5,FALSE),"-")</f>
        <v>Educación superior universitaria</v>
      </c>
      <c r="AE33" s="216" t="s">
        <v>269</v>
      </c>
      <c r="AF33" s="218" t="s">
        <v>285</v>
      </c>
      <c r="AG33" s="230" t="s">
        <v>27</v>
      </c>
      <c r="AH33" s="233" t="s">
        <v>469</v>
      </c>
      <c r="AI33" s="233" t="s">
        <v>482</v>
      </c>
      <c r="AJ33" s="233" t="s">
        <v>486</v>
      </c>
    </row>
    <row r="34" spans="1:36" x14ac:dyDescent="0.3">
      <c r="A34" s="186" t="s">
        <v>109</v>
      </c>
      <c r="B34" s="1" t="s">
        <v>64</v>
      </c>
      <c r="C34" s="186" t="s">
        <v>246</v>
      </c>
      <c r="D34" s="186" t="str">
        <f>VLOOKUP(Tabla134[[#This Row],[VAR]],FUNDOS!$B$2:$C$18,2,FALSE)</f>
        <v>T9</v>
      </c>
      <c r="E34" s="1" t="s">
        <v>53</v>
      </c>
      <c r="F34" s="1" t="str">
        <f>Tabla134[[#This Row],[VAR]]&amp;Tabla134[[#This Row],[LOTE]]</f>
        <v>CCH11</v>
      </c>
      <c r="G34" s="186" t="s">
        <v>376</v>
      </c>
      <c r="H34" s="1" t="s">
        <v>351</v>
      </c>
      <c r="I34" s="1">
        <v>2024</v>
      </c>
      <c r="J34" s="4">
        <v>1780</v>
      </c>
      <c r="K34" s="2">
        <f t="shared" ref="K34:M65" si="1">ROUND(O34/$J34,2)</f>
        <v>13.64</v>
      </c>
      <c r="L34" s="2">
        <f t="shared" si="1"/>
        <v>13.61</v>
      </c>
      <c r="M34" s="2">
        <f t="shared" si="1"/>
        <v>0.02</v>
      </c>
      <c r="N34" s="2">
        <f>Tabla134[[#This Row],[Total Has]]-Tabla134[[#This Row],[Has Productivas]]-Tabla134[[#This Row],[Has Formación]]</f>
        <v>1.0000000000001136E-2</v>
      </c>
      <c r="O34" s="3">
        <v>24277</v>
      </c>
      <c r="P34" s="3">
        <v>24222</v>
      </c>
      <c r="Q34" s="3">
        <v>31</v>
      </c>
      <c r="R34" s="3">
        <f>Tabla134[[#This Row],[Total Espacios]]-Tabla134[[#This Row],[Pltas. Prod.]]-Tabla134[[#This Row],[Pltas Formación]]</f>
        <v>24</v>
      </c>
      <c r="S34" s="95">
        <v>1.6</v>
      </c>
      <c r="T34" s="95">
        <v>3.5</v>
      </c>
      <c r="U34" s="2" t="s">
        <v>7</v>
      </c>
      <c r="V34" s="99">
        <v>43983</v>
      </c>
      <c r="W34" s="1">
        <f ca="1">IF(INT((TODAY()-Tabla134[[#This Row],[Fecha plantación]])/365)&gt;30,"",INT((TODAY()-Tabla134[[#This Row],[Fecha plantación]])/365))</f>
        <v>6</v>
      </c>
      <c r="X34" s="1" t="s">
        <v>12</v>
      </c>
      <c r="Y34" s="99">
        <v>35119</v>
      </c>
      <c r="Z34" s="1">
        <f ca="1">INT(YEARFRAC(Tabla134[[#This Row],[Fecha nacimiento]],TODAY()))</f>
        <v>30</v>
      </c>
      <c r="AA34" s="239">
        <f>IFERROR(VLOOKUP(Tabla134[[#This Row],[Supervisor de lote]],'DATABASE DATOS SUP'!$B$2:$D$59,3,FALSE),"-")</f>
        <v>971732870</v>
      </c>
      <c r="AB34" s="239" t="str">
        <f>IFERROR(VLOOKUP(Tabla134[[#This Row],[Supervisor de lote]],'DATABASE DATOS SUP'!$B$2:$E$59,4,FALSE),"-")</f>
        <v>AAHH Alas peruanas,Castilla-Piura</v>
      </c>
      <c r="AC34" s="240" t="str">
        <f>IFERROR(VLOOKUP(Tabla134[[#This Row],[Supervisor de lote]],Tabla1[],7,FALSE),"")</f>
        <v>Castilla</v>
      </c>
      <c r="AD34" s="239" t="str">
        <f>IFERROR(VLOOKUP(Tabla134[[#This Row],[Supervisor de lote]],'DATABASE DATOS SUP'!$B$2:$F$59,5,FALSE),"-")</f>
        <v>Educación superior universitaria</v>
      </c>
      <c r="AE34" s="216" t="s">
        <v>269</v>
      </c>
      <c r="AF34" s="218" t="s">
        <v>287</v>
      </c>
      <c r="AG34" s="230" t="s">
        <v>27</v>
      </c>
      <c r="AH34" s="233" t="s">
        <v>469</v>
      </c>
      <c r="AI34" s="233" t="s">
        <v>482</v>
      </c>
      <c r="AJ34" s="233" t="s">
        <v>486</v>
      </c>
    </row>
    <row r="35" spans="1:36" x14ac:dyDescent="0.3">
      <c r="A35" s="186" t="s">
        <v>414</v>
      </c>
      <c r="B35" s="1" t="s">
        <v>417</v>
      </c>
      <c r="C35" s="186" t="s">
        <v>414</v>
      </c>
      <c r="D35" s="186" t="str">
        <f>VLOOKUP(Tabla134[[#This Row],[VAR]],FUNDOS!$B$2:$C$18,2,FALSE)</f>
        <v>T6</v>
      </c>
      <c r="E35" s="1" t="s">
        <v>415</v>
      </c>
      <c r="F35" s="1" t="str">
        <f>Tabla134[[#This Row],[VAR]]&amp;Tabla134[[#This Row],[LOTE]]</f>
        <v>Test BlockG11 + F11</v>
      </c>
      <c r="G35" s="186" t="s">
        <v>376</v>
      </c>
      <c r="H35" s="1" t="s">
        <v>349</v>
      </c>
      <c r="I35" s="1">
        <v>2024</v>
      </c>
      <c r="J35" s="4">
        <v>1780</v>
      </c>
      <c r="K35" s="2">
        <f t="shared" si="1"/>
        <v>10.08</v>
      </c>
      <c r="L35" s="2">
        <f t="shared" si="1"/>
        <v>3.65</v>
      </c>
      <c r="M35" s="2">
        <f t="shared" si="1"/>
        <v>0</v>
      </c>
      <c r="N35" s="2">
        <f>Tabla134[[#This Row],[Total Has]]-Tabla134[[#This Row],[Has Productivas]]-Tabla134[[#This Row],[Has Formación]]</f>
        <v>6.43</v>
      </c>
      <c r="O35" s="3">
        <v>17942.400000000001</v>
      </c>
      <c r="P35" s="3">
        <f>3.65*1780</f>
        <v>6497</v>
      </c>
      <c r="Q35" s="3">
        <v>0</v>
      </c>
      <c r="R35" s="3">
        <f>Tabla134[[#This Row],[Total Espacios]]-Tabla134[[#This Row],[Pltas. Prod.]]-Tabla134[[#This Row],[Pltas Formación]]</f>
        <v>11445.400000000001</v>
      </c>
      <c r="S35" s="95">
        <v>1.6</v>
      </c>
      <c r="T35" s="95">
        <v>3.5</v>
      </c>
      <c r="U35" s="2" t="s">
        <v>414</v>
      </c>
      <c r="V35" s="99">
        <v>44453</v>
      </c>
      <c r="W35" s="1">
        <f ca="1">IF(INT((TODAY()-Tabla134[[#This Row],[Fecha plantación]])/365)&gt;30,"",INT((TODAY()-Tabla134[[#This Row],[Fecha plantación]])/365))</f>
        <v>4</v>
      </c>
      <c r="X35" s="1" t="s">
        <v>8</v>
      </c>
      <c r="Y35" s="99">
        <v>35119</v>
      </c>
      <c r="Z35" s="1">
        <f ca="1">INT(YEARFRAC(Tabla134[[#This Row],[Fecha nacimiento]],TODAY()))</f>
        <v>30</v>
      </c>
      <c r="AA35" s="239" t="str">
        <f>IFERROR(VLOOKUP(Tabla134[[#This Row],[Supervisor de lote]],'DATABASE DATOS SUP'!$B$2:$D$59,3,FALSE),"-")</f>
        <v>solicitar</v>
      </c>
      <c r="AB35" s="239" t="str">
        <f>IFERROR(VLOOKUP(Tabla134[[#This Row],[Supervisor de lote]],'DATABASE DATOS SUP'!$B$2:$E$59,4,FALSE),"-")</f>
        <v>solicitar</v>
      </c>
      <c r="AC35" s="240">
        <f>IFERROR(VLOOKUP(Tabla134[[#This Row],[Supervisor de lote]],Tabla1[],7,FALSE),"")</f>
        <v>0</v>
      </c>
      <c r="AD35" s="239" t="str">
        <f>IFERROR(VLOOKUP(Tabla134[[#This Row],[Supervisor de lote]],'DATABASE DATOS SUP'!$B$2:$F$59,5,FALSE),"-")</f>
        <v>solicitar</v>
      </c>
      <c r="AE35" s="1" t="s">
        <v>269</v>
      </c>
      <c r="AF35" s="102" t="s">
        <v>402</v>
      </c>
      <c r="AG35" s="75" t="s">
        <v>27</v>
      </c>
      <c r="AH35" s="233" t="s">
        <v>154</v>
      </c>
      <c r="AI35" s="233"/>
      <c r="AJ35" s="233" t="s">
        <v>486</v>
      </c>
    </row>
    <row r="36" spans="1:36" x14ac:dyDescent="0.3">
      <c r="A36" s="186" t="s">
        <v>163</v>
      </c>
      <c r="B36" s="1" t="s">
        <v>90</v>
      </c>
      <c r="C36" s="186" t="s">
        <v>245</v>
      </c>
      <c r="D36" s="186" t="str">
        <f>VLOOKUP(Tabla134[[#This Row],[VAR]],FUNDOS!$B$2:$C$18,2,FALSE)</f>
        <v>TT</v>
      </c>
      <c r="E36" s="1" t="s">
        <v>53</v>
      </c>
      <c r="F36" s="1" t="str">
        <f>Tabla134[[#This Row],[VAR]]&amp;Tabla134[[#This Row],[LOTE]]</f>
        <v>ACG09</v>
      </c>
      <c r="G36" s="186" t="s">
        <v>377</v>
      </c>
      <c r="H36" s="1" t="s">
        <v>388</v>
      </c>
      <c r="I36" s="1">
        <v>2024</v>
      </c>
      <c r="J36" s="4">
        <v>1905</v>
      </c>
      <c r="K36" s="2">
        <f t="shared" si="1"/>
        <v>11.75</v>
      </c>
      <c r="L36" s="2">
        <f t="shared" si="1"/>
        <v>11.66</v>
      </c>
      <c r="M36" s="2">
        <f t="shared" si="1"/>
        <v>0.01</v>
      </c>
      <c r="N36" s="2">
        <f>Tabla134[[#This Row],[Total Has]]-Tabla134[[#This Row],[Has Productivas]]-Tabla134[[#This Row],[Has Formación]]</f>
        <v>7.9999999999999863E-2</v>
      </c>
      <c r="O36" s="3">
        <v>22389</v>
      </c>
      <c r="P36" s="3">
        <v>22217</v>
      </c>
      <c r="Q36" s="3">
        <v>17</v>
      </c>
      <c r="R36" s="3">
        <f>Tabla134[[#This Row],[Total Espacios]]-Tabla134[[#This Row],[Pltas. Prod.]]-Tabla134[[#This Row],[Pltas Formación]]</f>
        <v>155</v>
      </c>
      <c r="S36" s="95">
        <v>1.5</v>
      </c>
      <c r="T36" s="95">
        <v>3.5</v>
      </c>
      <c r="U36" s="2" t="s">
        <v>7</v>
      </c>
      <c r="V36" s="99">
        <v>44763</v>
      </c>
      <c r="W36" s="98">
        <f ca="1">IF(INT((TODAY()-Tabla134[[#This Row],[Fecha plantación]])/365)&gt;30,"",INT((TODAY()-Tabla134[[#This Row],[Fecha plantación]])/365))</f>
        <v>4</v>
      </c>
      <c r="X36" s="1" t="s">
        <v>8</v>
      </c>
      <c r="Y36" s="99">
        <v>45006</v>
      </c>
      <c r="Z36" s="1">
        <f ca="1">INT(YEARFRAC(Tabla134[[#This Row],[Fecha nacimiento]],TODAY()))</f>
        <v>3</v>
      </c>
      <c r="AA36" s="239">
        <f>IFERROR(VLOOKUP(Tabla134[[#This Row],[Supervisor de lote]],'DATABASE DATOS SUP'!$B$2:$D$59,3,FALSE),"-")</f>
        <v>923562901</v>
      </c>
      <c r="AB36" s="239" t="str">
        <f>IFERROR(VLOOKUP(Tabla134[[#This Row],[Supervisor de lote]],'DATABASE DATOS SUP'!$B$2:$E$59,4,FALSE),"-")</f>
        <v>Las Dalias Segunda Etapa Mz P1 Lote 5</v>
      </c>
      <c r="AC36" s="240" t="str">
        <f>IFERROR(VLOOKUP(Tabla134[[#This Row],[Supervisor de lote]],Tabla1[],7,FALSE),"")</f>
        <v>Castilla</v>
      </c>
      <c r="AD36" s="239" t="str">
        <f>IFERROR(VLOOKUP(Tabla134[[#This Row],[Supervisor de lote]],'DATABASE DATOS SUP'!$B$2:$F$59,5,FALSE),"-")</f>
        <v>Octavo ciclo</v>
      </c>
      <c r="AE36" s="1" t="s">
        <v>266</v>
      </c>
      <c r="AF36" s="102" t="s">
        <v>207</v>
      </c>
      <c r="AG36" s="75" t="s">
        <v>27</v>
      </c>
      <c r="AH36" s="233" t="s">
        <v>469</v>
      </c>
      <c r="AI36" s="233" t="s">
        <v>482</v>
      </c>
      <c r="AJ36" s="233" t="s">
        <v>486</v>
      </c>
    </row>
    <row r="37" spans="1:36" x14ac:dyDescent="0.3">
      <c r="A37" s="186" t="s">
        <v>163</v>
      </c>
      <c r="B37" s="1" t="s">
        <v>92</v>
      </c>
      <c r="C37" s="186" t="s">
        <v>245</v>
      </c>
      <c r="D37" s="186" t="str">
        <f>VLOOKUP(Tabla134[[#This Row],[VAR]],FUNDOS!$B$2:$C$18,2,FALSE)</f>
        <v>TT</v>
      </c>
      <c r="E37" s="1" t="s">
        <v>53</v>
      </c>
      <c r="F37" s="1" t="str">
        <f>Tabla134[[#This Row],[VAR]]&amp;Tabla134[[#This Row],[LOTE]]</f>
        <v>ACG10</v>
      </c>
      <c r="G37" s="186" t="s">
        <v>377</v>
      </c>
      <c r="H37" s="1" t="s">
        <v>388</v>
      </c>
      <c r="I37" s="1">
        <v>2024</v>
      </c>
      <c r="J37" s="4">
        <v>1905</v>
      </c>
      <c r="K37" s="2">
        <f t="shared" si="1"/>
        <v>14.89</v>
      </c>
      <c r="L37" s="2">
        <f t="shared" si="1"/>
        <v>14.75</v>
      </c>
      <c r="M37" s="2">
        <f t="shared" si="1"/>
        <v>0.02</v>
      </c>
      <c r="N37" s="2">
        <f>Tabla134[[#This Row],[Total Has]]-Tabla134[[#This Row],[Has Productivas]]-Tabla134[[#This Row],[Has Formación]]</f>
        <v>0.12000000000000056</v>
      </c>
      <c r="O37" s="3">
        <v>28356</v>
      </c>
      <c r="P37" s="3">
        <v>28092</v>
      </c>
      <c r="Q37" s="3">
        <v>32</v>
      </c>
      <c r="R37" s="3">
        <f>Tabla134[[#This Row],[Total Espacios]]-Tabla134[[#This Row],[Pltas. Prod.]]-Tabla134[[#This Row],[Pltas Formación]]</f>
        <v>232</v>
      </c>
      <c r="S37" s="95">
        <v>1.5</v>
      </c>
      <c r="T37" s="95">
        <v>3.5</v>
      </c>
      <c r="U37" s="2" t="s">
        <v>7</v>
      </c>
      <c r="V37" s="99">
        <v>44762</v>
      </c>
      <c r="W37" s="1">
        <f ca="1">IF(INT((TODAY()-Tabla134[[#This Row],[Fecha plantación]])/365)&gt;30,"",INT((TODAY()-Tabla134[[#This Row],[Fecha plantación]])/365))</f>
        <v>4</v>
      </c>
      <c r="X37" s="1" t="s">
        <v>8</v>
      </c>
      <c r="Y37" s="99">
        <v>45006</v>
      </c>
      <c r="Z37" s="1">
        <f ca="1">INT(YEARFRAC(Tabla134[[#This Row],[Fecha nacimiento]],TODAY()))</f>
        <v>3</v>
      </c>
      <c r="AA37" s="239">
        <f>IFERROR(VLOOKUP(Tabla134[[#This Row],[Supervisor de lote]],'DATABASE DATOS SUP'!$B$2:$D$59,3,FALSE),"-")</f>
        <v>923562901</v>
      </c>
      <c r="AB37" s="239" t="str">
        <f>IFERROR(VLOOKUP(Tabla134[[#This Row],[Supervisor de lote]],'DATABASE DATOS SUP'!$B$2:$E$59,4,FALSE),"-")</f>
        <v>Las Dalias Segunda Etapa Mz P1 Lote 5</v>
      </c>
      <c r="AC37" s="240" t="str">
        <f>IFERROR(VLOOKUP(Tabla134[[#This Row],[Supervisor de lote]],Tabla1[],7,FALSE),"")</f>
        <v>Castilla</v>
      </c>
      <c r="AD37" s="239" t="str">
        <f>IFERROR(VLOOKUP(Tabla134[[#This Row],[Supervisor de lote]],'DATABASE DATOS SUP'!$B$2:$F$59,5,FALSE),"-")</f>
        <v>Octavo ciclo</v>
      </c>
      <c r="AE37" s="216" t="s">
        <v>266</v>
      </c>
      <c r="AF37" s="218" t="s">
        <v>207</v>
      </c>
      <c r="AG37" s="230" t="s">
        <v>27</v>
      </c>
      <c r="AH37" s="233" t="s">
        <v>469</v>
      </c>
      <c r="AI37" s="233" t="s">
        <v>482</v>
      </c>
      <c r="AJ37" s="233" t="s">
        <v>486</v>
      </c>
    </row>
    <row r="38" spans="1:36" x14ac:dyDescent="0.3">
      <c r="A38" s="186" t="s">
        <v>163</v>
      </c>
      <c r="B38" s="1" t="s">
        <v>80</v>
      </c>
      <c r="C38" s="186" t="s">
        <v>245</v>
      </c>
      <c r="D38" s="186" t="str">
        <f>VLOOKUP(Tabla134[[#This Row],[VAR]],FUNDOS!$B$2:$C$18,2,FALSE)</f>
        <v>TT</v>
      </c>
      <c r="E38" s="1" t="s">
        <v>53</v>
      </c>
      <c r="F38" s="1" t="str">
        <f>Tabla134[[#This Row],[VAR]]&amp;Tabla134[[#This Row],[LOTE]]</f>
        <v>ACG11</v>
      </c>
      <c r="G38" s="186" t="s">
        <v>377</v>
      </c>
      <c r="H38" s="1" t="s">
        <v>388</v>
      </c>
      <c r="I38" s="1">
        <v>2024</v>
      </c>
      <c r="J38" s="4">
        <v>1780</v>
      </c>
      <c r="K38" s="2">
        <f t="shared" si="1"/>
        <v>10.7</v>
      </c>
      <c r="L38" s="2">
        <f t="shared" si="1"/>
        <v>9.83</v>
      </c>
      <c r="M38" s="2">
        <f t="shared" si="1"/>
        <v>0.03</v>
      </c>
      <c r="N38" s="2">
        <f>Tabla134[[#This Row],[Total Has]]-Tabla134[[#This Row],[Has Productivas]]-Tabla134[[#This Row],[Has Formación]]</f>
        <v>0.83999999999999919</v>
      </c>
      <c r="O38" s="3">
        <v>19038</v>
      </c>
      <c r="P38" s="3">
        <v>17495</v>
      </c>
      <c r="Q38" s="3">
        <v>61</v>
      </c>
      <c r="R38" s="3">
        <f>Tabla134[[#This Row],[Total Espacios]]-Tabla134[[#This Row],[Pltas. Prod.]]-Tabla134[[#This Row],[Pltas Formación]]</f>
        <v>1482</v>
      </c>
      <c r="S38" s="95">
        <v>1.6</v>
      </c>
      <c r="T38" s="95">
        <v>3.5</v>
      </c>
      <c r="U38" s="2" t="s">
        <v>7</v>
      </c>
      <c r="V38" s="99">
        <v>44759</v>
      </c>
      <c r="W38" s="1">
        <f ca="1">IF(INT((TODAY()-Tabla134[[#This Row],[Fecha plantación]])/365)&gt;30,"",INT((TODAY()-Tabla134[[#This Row],[Fecha plantación]])/365))</f>
        <v>4</v>
      </c>
      <c r="X38" s="1" t="s">
        <v>8</v>
      </c>
      <c r="Y38" s="99">
        <v>35119</v>
      </c>
      <c r="Z38" s="1">
        <f ca="1">INT(YEARFRAC(Tabla134[[#This Row],[Fecha nacimiento]],TODAY()))</f>
        <v>30</v>
      </c>
      <c r="AA38" s="239">
        <f>IFERROR(VLOOKUP(Tabla134[[#This Row],[Supervisor de lote]],'DATABASE DATOS SUP'!$B$2:$D$59,3,FALSE),"-")</f>
        <v>971732870</v>
      </c>
      <c r="AB38" s="239" t="str">
        <f>IFERROR(VLOOKUP(Tabla134[[#This Row],[Supervisor de lote]],'DATABASE DATOS SUP'!$B$2:$E$59,4,FALSE),"-")</f>
        <v>AAHH Alas peruanas,Castilla-Piura</v>
      </c>
      <c r="AC38" s="240" t="str">
        <f>IFERROR(VLOOKUP(Tabla134[[#This Row],[Supervisor de lote]],Tabla1[],7,FALSE),"")</f>
        <v>Castilla</v>
      </c>
      <c r="AD38" s="239" t="str">
        <f>IFERROR(VLOOKUP(Tabla134[[#This Row],[Supervisor de lote]],'DATABASE DATOS SUP'!$B$2:$F$59,5,FALSE),"-")</f>
        <v>Educación superior universitaria</v>
      </c>
      <c r="AE38" s="216" t="s">
        <v>269</v>
      </c>
      <c r="AF38" s="218" t="s">
        <v>287</v>
      </c>
      <c r="AG38" s="230" t="s">
        <v>27</v>
      </c>
      <c r="AH38" s="233" t="s">
        <v>469</v>
      </c>
      <c r="AI38" s="233" t="s">
        <v>482</v>
      </c>
      <c r="AJ38" s="233" t="s">
        <v>486</v>
      </c>
    </row>
    <row r="39" spans="1:36" x14ac:dyDescent="0.3">
      <c r="A39" s="186" t="s">
        <v>163</v>
      </c>
      <c r="B39" s="1" t="s">
        <v>48</v>
      </c>
      <c r="C39" s="186" t="s">
        <v>245</v>
      </c>
      <c r="D39" s="186" t="str">
        <f>VLOOKUP(Tabla134[[#This Row],[VAR]],FUNDOS!$B$2:$C$18,2,FALSE)</f>
        <v>TT</v>
      </c>
      <c r="E39" s="1" t="s">
        <v>28</v>
      </c>
      <c r="F39" s="1" t="str">
        <f>Tabla134[[#This Row],[VAR]]&amp;Tabla134[[#This Row],[LOTE]]</f>
        <v>ACD12</v>
      </c>
      <c r="G39" s="186" t="s">
        <v>377</v>
      </c>
      <c r="H39" s="1" t="s">
        <v>388</v>
      </c>
      <c r="I39" s="1">
        <v>2024</v>
      </c>
      <c r="J39" s="6">
        <v>1905</v>
      </c>
      <c r="K39" s="2">
        <f t="shared" si="1"/>
        <v>18.32</v>
      </c>
      <c r="L39" s="2">
        <f t="shared" si="1"/>
        <v>15.69</v>
      </c>
      <c r="M39" s="2">
        <f t="shared" si="1"/>
        <v>1.97</v>
      </c>
      <c r="N39" s="2">
        <f>Tabla134[[#This Row],[Total Has]]-Tabla134[[#This Row],[Has Productivas]]-Tabla134[[#This Row],[Has Formación]]</f>
        <v>0.66000000000000081</v>
      </c>
      <c r="O39" s="3">
        <v>34907</v>
      </c>
      <c r="P39" s="3">
        <v>29898</v>
      </c>
      <c r="Q39" s="3">
        <v>3747</v>
      </c>
      <c r="R39" s="3">
        <f>Tabla134[[#This Row],[Total Espacios]]-Tabla134[[#This Row],[Pltas. Prod.]]-Tabla134[[#This Row],[Pltas Formación]]</f>
        <v>1262</v>
      </c>
      <c r="S39" s="95">
        <v>1.6</v>
      </c>
      <c r="T39" s="95">
        <v>3.5</v>
      </c>
      <c r="U39" s="2" t="s">
        <v>7</v>
      </c>
      <c r="V39" s="99">
        <v>45122</v>
      </c>
      <c r="W39" s="1">
        <f ca="1">IF(INT((TODAY()-Tabla134[[#This Row],[Fecha plantación]])/365)&gt;30,"",INT((TODAY()-Tabla134[[#This Row],[Fecha plantación]])/365))</f>
        <v>3</v>
      </c>
      <c r="X39" s="1" t="s">
        <v>12</v>
      </c>
      <c r="Y39" s="99">
        <v>30729</v>
      </c>
      <c r="Z39" s="1">
        <f ca="1">INT(YEARFRAC(Tabla134[[#This Row],[Fecha nacimiento]],TODAY()))</f>
        <v>42</v>
      </c>
      <c r="AA39" s="239">
        <f>IFERROR(VLOOKUP(Tabla134[[#This Row],[Supervisor de lote]],'DATABASE DATOS SUP'!$B$2:$D$59,3,FALSE),"-")</f>
        <v>934101481</v>
      </c>
      <c r="AB39" s="239" t="str">
        <f>IFERROR(VLOOKUP(Tabla134[[#This Row],[Supervisor de lote]],'DATABASE DATOS SUP'!$B$2:$E$59,4,FALSE),"-")</f>
        <v xml:space="preserve">Zarumilla 299 pachitea piura </v>
      </c>
      <c r="AC39" s="240" t="str">
        <f>IFERROR(VLOOKUP(Tabla134[[#This Row],[Supervisor de lote]],Tabla1[],7,FALSE),"")</f>
        <v>Piura</v>
      </c>
      <c r="AD39" s="239" t="str">
        <f>IFERROR(VLOOKUP(Tabla134[[#This Row],[Supervisor de lote]],'DATABASE DATOS SUP'!$B$2:$F$59,5,FALSE),"-")</f>
        <v>Educación secundaria</v>
      </c>
      <c r="AE39" s="1"/>
      <c r="AF39" s="218" t="s">
        <v>319</v>
      </c>
      <c r="AG39" s="76" t="s">
        <v>27</v>
      </c>
      <c r="AH39" s="233" t="s">
        <v>154</v>
      </c>
      <c r="AI39" s="233" t="s">
        <v>485</v>
      </c>
      <c r="AJ39" s="233" t="s">
        <v>488</v>
      </c>
    </row>
    <row r="40" spans="1:36" x14ac:dyDescent="0.3">
      <c r="A40" s="186" t="s">
        <v>163</v>
      </c>
      <c r="B40" s="1" t="s">
        <v>50</v>
      </c>
      <c r="C40" s="186" t="s">
        <v>245</v>
      </c>
      <c r="D40" s="186" t="str">
        <f>VLOOKUP(Tabla134[[#This Row],[VAR]],FUNDOS!$B$2:$C$18,2,FALSE)</f>
        <v>TT</v>
      </c>
      <c r="E40" s="1" t="s">
        <v>28</v>
      </c>
      <c r="F40" s="1" t="str">
        <f>Tabla134[[#This Row],[VAR]]&amp;Tabla134[[#This Row],[LOTE]]</f>
        <v>ACD13</v>
      </c>
      <c r="G40" s="186" t="s">
        <v>377</v>
      </c>
      <c r="H40" s="1" t="s">
        <v>388</v>
      </c>
      <c r="I40" s="1">
        <v>2024</v>
      </c>
      <c r="J40" s="6">
        <v>1905</v>
      </c>
      <c r="K40" s="2">
        <f t="shared" si="1"/>
        <v>16.53</v>
      </c>
      <c r="L40" s="2">
        <f t="shared" si="1"/>
        <v>15.65</v>
      </c>
      <c r="M40" s="2">
        <f t="shared" si="1"/>
        <v>0.52</v>
      </c>
      <c r="N40" s="2">
        <f>Tabla134[[#This Row],[Total Has]]-Tabla134[[#This Row],[Has Productivas]]-Tabla134[[#This Row],[Has Formación]]</f>
        <v>0.36000000000000076</v>
      </c>
      <c r="O40" s="3">
        <v>31495</v>
      </c>
      <c r="P40" s="3">
        <v>29814</v>
      </c>
      <c r="Q40" s="3">
        <v>992</v>
      </c>
      <c r="R40" s="3">
        <f>Tabla134[[#This Row],[Total Espacios]]-Tabla134[[#This Row],[Pltas. Prod.]]-Tabla134[[#This Row],[Pltas Formación]]</f>
        <v>689</v>
      </c>
      <c r="S40" s="95">
        <v>1.6</v>
      </c>
      <c r="T40" s="95">
        <v>3.5</v>
      </c>
      <c r="U40" s="2" t="s">
        <v>7</v>
      </c>
      <c r="V40" s="99">
        <v>45127</v>
      </c>
      <c r="W40" s="1">
        <f ca="1">IF(INT((TODAY()-Tabla134[[#This Row],[Fecha plantación]])/365)&gt;30,"",INT((TODAY()-Tabla134[[#This Row],[Fecha plantación]])/365))</f>
        <v>3</v>
      </c>
      <c r="X40" s="1" t="s">
        <v>12</v>
      </c>
      <c r="Y40" s="99">
        <v>30729</v>
      </c>
      <c r="Z40" s="1">
        <f ca="1">INT(YEARFRAC(Tabla134[[#This Row],[Fecha nacimiento]],TODAY()))</f>
        <v>42</v>
      </c>
      <c r="AA40" s="239">
        <f>IFERROR(VLOOKUP(Tabla134[[#This Row],[Supervisor de lote]],'DATABASE DATOS SUP'!$B$2:$D$59,3,FALSE),"-")</f>
        <v>934101481</v>
      </c>
      <c r="AB40" s="239" t="str">
        <f>IFERROR(VLOOKUP(Tabla134[[#This Row],[Supervisor de lote]],'DATABASE DATOS SUP'!$B$2:$E$59,4,FALSE),"-")</f>
        <v xml:space="preserve">Zarumilla 299 pachitea piura </v>
      </c>
      <c r="AC40" s="240" t="str">
        <f>IFERROR(VLOOKUP(Tabla134[[#This Row],[Supervisor de lote]],Tabla1[],7,FALSE),"")</f>
        <v>Piura</v>
      </c>
      <c r="AD40" s="239" t="str">
        <f>IFERROR(VLOOKUP(Tabla134[[#This Row],[Supervisor de lote]],'DATABASE DATOS SUP'!$B$2:$F$59,5,FALSE),"-")</f>
        <v>Educación secundaria</v>
      </c>
      <c r="AE40" s="1"/>
      <c r="AF40" s="218" t="s">
        <v>319</v>
      </c>
      <c r="AG40" s="76" t="s">
        <v>27</v>
      </c>
      <c r="AH40" s="233" t="s">
        <v>154</v>
      </c>
      <c r="AI40" s="233" t="s">
        <v>485</v>
      </c>
      <c r="AJ40" s="233" t="s">
        <v>488</v>
      </c>
    </row>
    <row r="41" spans="1:36" x14ac:dyDescent="0.3">
      <c r="A41" s="186" t="s">
        <v>163</v>
      </c>
      <c r="B41" s="1" t="s">
        <v>96</v>
      </c>
      <c r="C41" s="186" t="s">
        <v>245</v>
      </c>
      <c r="D41" s="186" t="str">
        <f>VLOOKUP(Tabla134[[#This Row],[VAR]],FUNDOS!$B$2:$C$18,2,FALSE)</f>
        <v>TT</v>
      </c>
      <c r="E41" s="1" t="s">
        <v>28</v>
      </c>
      <c r="F41" s="1" t="str">
        <f>Tabla134[[#This Row],[VAR]]&amp;Tabla134[[#This Row],[LOTE]]</f>
        <v>ACD14</v>
      </c>
      <c r="G41" s="186" t="s">
        <v>377</v>
      </c>
      <c r="H41" s="1" t="s">
        <v>388</v>
      </c>
      <c r="I41" s="1">
        <v>2024</v>
      </c>
      <c r="J41" s="4">
        <v>1905</v>
      </c>
      <c r="K41" s="2">
        <f t="shared" si="1"/>
        <v>12.07</v>
      </c>
      <c r="L41" s="2">
        <f t="shared" si="1"/>
        <v>11.29</v>
      </c>
      <c r="M41" s="2">
        <f t="shared" si="1"/>
        <v>0.57999999999999996</v>
      </c>
      <c r="N41" s="2">
        <f>Tabla134[[#This Row],[Total Has]]-Tabla134[[#This Row],[Has Productivas]]-Tabla134[[#This Row],[Has Formación]]</f>
        <v>0.20000000000000118</v>
      </c>
      <c r="O41" s="3">
        <v>22984</v>
      </c>
      <c r="P41" s="3">
        <v>21512</v>
      </c>
      <c r="Q41" s="3">
        <v>1101</v>
      </c>
      <c r="R41" s="3">
        <f>Tabla134[[#This Row],[Total Espacios]]-Tabla134[[#This Row],[Pltas. Prod.]]-Tabla134[[#This Row],[Pltas Formación]]</f>
        <v>371</v>
      </c>
      <c r="S41" s="95">
        <v>1.5</v>
      </c>
      <c r="T41" s="95">
        <v>3.5</v>
      </c>
      <c r="U41" s="2" t="s">
        <v>7</v>
      </c>
      <c r="V41" s="99">
        <v>44806</v>
      </c>
      <c r="W41" s="1">
        <f ca="1">IF(INT((TODAY()-Tabla134[[#This Row],[Fecha plantación]])/365)&gt;30,"",INT((TODAY()-Tabla134[[#This Row],[Fecha plantación]])/365))</f>
        <v>3</v>
      </c>
      <c r="X41" s="1" t="s">
        <v>12</v>
      </c>
      <c r="Y41" s="99">
        <v>35710</v>
      </c>
      <c r="Z41" s="1">
        <f ca="1">INT(YEARFRAC(Tabla134[[#This Row],[Fecha nacimiento]],TODAY()))</f>
        <v>28</v>
      </c>
      <c r="AA41" s="239">
        <f>IFERROR(VLOOKUP(Tabla134[[#This Row],[Supervisor de lote]],'DATABASE DATOS SUP'!$B$2:$D$59,3,FALSE),"-")</f>
        <v>918035466</v>
      </c>
      <c r="AB41" s="239" t="str">
        <f>IFERROR(VLOOKUP(Tabla134[[#This Row],[Supervisor de lote]],'DATABASE DATOS SUP'!$B$2:$E$59,4,FALSE),"-")</f>
        <v>Jr.cusco 166</v>
      </c>
      <c r="AC41" s="240" t="str">
        <f>IFERROR(VLOOKUP(Tabla134[[#This Row],[Supervisor de lote]],Tabla1[],7,FALSE),"")</f>
        <v>Piura</v>
      </c>
      <c r="AD41" s="239" t="str">
        <f>IFERROR(VLOOKUP(Tabla134[[#This Row],[Supervisor de lote]],'DATABASE DATOS SUP'!$B$2:$F$59,5,FALSE),"-")</f>
        <v>Educación superior universitaria</v>
      </c>
      <c r="AE41" s="1" t="s">
        <v>272</v>
      </c>
      <c r="AF41" s="218" t="s">
        <v>327</v>
      </c>
      <c r="AG41" s="75" t="s">
        <v>27</v>
      </c>
      <c r="AH41" s="233" t="s">
        <v>470</v>
      </c>
      <c r="AI41" s="233" t="s">
        <v>485</v>
      </c>
      <c r="AJ41" s="233" t="s">
        <v>488</v>
      </c>
    </row>
    <row r="42" spans="1:36" x14ac:dyDescent="0.3">
      <c r="A42" s="186" t="s">
        <v>163</v>
      </c>
      <c r="B42" s="1" t="s">
        <v>97</v>
      </c>
      <c r="C42" s="186" t="s">
        <v>245</v>
      </c>
      <c r="D42" s="186" t="str">
        <f>VLOOKUP(Tabla134[[#This Row],[VAR]],FUNDOS!$B$2:$C$18,2,FALSE)</f>
        <v>TT</v>
      </c>
      <c r="E42" s="1" t="s">
        <v>28</v>
      </c>
      <c r="F42" s="1" t="str">
        <f>Tabla134[[#This Row],[VAR]]&amp;Tabla134[[#This Row],[LOTE]]</f>
        <v>ACD15</v>
      </c>
      <c r="G42" s="186" t="s">
        <v>377</v>
      </c>
      <c r="H42" s="1" t="s">
        <v>388</v>
      </c>
      <c r="I42" s="1">
        <v>2024</v>
      </c>
      <c r="J42" s="4">
        <v>1905</v>
      </c>
      <c r="K42" s="2">
        <f t="shared" si="1"/>
        <v>16.93</v>
      </c>
      <c r="L42" s="2">
        <f t="shared" si="1"/>
        <v>16.43</v>
      </c>
      <c r="M42" s="2">
        <f t="shared" si="1"/>
        <v>0.36</v>
      </c>
      <c r="N42" s="2">
        <f>Tabla134[[#This Row],[Total Has]]-Tabla134[[#This Row],[Has Productivas]]-Tabla134[[#This Row],[Has Formación]]</f>
        <v>0.14000000000000001</v>
      </c>
      <c r="O42" s="3">
        <v>32261</v>
      </c>
      <c r="P42" s="3">
        <v>31302</v>
      </c>
      <c r="Q42" s="3">
        <v>684</v>
      </c>
      <c r="R42" s="3">
        <f>Tabla134[[#This Row],[Total Espacios]]-Tabla134[[#This Row],[Pltas. Prod.]]-Tabla134[[#This Row],[Pltas Formación]]</f>
        <v>275</v>
      </c>
      <c r="S42" s="95">
        <v>1.5</v>
      </c>
      <c r="T42" s="95">
        <v>3.5</v>
      </c>
      <c r="U42" s="2" t="s">
        <v>7</v>
      </c>
      <c r="V42" s="99">
        <v>44800</v>
      </c>
      <c r="W42" s="1">
        <f ca="1">IF(INT((TODAY()-Tabla134[[#This Row],[Fecha plantación]])/365)&gt;30,"",INT((TODAY()-Tabla134[[#This Row],[Fecha plantación]])/365))</f>
        <v>3</v>
      </c>
      <c r="X42" s="1" t="s">
        <v>12</v>
      </c>
      <c r="Y42" s="99">
        <v>36463</v>
      </c>
      <c r="Z42" s="1">
        <f ca="1">INT(YEARFRAC(Tabla134[[#This Row],[Fecha nacimiento]],TODAY()))</f>
        <v>26</v>
      </c>
      <c r="AA42" s="239">
        <f>IFERROR(VLOOKUP(Tabla134[[#This Row],[Supervisor de lote]],'DATABASE DATOS SUP'!$B$2:$D$59,3,FALSE),"-")</f>
        <v>935187967</v>
      </c>
      <c r="AB42" s="239" t="str">
        <f>IFERROR(VLOOKUP(Tabla134[[#This Row],[Supervisor de lote]],'DATABASE DATOS SUP'!$B$2:$E$59,4,FALSE),"-")</f>
        <v>La greda Nueva</v>
      </c>
      <c r="AC42" s="240" t="str">
        <f>IFERROR(VLOOKUP(Tabla134[[#This Row],[Supervisor de lote]],Tabla1[],7,FALSE),"")</f>
        <v>Tambogrande</v>
      </c>
      <c r="AD42" s="239" t="str">
        <f>IFERROR(VLOOKUP(Tabla134[[#This Row],[Supervisor de lote]],'DATABASE DATOS SUP'!$B$2:$F$59,5,FALSE),"-")</f>
        <v>Educación secundaria</v>
      </c>
      <c r="AE42" s="1"/>
      <c r="AF42" s="218" t="s">
        <v>333</v>
      </c>
      <c r="AG42" s="75" t="s">
        <v>27</v>
      </c>
      <c r="AH42" s="233" t="s">
        <v>470</v>
      </c>
      <c r="AI42" s="233" t="s">
        <v>485</v>
      </c>
      <c r="AJ42" s="233" t="s">
        <v>488</v>
      </c>
    </row>
    <row r="43" spans="1:36" x14ac:dyDescent="0.3">
      <c r="A43" s="186" t="s">
        <v>163</v>
      </c>
      <c r="B43" s="1" t="s">
        <v>98</v>
      </c>
      <c r="C43" s="186" t="s">
        <v>245</v>
      </c>
      <c r="D43" s="186" t="str">
        <f>VLOOKUP(Tabla134[[#This Row],[VAR]],FUNDOS!$B$2:$C$18,2,FALSE)</f>
        <v>TT</v>
      </c>
      <c r="E43" s="1" t="s">
        <v>28</v>
      </c>
      <c r="F43" s="1" t="str">
        <f>Tabla134[[#This Row],[VAR]]&amp;Tabla134[[#This Row],[LOTE]]</f>
        <v>ACE15</v>
      </c>
      <c r="G43" s="186" t="s">
        <v>377</v>
      </c>
      <c r="H43" s="1" t="s">
        <v>388</v>
      </c>
      <c r="I43" s="1">
        <v>2024</v>
      </c>
      <c r="J43" s="4">
        <v>1905</v>
      </c>
      <c r="K43" s="2">
        <f t="shared" si="1"/>
        <v>7.51</v>
      </c>
      <c r="L43" s="2">
        <f t="shared" si="1"/>
        <v>7.38</v>
      </c>
      <c r="M43" s="2">
        <f t="shared" si="1"/>
        <v>0.1</v>
      </c>
      <c r="N43" s="2">
        <f>Tabla134[[#This Row],[Total Has]]-Tabla134[[#This Row],[Has Productivas]]-Tabla134[[#This Row],[Has Formación]]</f>
        <v>2.9999999999999888E-2</v>
      </c>
      <c r="O43" s="3">
        <v>14314</v>
      </c>
      <c r="P43" s="3">
        <v>14051</v>
      </c>
      <c r="Q43" s="3">
        <v>187</v>
      </c>
      <c r="R43" s="3">
        <f>Tabla134[[#This Row],[Total Espacios]]-Tabla134[[#This Row],[Pltas. Prod.]]-Tabla134[[#This Row],[Pltas Formación]]</f>
        <v>76</v>
      </c>
      <c r="S43" s="95">
        <v>1.5</v>
      </c>
      <c r="T43" s="95">
        <v>3.5</v>
      </c>
      <c r="U43" s="2" t="s">
        <v>7</v>
      </c>
      <c r="V43" s="99">
        <v>44798</v>
      </c>
      <c r="W43" s="1">
        <f ca="1">IF(INT((TODAY()-Tabla134[[#This Row],[Fecha plantación]])/365)&gt;30,"",INT((TODAY()-Tabla134[[#This Row],[Fecha plantación]])/365))</f>
        <v>3</v>
      </c>
      <c r="X43" s="1" t="s">
        <v>12</v>
      </c>
      <c r="Y43" s="99">
        <v>36463</v>
      </c>
      <c r="Z43" s="1">
        <f ca="1">INT(YEARFRAC(Tabla134[[#This Row],[Fecha nacimiento]],TODAY()))</f>
        <v>26</v>
      </c>
      <c r="AA43" s="239">
        <f>IFERROR(VLOOKUP(Tabla134[[#This Row],[Supervisor de lote]],'DATABASE DATOS SUP'!$B$2:$D$59,3,FALSE),"-")</f>
        <v>935187967</v>
      </c>
      <c r="AB43" s="239" t="str">
        <f>IFERROR(VLOOKUP(Tabla134[[#This Row],[Supervisor de lote]],'DATABASE DATOS SUP'!$B$2:$E$59,4,FALSE),"-")</f>
        <v>La greda Nueva</v>
      </c>
      <c r="AC43" s="240" t="str">
        <f>IFERROR(VLOOKUP(Tabla134[[#This Row],[Supervisor de lote]],Tabla1[],7,FALSE),"")</f>
        <v>Tambogrande</v>
      </c>
      <c r="AD43" s="239" t="str">
        <f>IFERROR(VLOOKUP(Tabla134[[#This Row],[Supervisor de lote]],'DATABASE DATOS SUP'!$B$2:$F$59,5,FALSE),"-")</f>
        <v>Educación secundaria</v>
      </c>
      <c r="AE43" s="1"/>
      <c r="AF43" s="218" t="s">
        <v>333</v>
      </c>
      <c r="AG43" s="75" t="s">
        <v>27</v>
      </c>
      <c r="AH43" s="233" t="s">
        <v>470</v>
      </c>
      <c r="AI43" s="233" t="s">
        <v>485</v>
      </c>
      <c r="AJ43" s="233" t="s">
        <v>488</v>
      </c>
    </row>
    <row r="44" spans="1:36" x14ac:dyDescent="0.3">
      <c r="A44" s="187" t="s">
        <v>105</v>
      </c>
      <c r="B44" s="1" t="s">
        <v>6</v>
      </c>
      <c r="C44" s="187" t="s">
        <v>242</v>
      </c>
      <c r="D44" s="187" t="str">
        <f>VLOOKUP(Tabla134[[#This Row],[VAR]],FUNDOS!$B$2:$C$18,2,FALSE)</f>
        <v>T4</v>
      </c>
      <c r="E44" s="1" t="s">
        <v>372</v>
      </c>
      <c r="F44" s="1" t="str">
        <f>Tabla134[[#This Row],[VAR]]&amp;Tabla134[[#This Row],[LOTE]]</f>
        <v>TMA04</v>
      </c>
      <c r="G44" s="186" t="s">
        <v>376</v>
      </c>
      <c r="H44" s="1" t="s">
        <v>349</v>
      </c>
      <c r="I44" s="1">
        <v>2024</v>
      </c>
      <c r="J44" s="4">
        <v>1780</v>
      </c>
      <c r="K44" s="2">
        <f t="shared" si="1"/>
        <v>15.06</v>
      </c>
      <c r="L44" s="2">
        <f t="shared" si="1"/>
        <v>9.82</v>
      </c>
      <c r="M44" s="2">
        <f t="shared" si="1"/>
        <v>0.36</v>
      </c>
      <c r="N44" s="2">
        <f>Tabla134[[#This Row],[Total Has]]-Tabla134[[#This Row],[Has Productivas]]-Tabla134[[#This Row],[Has Formación]]</f>
        <v>4.88</v>
      </c>
      <c r="O44" s="3">
        <v>26809</v>
      </c>
      <c r="P44" s="3">
        <f>9.82*Tabla134[[#This Row],[Densidades]]</f>
        <v>17479.600000000002</v>
      </c>
      <c r="Q44" s="3">
        <v>644</v>
      </c>
      <c r="R44" s="3">
        <f>Tabla134[[#This Row],[Total Espacios]]-Tabla134[[#This Row],[Pltas. Prod.]]-Tabla134[[#This Row],[Pltas Formación]]</f>
        <v>8685.3999999999978</v>
      </c>
      <c r="S44" s="95">
        <v>1.6</v>
      </c>
      <c r="T44" s="95">
        <v>3.5</v>
      </c>
      <c r="U44" s="2" t="s">
        <v>7</v>
      </c>
      <c r="V44" s="99">
        <v>43389</v>
      </c>
      <c r="W44" s="1">
        <f ca="1">IF(INT((TODAY()-Tabla134[[#This Row],[Fecha plantación]])/365)&gt;30,"",INT((TODAY()-Tabla134[[#This Row],[Fecha plantación]])/365))</f>
        <v>7</v>
      </c>
      <c r="X44" s="1" t="s">
        <v>8</v>
      </c>
      <c r="Y44" s="99">
        <v>28288</v>
      </c>
      <c r="Z44" s="1">
        <f ca="1">INT(YEARFRAC(Tabla134[[#This Row],[Fecha nacimiento]],TODAY()))</f>
        <v>49</v>
      </c>
      <c r="AA44" s="239">
        <f>IFERROR(VLOOKUP(Tabla134[[#This Row],[Supervisor de lote]],'DATABASE DATOS SUP'!$B$2:$D$59,3,FALSE),"-")</f>
        <v>947296806</v>
      </c>
      <c r="AB44" s="239" t="str">
        <f>IFERROR(VLOOKUP(Tabla134[[#This Row],[Supervisor de lote]],'DATABASE DATOS SUP'!$B$2:$E$59,4,FALSE),"-")</f>
        <v>Santa Sara Medio Piura</v>
      </c>
      <c r="AC44" s="240" t="str">
        <f>IFERROR(VLOOKUP(Tabla134[[#This Row],[Supervisor de lote]],Tabla1[],7,FALSE),"")</f>
        <v>Medio Piura</v>
      </c>
      <c r="AD44" s="239" t="str">
        <f>IFERROR(VLOOKUP(Tabla134[[#This Row],[Supervisor de lote]],'DATABASE DATOS SUP'!$B$2:$F$59,5,FALSE),"-")</f>
        <v>Educación secundaria</v>
      </c>
      <c r="AE44" s="1"/>
      <c r="AF44" s="102" t="s">
        <v>303</v>
      </c>
      <c r="AG44" s="75" t="s">
        <v>9</v>
      </c>
      <c r="AH44" s="233" t="s">
        <v>468</v>
      </c>
      <c r="AI44" s="233" t="s">
        <v>484</v>
      </c>
      <c r="AJ44" s="233" t="s">
        <v>487</v>
      </c>
    </row>
    <row r="45" spans="1:36" x14ac:dyDescent="0.3">
      <c r="A45" s="187" t="s">
        <v>105</v>
      </c>
      <c r="B45" s="1" t="s">
        <v>11</v>
      </c>
      <c r="C45" s="187" t="s">
        <v>242</v>
      </c>
      <c r="D45" s="187" t="str">
        <f>VLOOKUP(Tabla134[[#This Row],[VAR]],FUNDOS!$B$2:$C$18,2,FALSE)</f>
        <v>T4</v>
      </c>
      <c r="E45" s="1" t="s">
        <v>372</v>
      </c>
      <c r="F45" s="1" t="str">
        <f>Tabla134[[#This Row],[VAR]]&amp;Tabla134[[#This Row],[LOTE]]</f>
        <v>TMA05</v>
      </c>
      <c r="G45" s="186" t="s">
        <v>376</v>
      </c>
      <c r="H45" s="1" t="s">
        <v>349</v>
      </c>
      <c r="I45" s="1">
        <v>2024</v>
      </c>
      <c r="J45" s="4">
        <v>2133.3778371161548</v>
      </c>
      <c r="K45" s="255">
        <f t="shared" si="1"/>
        <v>10</v>
      </c>
      <c r="L45" s="2">
        <f t="shared" si="1"/>
        <v>7.23</v>
      </c>
      <c r="M45" s="2">
        <f t="shared" si="1"/>
        <v>0.34</v>
      </c>
      <c r="N45" s="2">
        <f>Tabla134[[#This Row],[Total Has]]-Tabla134[[#This Row],[Has Productivas]]-Tabla134[[#This Row],[Has Formación]]</f>
        <v>2.4299999999999997</v>
      </c>
      <c r="O45" s="256">
        <v>21328</v>
      </c>
      <c r="P45" s="3">
        <f>7.23*Tabla134[[#This Row],[Densidades]]</f>
        <v>15424.3217623498</v>
      </c>
      <c r="Q45" s="3">
        <v>719</v>
      </c>
      <c r="R45" s="3">
        <f>Tabla134[[#This Row],[Total Espacios]]-Tabla134[[#This Row],[Pltas. Prod.]]-Tabla134[[#This Row],[Pltas Formación]]</f>
        <v>5184.6782376501997</v>
      </c>
      <c r="S45" s="95">
        <v>1.33</v>
      </c>
      <c r="T45" s="95">
        <v>3.5</v>
      </c>
      <c r="U45" s="2" t="s">
        <v>7</v>
      </c>
      <c r="V45" s="99">
        <v>42593</v>
      </c>
      <c r="W45" s="1">
        <f ca="1">IF(INT((TODAY()-Tabla134[[#This Row],[Fecha plantación]])/365)&gt;30,"",INT((TODAY()-Tabla134[[#This Row],[Fecha plantación]])/365))</f>
        <v>9</v>
      </c>
      <c r="X45" s="1" t="s">
        <v>12</v>
      </c>
      <c r="Y45" s="1"/>
      <c r="Z45" s="1"/>
      <c r="AA45" s="239" t="str">
        <f>IFERROR(VLOOKUP(Tabla134[[#This Row],[Supervisor de lote]],'DATABASE DATOS SUP'!$B$2:$D$59,3,FALSE),"-")</f>
        <v>solicitar</v>
      </c>
      <c r="AB45" s="239" t="str">
        <f>IFERROR(VLOOKUP(Tabla134[[#This Row],[Supervisor de lote]],'DATABASE DATOS SUP'!$B$2:$E$59,4,FALSE),"-")</f>
        <v>solicitar</v>
      </c>
      <c r="AC45" s="240" t="str">
        <f>IFERROR(VLOOKUP(Tabla134[[#This Row],[Supervisor de lote]],Tabla1[],7,FALSE),"")</f>
        <v>-</v>
      </c>
      <c r="AD45" s="239" t="str">
        <f>IFERROR(VLOOKUP(Tabla134[[#This Row],[Supervisor de lote]],'DATABASE DATOS SUP'!$B$2:$F$59,5,FALSE),"-")</f>
        <v>solicitar</v>
      </c>
      <c r="AE45" s="1"/>
      <c r="AF45" s="102" t="s">
        <v>202</v>
      </c>
      <c r="AG45" s="75" t="s">
        <v>9</v>
      </c>
      <c r="AH45" s="233" t="s">
        <v>468</v>
      </c>
      <c r="AI45" s="233" t="s">
        <v>484</v>
      </c>
      <c r="AJ45" s="233" t="s">
        <v>487</v>
      </c>
    </row>
    <row r="46" spans="1:36" x14ac:dyDescent="0.3">
      <c r="A46" s="187" t="s">
        <v>105</v>
      </c>
      <c r="B46" s="1" t="s">
        <v>13</v>
      </c>
      <c r="C46" s="187" t="s">
        <v>242</v>
      </c>
      <c r="D46" s="187" t="str">
        <f>VLOOKUP(Tabla134[[#This Row],[VAR]],FUNDOS!$B$2:$C$18,2,FALSE)</f>
        <v>T4</v>
      </c>
      <c r="E46" s="1" t="s">
        <v>372</v>
      </c>
      <c r="F46" s="1" t="str">
        <f>Tabla134[[#This Row],[VAR]]&amp;Tabla134[[#This Row],[LOTE]]</f>
        <v>TMA06</v>
      </c>
      <c r="G46" s="186" t="s">
        <v>376</v>
      </c>
      <c r="H46" s="1" t="s">
        <v>349</v>
      </c>
      <c r="I46" s="1">
        <v>2024</v>
      </c>
      <c r="J46" s="4">
        <v>2132.2829131652661</v>
      </c>
      <c r="K46" s="2">
        <f t="shared" si="1"/>
        <v>14.28</v>
      </c>
      <c r="L46" s="2">
        <f t="shared" si="1"/>
        <v>6.08</v>
      </c>
      <c r="M46" s="2">
        <f t="shared" si="1"/>
        <v>1.42</v>
      </c>
      <c r="N46" s="2">
        <f>Tabla134[[#This Row],[Total Has]]-Tabla134[[#This Row],[Has Productivas]]-Tabla134[[#This Row],[Has Formación]]</f>
        <v>6.7799999999999994</v>
      </c>
      <c r="O46" s="3">
        <v>30449</v>
      </c>
      <c r="P46" s="3">
        <f>6.08*Tabla134[[#This Row],[Densidades]]</f>
        <v>12964.280112044818</v>
      </c>
      <c r="Q46" s="3">
        <v>3033</v>
      </c>
      <c r="R46" s="3">
        <f>Tabla134[[#This Row],[Total Espacios]]-Tabla134[[#This Row],[Pltas. Prod.]]-Tabla134[[#This Row],[Pltas Formación]]</f>
        <v>14451.71988795518</v>
      </c>
      <c r="S46" s="95">
        <v>1.33</v>
      </c>
      <c r="T46" s="95">
        <v>3.5</v>
      </c>
      <c r="U46" s="2" t="s">
        <v>7</v>
      </c>
      <c r="V46" s="99">
        <v>42590</v>
      </c>
      <c r="W46" s="1">
        <f ca="1">IF(INT((TODAY()-Tabla134[[#This Row],[Fecha plantación]])/365)&gt;30,"",INT((TODAY()-Tabla134[[#This Row],[Fecha plantación]])/365))</f>
        <v>9</v>
      </c>
      <c r="X46" s="1" t="s">
        <v>12</v>
      </c>
      <c r="Y46" s="1"/>
      <c r="Z46" s="1"/>
      <c r="AA46" s="239" t="str">
        <f>IFERROR(VLOOKUP(Tabla134[[#This Row],[Supervisor de lote]],'DATABASE DATOS SUP'!$B$2:$D$59,3,FALSE),"-")</f>
        <v>solicitar</v>
      </c>
      <c r="AB46" s="239" t="str">
        <f>IFERROR(VLOOKUP(Tabla134[[#This Row],[Supervisor de lote]],'DATABASE DATOS SUP'!$B$2:$E$59,4,FALSE),"-")</f>
        <v>solicitar</v>
      </c>
      <c r="AC46" s="240" t="str">
        <f>IFERROR(VLOOKUP(Tabla134[[#This Row],[Supervisor de lote]],Tabla1[],7,FALSE),"")</f>
        <v>-</v>
      </c>
      <c r="AD46" s="239" t="str">
        <f>IFERROR(VLOOKUP(Tabla134[[#This Row],[Supervisor de lote]],'DATABASE DATOS SUP'!$B$2:$F$59,5,FALSE),"-")</f>
        <v>solicitar</v>
      </c>
      <c r="AE46" s="1"/>
      <c r="AF46" s="102" t="s">
        <v>202</v>
      </c>
      <c r="AG46" s="75" t="s">
        <v>9</v>
      </c>
      <c r="AH46" s="233" t="s">
        <v>468</v>
      </c>
      <c r="AI46" s="233" t="s">
        <v>484</v>
      </c>
      <c r="AJ46" s="233" t="s">
        <v>487</v>
      </c>
    </row>
    <row r="47" spans="1:36" x14ac:dyDescent="0.3">
      <c r="A47" s="187" t="s">
        <v>105</v>
      </c>
      <c r="B47" s="1" t="s">
        <v>14</v>
      </c>
      <c r="C47" s="187" t="s">
        <v>242</v>
      </c>
      <c r="D47" s="187" t="str">
        <f>VLOOKUP(Tabla134[[#This Row],[VAR]],FUNDOS!$B$2:$C$18,2,FALSE)</f>
        <v>T4</v>
      </c>
      <c r="E47" s="1" t="s">
        <v>372</v>
      </c>
      <c r="F47" s="1" t="str">
        <f>Tabla134[[#This Row],[VAR]]&amp;Tabla134[[#This Row],[LOTE]]</f>
        <v>TMB05</v>
      </c>
      <c r="G47" s="186" t="s">
        <v>376</v>
      </c>
      <c r="H47" s="1" t="s">
        <v>349</v>
      </c>
      <c r="I47" s="1">
        <v>2024</v>
      </c>
      <c r="J47" s="4">
        <v>2132</v>
      </c>
      <c r="K47" s="2">
        <f t="shared" si="1"/>
        <v>14.76</v>
      </c>
      <c r="L47" s="2">
        <f t="shared" si="1"/>
        <v>14.4</v>
      </c>
      <c r="M47" s="2">
        <f t="shared" si="1"/>
        <v>0.28000000000000003</v>
      </c>
      <c r="N47" s="2">
        <f>Tabla134[[#This Row],[Total Has]]-Tabla134[[#This Row],[Has Productivas]]-Tabla134[[#This Row],[Has Formación]]</f>
        <v>7.9999999999999405E-2</v>
      </c>
      <c r="O47" s="3">
        <v>31475</v>
      </c>
      <c r="P47" s="3">
        <v>30700</v>
      </c>
      <c r="Q47" s="3">
        <v>589</v>
      </c>
      <c r="R47" s="3">
        <f>Tabla134[[#This Row],[Total Espacios]]-Tabla134[[#This Row],[Pltas. Prod.]]-Tabla134[[#This Row],[Pltas Formación]]</f>
        <v>186</v>
      </c>
      <c r="S47" s="95">
        <v>1.33</v>
      </c>
      <c r="T47" s="95">
        <v>3.5</v>
      </c>
      <c r="U47" s="2" t="s">
        <v>7</v>
      </c>
      <c r="V47" s="99">
        <v>42597</v>
      </c>
      <c r="W47" s="1">
        <f ca="1">IF(INT((TODAY()-Tabla134[[#This Row],[Fecha plantación]])/365)&gt;30,"",INT((TODAY()-Tabla134[[#This Row],[Fecha plantación]])/365))</f>
        <v>9</v>
      </c>
      <c r="X47" s="1" t="s">
        <v>12</v>
      </c>
      <c r="Y47" s="1"/>
      <c r="Z47" s="1"/>
      <c r="AA47" s="239" t="str">
        <f>IFERROR(VLOOKUP(Tabla134[[#This Row],[Supervisor de lote]],'DATABASE DATOS SUP'!$B$2:$D$59,3,FALSE),"-")</f>
        <v>solicitar</v>
      </c>
      <c r="AB47" s="239" t="str">
        <f>IFERROR(VLOOKUP(Tabla134[[#This Row],[Supervisor de lote]],'DATABASE DATOS SUP'!$B$2:$E$59,4,FALSE),"-")</f>
        <v>Caserío El Papayo Medio Piura</v>
      </c>
      <c r="AC47" s="240" t="str">
        <f>IFERROR(VLOOKUP(Tabla134[[#This Row],[Supervisor de lote]],Tabla1[],7,FALSE),"")</f>
        <v>El Papayo</v>
      </c>
      <c r="AD47" s="239" t="str">
        <f>IFERROR(VLOOKUP(Tabla134[[#This Row],[Supervisor de lote]],'DATABASE DATOS SUP'!$B$2:$F$59,5,FALSE),"-")</f>
        <v>solicitar</v>
      </c>
      <c r="AE47" s="1"/>
      <c r="AF47" s="102" t="s">
        <v>203</v>
      </c>
      <c r="AG47" s="75" t="s">
        <v>9</v>
      </c>
      <c r="AH47" s="233" t="s">
        <v>468</v>
      </c>
      <c r="AI47" s="233" t="s">
        <v>484</v>
      </c>
      <c r="AJ47" s="233" t="s">
        <v>487</v>
      </c>
    </row>
    <row r="48" spans="1:36" x14ac:dyDescent="0.3">
      <c r="A48" s="187" t="s">
        <v>105</v>
      </c>
      <c r="B48" s="1" t="s">
        <v>15</v>
      </c>
      <c r="C48" s="187" t="s">
        <v>242</v>
      </c>
      <c r="D48" s="187" t="str">
        <f>VLOOKUP(Tabla134[[#This Row],[VAR]],FUNDOS!$B$2:$C$18,2,FALSE)</f>
        <v>T4</v>
      </c>
      <c r="E48" s="1" t="s">
        <v>372</v>
      </c>
      <c r="F48" s="1" t="str">
        <f>Tabla134[[#This Row],[VAR]]&amp;Tabla134[[#This Row],[LOTE]]</f>
        <v>TMB06</v>
      </c>
      <c r="G48" s="186" t="s">
        <v>376</v>
      </c>
      <c r="H48" s="1" t="s">
        <v>349</v>
      </c>
      <c r="I48" s="1">
        <v>2024</v>
      </c>
      <c r="J48" s="4">
        <v>2131.9191919191921</v>
      </c>
      <c r="K48" s="2">
        <f t="shared" si="1"/>
        <v>14.85</v>
      </c>
      <c r="L48" s="2">
        <f t="shared" si="1"/>
        <v>11.51</v>
      </c>
      <c r="M48" s="2">
        <f t="shared" si="1"/>
        <v>2.2200000000000002</v>
      </c>
      <c r="N48" s="2">
        <f>Tabla134[[#This Row],[Total Has]]-Tabla134[[#This Row],[Has Productivas]]-Tabla134[[#This Row],[Has Formación]]</f>
        <v>1.1199999999999997</v>
      </c>
      <c r="O48" s="3">
        <v>31659</v>
      </c>
      <c r="P48" s="3">
        <v>24546</v>
      </c>
      <c r="Q48" s="3">
        <v>4723</v>
      </c>
      <c r="R48" s="3">
        <f>Tabla134[[#This Row],[Total Espacios]]-Tabla134[[#This Row],[Pltas. Prod.]]-Tabla134[[#This Row],[Pltas Formación]]</f>
        <v>2390</v>
      </c>
      <c r="S48" s="95">
        <v>1.33</v>
      </c>
      <c r="T48" s="95">
        <v>3.5</v>
      </c>
      <c r="U48" s="2" t="s">
        <v>7</v>
      </c>
      <c r="V48" s="99">
        <v>42833</v>
      </c>
      <c r="W48" s="1">
        <f ca="1">IF(INT((TODAY()-Tabla134[[#This Row],[Fecha plantación]])/365)&gt;30,"",INT((TODAY()-Tabla134[[#This Row],[Fecha plantación]])/365))</f>
        <v>9</v>
      </c>
      <c r="X48" s="1" t="s">
        <v>12</v>
      </c>
      <c r="Y48" s="1"/>
      <c r="Z48" s="1"/>
      <c r="AA48" s="239" t="str">
        <f>IFERROR(VLOOKUP(Tabla134[[#This Row],[Supervisor de lote]],'DATABASE DATOS SUP'!$B$2:$D$59,3,FALSE),"-")</f>
        <v>solicitar</v>
      </c>
      <c r="AB48" s="239" t="str">
        <f>IFERROR(VLOOKUP(Tabla134[[#This Row],[Supervisor de lote]],'DATABASE DATOS SUP'!$B$2:$E$59,4,FALSE),"-")</f>
        <v>Caserío El Papayo Medio Piura</v>
      </c>
      <c r="AC48" s="240" t="str">
        <f>IFERROR(VLOOKUP(Tabla134[[#This Row],[Supervisor de lote]],Tabla1[],7,FALSE),"")</f>
        <v>El Papayo</v>
      </c>
      <c r="AD48" s="239" t="str">
        <f>IFERROR(VLOOKUP(Tabla134[[#This Row],[Supervisor de lote]],'DATABASE DATOS SUP'!$B$2:$F$59,5,FALSE),"-")</f>
        <v>solicitar</v>
      </c>
      <c r="AE48" s="1"/>
      <c r="AF48" s="102" t="s">
        <v>203</v>
      </c>
      <c r="AG48" s="75" t="s">
        <v>9</v>
      </c>
      <c r="AH48" s="233" t="s">
        <v>468</v>
      </c>
      <c r="AI48" s="233" t="s">
        <v>484</v>
      </c>
      <c r="AJ48" s="233" t="s">
        <v>487</v>
      </c>
    </row>
    <row r="49" spans="1:36" x14ac:dyDescent="0.3">
      <c r="A49" s="187" t="s">
        <v>105</v>
      </c>
      <c r="B49" s="1" t="s">
        <v>16</v>
      </c>
      <c r="C49" s="187" t="s">
        <v>242</v>
      </c>
      <c r="D49" s="187" t="str">
        <f>VLOOKUP(Tabla134[[#This Row],[VAR]],FUNDOS!$B$2:$C$18,2,FALSE)</f>
        <v>T4</v>
      </c>
      <c r="E49" s="1" t="s">
        <v>372</v>
      </c>
      <c r="F49" s="1" t="str">
        <f>Tabla134[[#This Row],[VAR]]&amp;Tabla134[[#This Row],[LOTE]]</f>
        <v>TMC04</v>
      </c>
      <c r="G49" s="186" t="s">
        <v>377</v>
      </c>
      <c r="H49" s="1" t="s">
        <v>349</v>
      </c>
      <c r="I49" s="1">
        <v>2024</v>
      </c>
      <c r="J49" s="4">
        <v>2070</v>
      </c>
      <c r="K49" s="2">
        <f t="shared" si="1"/>
        <v>14.21</v>
      </c>
      <c r="L49" s="2">
        <f t="shared" si="1"/>
        <v>14.11</v>
      </c>
      <c r="M49" s="2">
        <f t="shared" si="1"/>
        <v>0.01</v>
      </c>
      <c r="N49" s="2">
        <f>Tabla134[[#This Row],[Total Has]]-Tabla134[[#This Row],[Has Productivas]]-Tabla134[[#This Row],[Has Formación]]</f>
        <v>9.0000000000001426E-2</v>
      </c>
      <c r="O49" s="3">
        <v>29423</v>
      </c>
      <c r="P49" s="3">
        <v>29217</v>
      </c>
      <c r="Q49" s="3">
        <v>31</v>
      </c>
      <c r="R49" s="3">
        <f>Tabla134[[#This Row],[Total Espacios]]-Tabla134[[#This Row],[Pltas. Prod.]]-Tabla134[[#This Row],[Pltas Formación]]</f>
        <v>175</v>
      </c>
      <c r="S49" s="95">
        <v>1.6</v>
      </c>
      <c r="T49" s="95">
        <v>3.5</v>
      </c>
      <c r="U49" s="2" t="s">
        <v>7</v>
      </c>
      <c r="V49" s="99">
        <v>43087</v>
      </c>
      <c r="W49" s="1">
        <f ca="1">IF(INT((TODAY()-Tabla134[[#This Row],[Fecha plantación]])/365)&gt;30,"",INT((TODAY()-Tabla134[[#This Row],[Fecha plantación]])/365))</f>
        <v>8</v>
      </c>
      <c r="X49" s="1" t="s">
        <v>12</v>
      </c>
      <c r="Y49" s="1"/>
      <c r="Z49" s="1"/>
      <c r="AA49" s="239">
        <f>IFERROR(VLOOKUP(Tabla134[[#This Row],[Supervisor de lote]],'DATABASE DATOS SUP'!$B$2:$D$59,3,FALSE),"-")</f>
        <v>923879182</v>
      </c>
      <c r="AB49" s="239" t="str">
        <f>IFERROR(VLOOKUP(Tabla134[[#This Row],[Supervisor de lote]],'DATABASE DATOS SUP'!$B$2:$E$59,4,FALSE),"-")</f>
        <v>Caserio terela medio piura</v>
      </c>
      <c r="AC49" s="240" t="str">
        <f>IFERROR(VLOOKUP(Tabla134[[#This Row],[Supervisor de lote]],Tabla1[],7,FALSE),"")</f>
        <v>Terela</v>
      </c>
      <c r="AD49" s="239" t="str">
        <f>IFERROR(VLOOKUP(Tabla134[[#This Row],[Supervisor de lote]],'DATABASE DATOS SUP'!$B$2:$F$59,5,FALSE),"-")</f>
        <v>Educación secundaria</v>
      </c>
      <c r="AE49" s="1"/>
      <c r="AF49" s="102" t="s">
        <v>204</v>
      </c>
      <c r="AG49" s="75" t="s">
        <v>9</v>
      </c>
      <c r="AH49" s="233" t="s">
        <v>468</v>
      </c>
      <c r="AI49" s="233" t="s">
        <v>484</v>
      </c>
      <c r="AJ49" s="233" t="s">
        <v>487</v>
      </c>
    </row>
    <row r="50" spans="1:36" x14ac:dyDescent="0.3">
      <c r="A50" s="187" t="s">
        <v>105</v>
      </c>
      <c r="B50" s="1" t="s">
        <v>18</v>
      </c>
      <c r="C50" s="187" t="s">
        <v>242</v>
      </c>
      <c r="D50" s="187" t="str">
        <f>VLOOKUP(Tabla134[[#This Row],[VAR]],FUNDOS!$B$2:$C$18,2,FALSE)</f>
        <v>T4</v>
      </c>
      <c r="E50" s="1" t="s">
        <v>372</v>
      </c>
      <c r="F50" s="1" t="str">
        <f>Tabla134[[#This Row],[VAR]]&amp;Tabla134[[#This Row],[LOTE]]</f>
        <v>TMC05</v>
      </c>
      <c r="G50" s="186" t="s">
        <v>377</v>
      </c>
      <c r="H50" s="1" t="s">
        <v>349</v>
      </c>
      <c r="I50" s="1">
        <v>2024</v>
      </c>
      <c r="J50" s="4">
        <v>2070</v>
      </c>
      <c r="K50" s="2">
        <f t="shared" si="1"/>
        <v>14.99</v>
      </c>
      <c r="L50" s="2">
        <f t="shared" si="1"/>
        <v>14.96</v>
      </c>
      <c r="M50" s="2">
        <f t="shared" si="1"/>
        <v>0.03</v>
      </c>
      <c r="N50" s="2">
        <f>Tabla134[[#This Row],[Total Has]]-Tabla134[[#This Row],[Has Productivas]]-Tabla134[[#This Row],[Has Formación]]</f>
        <v>-6.3837823915946501E-16</v>
      </c>
      <c r="O50" s="3">
        <v>31038</v>
      </c>
      <c r="P50" s="3">
        <v>30973</v>
      </c>
      <c r="Q50" s="3">
        <v>52</v>
      </c>
      <c r="R50" s="3">
        <f>Tabla134[[#This Row],[Total Espacios]]-Tabla134[[#This Row],[Pltas. Prod.]]-Tabla134[[#This Row],[Pltas Formación]]</f>
        <v>13</v>
      </c>
      <c r="S50" s="95">
        <v>1.6</v>
      </c>
      <c r="T50" s="95">
        <v>3.5</v>
      </c>
      <c r="U50" s="2" t="s">
        <v>7</v>
      </c>
      <c r="V50" s="99">
        <v>43088</v>
      </c>
      <c r="W50" s="1">
        <f ca="1">IF(INT((TODAY()-Tabla134[[#This Row],[Fecha plantación]])/365)&gt;30,"",INT((TODAY()-Tabla134[[#This Row],[Fecha plantación]])/365))</f>
        <v>8</v>
      </c>
      <c r="X50" s="1" t="s">
        <v>12</v>
      </c>
      <c r="Y50" s="1"/>
      <c r="Z50" s="1"/>
      <c r="AA50" s="239">
        <f>IFERROR(VLOOKUP(Tabla134[[#This Row],[Supervisor de lote]],'DATABASE DATOS SUP'!$B$2:$D$59,3,FALSE),"-")</f>
        <v>986189597</v>
      </c>
      <c r="AB50" s="239" t="str">
        <f>IFERROR(VLOOKUP(Tabla134[[#This Row],[Supervisor de lote]],'DATABASE DATOS SUP'!$B$2:$E$59,4,FALSE),"-")</f>
        <v>Cossio del pomar mz b3 lote 6</v>
      </c>
      <c r="AC50" s="240" t="str">
        <f>IFERROR(VLOOKUP(Tabla134[[#This Row],[Supervisor de lote]],Tabla1[],7,FALSE),"")</f>
        <v>Castilla</v>
      </c>
      <c r="AD50" s="239" t="str">
        <f>IFERROR(VLOOKUP(Tabla134[[#This Row],[Supervisor de lote]],'DATABASE DATOS SUP'!$B$2:$F$59,5,FALSE),"-")</f>
        <v>Educación superior universitaria</v>
      </c>
      <c r="AE50" s="1"/>
      <c r="AF50" s="102" t="s">
        <v>423</v>
      </c>
      <c r="AG50" s="75" t="s">
        <v>9</v>
      </c>
      <c r="AH50" s="233" t="s">
        <v>468</v>
      </c>
      <c r="AI50" s="233" t="s">
        <v>484</v>
      </c>
      <c r="AJ50" s="233" t="s">
        <v>487</v>
      </c>
    </row>
    <row r="51" spans="1:36" x14ac:dyDescent="0.3">
      <c r="A51" s="187" t="s">
        <v>105</v>
      </c>
      <c r="B51" s="1" t="s">
        <v>19</v>
      </c>
      <c r="C51" s="187" t="s">
        <v>242</v>
      </c>
      <c r="D51" s="187" t="str">
        <f>VLOOKUP(Tabla134[[#This Row],[VAR]],FUNDOS!$B$2:$C$18,2,FALSE)</f>
        <v>T4</v>
      </c>
      <c r="E51" s="1" t="s">
        <v>372</v>
      </c>
      <c r="F51" s="1" t="str">
        <f>Tabla134[[#This Row],[VAR]]&amp;Tabla134[[#This Row],[LOTE]]</f>
        <v>TMC06</v>
      </c>
      <c r="G51" s="186" t="s">
        <v>377</v>
      </c>
      <c r="H51" s="1" t="s">
        <v>349</v>
      </c>
      <c r="I51" s="1">
        <v>2024</v>
      </c>
      <c r="J51" s="4">
        <v>2070</v>
      </c>
      <c r="K51" s="2">
        <f t="shared" si="1"/>
        <v>12.8</v>
      </c>
      <c r="L51" s="2">
        <f t="shared" si="1"/>
        <v>12.77</v>
      </c>
      <c r="M51" s="2">
        <f t="shared" si="1"/>
        <v>0.01</v>
      </c>
      <c r="N51" s="2">
        <f>Tabla134[[#This Row],[Total Has]]-Tabla134[[#This Row],[Has Productivas]]-Tabla134[[#This Row],[Has Formación]]</f>
        <v>2.0000000000001135E-2</v>
      </c>
      <c r="O51" s="3">
        <v>26486</v>
      </c>
      <c r="P51" s="3">
        <v>26424</v>
      </c>
      <c r="Q51" s="3">
        <v>12</v>
      </c>
      <c r="R51" s="3">
        <f>Tabla134[[#This Row],[Total Espacios]]-Tabla134[[#This Row],[Pltas. Prod.]]-Tabla134[[#This Row],[Pltas Formación]]</f>
        <v>50</v>
      </c>
      <c r="S51" s="95">
        <v>1.6</v>
      </c>
      <c r="T51" s="95">
        <v>3.5</v>
      </c>
      <c r="U51" s="2" t="s">
        <v>7</v>
      </c>
      <c r="V51" s="99">
        <v>42955</v>
      </c>
      <c r="W51" s="1">
        <f ca="1">IF(INT((TODAY()-Tabla134[[#This Row],[Fecha plantación]])/365)&gt;30,"",INT((TODAY()-Tabla134[[#This Row],[Fecha plantación]])/365))</f>
        <v>8</v>
      </c>
      <c r="X51" s="1" t="s">
        <v>12</v>
      </c>
      <c r="Y51" s="1"/>
      <c r="Z51" s="1"/>
      <c r="AA51" s="239" t="str">
        <f>IFERROR(VLOOKUP(Tabla134[[#This Row],[Supervisor de lote]],'DATABASE DATOS SUP'!$B$2:$D$59,3,FALSE),"-")</f>
        <v>solicitar</v>
      </c>
      <c r="AB51" s="239" t="str">
        <f>IFERROR(VLOOKUP(Tabla134[[#This Row],[Supervisor de lote]],'DATABASE DATOS SUP'!$B$2:$E$59,4,FALSE),"-")</f>
        <v>La Primavera- Castilla</v>
      </c>
      <c r="AC51" s="240" t="str">
        <f>IFERROR(VLOOKUP(Tabla134[[#This Row],[Supervisor de lote]],Tabla1[],7,FALSE),"")</f>
        <v>Castilla</v>
      </c>
      <c r="AD51" s="239" t="str">
        <f>IFERROR(VLOOKUP(Tabla134[[#This Row],[Supervisor de lote]],'DATABASE DATOS SUP'!$B$2:$F$59,5,FALSE),"-")</f>
        <v>solicitar</v>
      </c>
      <c r="AE51" s="1"/>
      <c r="AF51" s="102" t="s">
        <v>205</v>
      </c>
      <c r="AG51" s="75" t="s">
        <v>9</v>
      </c>
      <c r="AH51" s="233" t="s">
        <v>468</v>
      </c>
      <c r="AI51" s="233" t="s">
        <v>484</v>
      </c>
      <c r="AJ51" s="233" t="s">
        <v>487</v>
      </c>
    </row>
    <row r="52" spans="1:36" x14ac:dyDescent="0.3">
      <c r="A52" s="187" t="s">
        <v>105</v>
      </c>
      <c r="B52" s="1" t="s">
        <v>44</v>
      </c>
      <c r="C52" s="187" t="s">
        <v>242</v>
      </c>
      <c r="D52" s="187" t="str">
        <f>VLOOKUP(Tabla134[[#This Row],[VAR]],FUNDOS!$B$2:$C$18,2,FALSE)</f>
        <v>T4</v>
      </c>
      <c r="E52" s="1" t="s">
        <v>372</v>
      </c>
      <c r="F52" s="1" t="str">
        <f>Tabla134[[#This Row],[VAR]]&amp;Tabla134[[#This Row],[LOTE]]</f>
        <v>TMB04</v>
      </c>
      <c r="G52" s="186" t="s">
        <v>377</v>
      </c>
      <c r="H52" s="1" t="s">
        <v>349</v>
      </c>
      <c r="I52" s="1">
        <v>2024</v>
      </c>
      <c r="J52" s="4">
        <v>1780</v>
      </c>
      <c r="K52" s="2">
        <f t="shared" si="1"/>
        <v>14.69</v>
      </c>
      <c r="L52" s="2">
        <f t="shared" si="1"/>
        <v>14.21</v>
      </c>
      <c r="M52" s="2">
        <f t="shared" si="1"/>
        <v>0.06</v>
      </c>
      <c r="N52" s="2">
        <f>Tabla134[[#This Row],[Total Has]]-Tabla134[[#This Row],[Has Productivas]]-Tabla134[[#This Row],[Has Formación]]</f>
        <v>0.41999999999999865</v>
      </c>
      <c r="O52" s="3">
        <v>26147</v>
      </c>
      <c r="P52" s="3">
        <v>25288</v>
      </c>
      <c r="Q52" s="3">
        <v>104</v>
      </c>
      <c r="R52" s="3">
        <f>Tabla134[[#This Row],[Total Espacios]]-Tabla134[[#This Row],[Pltas. Prod.]]-Tabla134[[#This Row],[Pltas Formación]]</f>
        <v>755</v>
      </c>
      <c r="S52" s="95">
        <v>1.6</v>
      </c>
      <c r="T52" s="95">
        <v>3.5</v>
      </c>
      <c r="U52" s="2" t="s">
        <v>7</v>
      </c>
      <c r="V52" s="99">
        <v>44778</v>
      </c>
      <c r="W52" s="1">
        <f ca="1">IF(INT((TODAY()-Tabla134[[#This Row],[Fecha plantación]])/365)&gt;30,"",INT((TODAY()-Tabla134[[#This Row],[Fecha plantación]])/365))</f>
        <v>4</v>
      </c>
      <c r="X52" s="1" t="s">
        <v>12</v>
      </c>
      <c r="Y52" s="99">
        <v>31656</v>
      </c>
      <c r="Z52" s="1">
        <f ca="1">INT(YEARFRAC(Tabla134[[#This Row],[Fecha nacimiento]],TODAY()))</f>
        <v>39</v>
      </c>
      <c r="AA52" s="239">
        <f>IFERROR(VLOOKUP(Tabla134[[#This Row],[Supervisor de lote]],'DATABASE DATOS SUP'!$B$2:$D$59,3,FALSE),"-")</f>
        <v>930668076</v>
      </c>
      <c r="AB52" s="239" t="str">
        <f>IFERROR(VLOOKUP(Tabla134[[#This Row],[Supervisor de lote]],'DATABASE DATOS SUP'!$B$2:$E$59,4,FALSE),"-")</f>
        <v xml:space="preserve">Calle Callao 625 Castilla </v>
      </c>
      <c r="AC52" s="240" t="str">
        <f>IFERROR(VLOOKUP(Tabla134[[#This Row],[Supervisor de lote]],Tabla1[],7,FALSE),"")</f>
        <v>Castilla</v>
      </c>
      <c r="AD52" s="239" t="str">
        <f>IFERROR(VLOOKUP(Tabla134[[#This Row],[Supervisor de lote]],'DATABASE DATOS SUP'!$B$2:$F$59,5,FALSE),"-")</f>
        <v>Educación superior universitaria</v>
      </c>
      <c r="AE52" s="1"/>
      <c r="AF52" s="102" t="s">
        <v>289</v>
      </c>
      <c r="AG52" s="75" t="s">
        <v>9</v>
      </c>
      <c r="AH52" s="233" t="s">
        <v>468</v>
      </c>
      <c r="AI52" s="233" t="s">
        <v>484</v>
      </c>
      <c r="AJ52" s="233" t="s">
        <v>487</v>
      </c>
    </row>
    <row r="53" spans="1:36" x14ac:dyDescent="0.3">
      <c r="A53" s="186" t="s">
        <v>109</v>
      </c>
      <c r="B53" s="1" t="s">
        <v>59</v>
      </c>
      <c r="C53" s="186" t="s">
        <v>246</v>
      </c>
      <c r="D53" s="186" t="str">
        <f>VLOOKUP(Tabla134[[#This Row],[VAR]],FUNDOS!$B$2:$C$18,2,FALSE)</f>
        <v>T9</v>
      </c>
      <c r="E53" s="1" t="s">
        <v>372</v>
      </c>
      <c r="F53" s="1" t="str">
        <f>Tabla134[[#This Row],[VAR]]&amp;Tabla134[[#This Row],[LOTE]]</f>
        <v>CCB07</v>
      </c>
      <c r="G53" s="186" t="s">
        <v>376</v>
      </c>
      <c r="H53" s="1" t="s">
        <v>351</v>
      </c>
      <c r="I53" s="1">
        <v>2024</v>
      </c>
      <c r="J53" s="4">
        <v>1905</v>
      </c>
      <c r="K53" s="2">
        <f t="shared" si="1"/>
        <v>7.21</v>
      </c>
      <c r="L53" s="2">
        <f t="shared" si="1"/>
        <v>6.89</v>
      </c>
      <c r="M53" s="2">
        <f t="shared" si="1"/>
        <v>0.02</v>
      </c>
      <c r="N53" s="2">
        <f>Tabla134[[#This Row],[Total Has]]-Tabla134[[#This Row],[Has Productivas]]-Tabla134[[#This Row],[Has Formación]]</f>
        <v>0.30000000000000027</v>
      </c>
      <c r="O53" s="3">
        <v>13740</v>
      </c>
      <c r="P53" s="3">
        <v>13119</v>
      </c>
      <c r="Q53" s="3">
        <v>40</v>
      </c>
      <c r="R53" s="3">
        <f>Tabla134[[#This Row],[Total Espacios]]-Tabla134[[#This Row],[Pltas. Prod.]]-Tabla134[[#This Row],[Pltas Formación]]</f>
        <v>581</v>
      </c>
      <c r="S53" s="95">
        <v>1.6</v>
      </c>
      <c r="T53" s="95">
        <v>3.5</v>
      </c>
      <c r="U53" s="2" t="s">
        <v>7</v>
      </c>
      <c r="V53" s="99">
        <v>43442</v>
      </c>
      <c r="W53" s="1">
        <f ca="1">IF(INT((TODAY()-Tabla134[[#This Row],[Fecha plantación]])/365)&gt;30,"",INT((TODAY()-Tabla134[[#This Row],[Fecha plantación]])/365))</f>
        <v>7</v>
      </c>
      <c r="X53" s="1" t="s">
        <v>8</v>
      </c>
      <c r="Y53" s="99">
        <v>33157</v>
      </c>
      <c r="Z53" s="1">
        <f ca="1">INT(YEARFRAC(Tabla134[[#This Row],[Fecha nacimiento]],TODAY()))</f>
        <v>35</v>
      </c>
      <c r="AA53" s="239">
        <f>IFERROR(VLOOKUP(Tabla134[[#This Row],[Supervisor de lote]],'DATABASE DATOS SUP'!$B$2:$D$59,3,FALSE),"-")</f>
        <v>949903628</v>
      </c>
      <c r="AB53" s="239" t="str">
        <f>IFERROR(VLOOKUP(Tabla134[[#This Row],[Supervisor de lote]],'DATABASE DATOS SUP'!$B$2:$E$59,4,FALSE),"-")</f>
        <v>caserío el papayo medio piura</v>
      </c>
      <c r="AC53" s="240" t="str">
        <f>IFERROR(VLOOKUP(Tabla134[[#This Row],[Supervisor de lote]],Tabla1[],7,FALSE),"")</f>
        <v>El Papayo</v>
      </c>
      <c r="AD53" s="239" t="str">
        <f>IFERROR(VLOOKUP(Tabla134[[#This Row],[Supervisor de lote]],'DATABASE DATOS SUP'!$B$2:$F$59,5,FALSE),"-")</f>
        <v>Educación secundaria</v>
      </c>
      <c r="AE53" s="1"/>
      <c r="AF53" s="102" t="s">
        <v>206</v>
      </c>
      <c r="AG53" s="75" t="s">
        <v>9</v>
      </c>
      <c r="AH53" s="233" t="s">
        <v>468</v>
      </c>
      <c r="AI53" s="233" t="s">
        <v>484</v>
      </c>
      <c r="AJ53" s="233" t="s">
        <v>487</v>
      </c>
    </row>
    <row r="54" spans="1:36" x14ac:dyDescent="0.3">
      <c r="A54" s="186" t="s">
        <v>109</v>
      </c>
      <c r="B54" s="1" t="s">
        <v>60</v>
      </c>
      <c r="C54" s="186" t="s">
        <v>246</v>
      </c>
      <c r="D54" s="186" t="str">
        <f>VLOOKUP(Tabla134[[#This Row],[VAR]],FUNDOS!$B$2:$C$18,2,FALSE)</f>
        <v>T9</v>
      </c>
      <c r="E54" s="1" t="s">
        <v>372</v>
      </c>
      <c r="F54" s="1" t="str">
        <f>Tabla134[[#This Row],[VAR]]&amp;Tabla134[[#This Row],[LOTE]]</f>
        <v>CCC07</v>
      </c>
      <c r="G54" s="186" t="s">
        <v>376</v>
      </c>
      <c r="H54" s="1" t="s">
        <v>351</v>
      </c>
      <c r="I54" s="1">
        <v>2024</v>
      </c>
      <c r="J54" s="4">
        <v>1905</v>
      </c>
      <c r="K54" s="2">
        <f t="shared" si="1"/>
        <v>3.77</v>
      </c>
      <c r="L54" s="2">
        <f t="shared" si="1"/>
        <v>3.62</v>
      </c>
      <c r="M54" s="2">
        <f t="shared" si="1"/>
        <v>0.01</v>
      </c>
      <c r="N54" s="2">
        <f>Tabla134[[#This Row],[Total Has]]-Tabla134[[#This Row],[Has Productivas]]-Tabla134[[#This Row],[Has Formación]]</f>
        <v>0.1399999999999999</v>
      </c>
      <c r="O54" s="3">
        <v>7176</v>
      </c>
      <c r="P54" s="3">
        <v>6901</v>
      </c>
      <c r="Q54" s="3">
        <v>15</v>
      </c>
      <c r="R54" s="3">
        <f>Tabla134[[#This Row],[Total Espacios]]-Tabla134[[#This Row],[Pltas. Prod.]]-Tabla134[[#This Row],[Pltas Formación]]</f>
        <v>260</v>
      </c>
      <c r="S54" s="95">
        <v>1.6</v>
      </c>
      <c r="T54" s="95">
        <v>3.5</v>
      </c>
      <c r="U54" s="2" t="s">
        <v>7</v>
      </c>
      <c r="V54" s="99">
        <v>43444</v>
      </c>
      <c r="W54" s="1">
        <f ca="1">IF(INT((TODAY()-Tabla134[[#This Row],[Fecha plantación]])/365)&gt;30,"",INT((TODAY()-Tabla134[[#This Row],[Fecha plantación]])/365))</f>
        <v>7</v>
      </c>
      <c r="X54" s="1" t="s">
        <v>8</v>
      </c>
      <c r="Y54" s="99">
        <v>33157</v>
      </c>
      <c r="Z54" s="1">
        <f ca="1">INT(YEARFRAC(Tabla134[[#This Row],[Fecha nacimiento]],TODAY()))</f>
        <v>35</v>
      </c>
      <c r="AA54" s="239">
        <f>IFERROR(VLOOKUP(Tabla134[[#This Row],[Supervisor de lote]],'DATABASE DATOS SUP'!$B$2:$D$59,3,FALSE),"-")</f>
        <v>949903628</v>
      </c>
      <c r="AB54" s="239" t="str">
        <f>IFERROR(VLOOKUP(Tabla134[[#This Row],[Supervisor de lote]],'DATABASE DATOS SUP'!$B$2:$E$59,4,FALSE),"-")</f>
        <v>caserío el papayo medio piura</v>
      </c>
      <c r="AC54" s="240" t="str">
        <f>IFERROR(VLOOKUP(Tabla134[[#This Row],[Supervisor de lote]],Tabla1[],7,FALSE),"")</f>
        <v>El Papayo</v>
      </c>
      <c r="AD54" s="239" t="str">
        <f>IFERROR(VLOOKUP(Tabla134[[#This Row],[Supervisor de lote]],'DATABASE DATOS SUP'!$B$2:$F$59,5,FALSE),"-")</f>
        <v>Educación secundaria</v>
      </c>
      <c r="AE54" s="1"/>
      <c r="AF54" s="102" t="s">
        <v>206</v>
      </c>
      <c r="AG54" s="75" t="s">
        <v>9</v>
      </c>
      <c r="AH54" s="233" t="s">
        <v>468</v>
      </c>
      <c r="AI54" s="233" t="s">
        <v>484</v>
      </c>
      <c r="AJ54" s="233" t="s">
        <v>487</v>
      </c>
    </row>
    <row r="55" spans="1:36" x14ac:dyDescent="0.3">
      <c r="A55" s="186" t="s">
        <v>117</v>
      </c>
      <c r="B55" s="1" t="s">
        <v>45</v>
      </c>
      <c r="C55" s="186" t="s">
        <v>243</v>
      </c>
      <c r="D55" s="186" t="str">
        <f>VLOOKUP(Tabla134[[#This Row],[VAR]],FUNDOS!$B$2:$C$18,2,FALSE)</f>
        <v>TH</v>
      </c>
      <c r="E55" s="1" t="s">
        <v>136</v>
      </c>
      <c r="F55" s="1" t="str">
        <f>Tabla134[[#This Row],[VAR]]&amp;Tabla134[[#This Row],[LOTE]]</f>
        <v>CHB13</v>
      </c>
      <c r="G55" s="186" t="s">
        <v>377</v>
      </c>
      <c r="H55" s="1" t="s">
        <v>351</v>
      </c>
      <c r="I55" s="1">
        <v>2024</v>
      </c>
      <c r="J55" s="4">
        <v>1905</v>
      </c>
      <c r="K55" s="2">
        <f t="shared" si="1"/>
        <v>8.36</v>
      </c>
      <c r="L55" s="2">
        <f t="shared" si="1"/>
        <v>7.91</v>
      </c>
      <c r="M55" s="2">
        <f t="shared" si="1"/>
        <v>0.36</v>
      </c>
      <c r="N55" s="2">
        <f>Tabla134[[#This Row],[Total Has]]-Tabla134[[#This Row],[Has Productivas]]-Tabla134[[#This Row],[Has Formación]]</f>
        <v>8.9999999999999303E-2</v>
      </c>
      <c r="O55" s="3">
        <v>15921</v>
      </c>
      <c r="P55" s="3">
        <v>15077</v>
      </c>
      <c r="Q55" s="3">
        <v>683</v>
      </c>
      <c r="R55" s="3">
        <f>Tabla134[[#This Row],[Total Espacios]]-Tabla134[[#This Row],[Pltas. Prod.]]-Tabla134[[#This Row],[Pltas Formación]]</f>
        <v>161</v>
      </c>
      <c r="S55" s="95">
        <v>1.6</v>
      </c>
      <c r="T55" s="95">
        <v>3.5</v>
      </c>
      <c r="U55" s="2" t="s">
        <v>7</v>
      </c>
      <c r="V55" s="99">
        <v>45133</v>
      </c>
      <c r="W55" s="1">
        <f ca="1">IF(INT((TODAY()-Tabla134[[#This Row],[Fecha plantación]])/365)&gt;30,"",INT((TODAY()-Tabla134[[#This Row],[Fecha plantación]])/365))</f>
        <v>3</v>
      </c>
      <c r="X55" s="1" t="s">
        <v>12</v>
      </c>
      <c r="Y55" s="99">
        <v>34866</v>
      </c>
      <c r="Z55" s="1">
        <f ca="1">INT(YEARFRAC(Tabla134[[#This Row],[Fecha nacimiento]],TODAY()))</f>
        <v>31</v>
      </c>
      <c r="AA55" s="239">
        <f>IFERROR(VLOOKUP(Tabla134[[#This Row],[Supervisor de lote]],'DATABASE DATOS SUP'!$B$2:$D$59,3,FALSE),"-")</f>
        <v>0</v>
      </c>
      <c r="AB55" s="239">
        <f>IFERROR(VLOOKUP(Tabla134[[#This Row],[Supervisor de lote]],'DATABASE DATOS SUP'!$B$2:$E$59,4,FALSE),"-")</f>
        <v>0</v>
      </c>
      <c r="AC55" s="240">
        <f>IFERROR(VLOOKUP(Tabla134[[#This Row],[Supervisor de lote]],Tabla1[],7,FALSE),"")</f>
        <v>0</v>
      </c>
      <c r="AD55" s="239" t="str">
        <f>IFERROR(VLOOKUP(Tabla134[[#This Row],[Supervisor de lote]],'DATABASE DATOS SUP'!$B$2:$F$59,5,FALSE),"-")</f>
        <v>Educación superior universitaria</v>
      </c>
      <c r="AE55" s="1" t="s">
        <v>332</v>
      </c>
      <c r="AF55" s="102" t="s">
        <v>477</v>
      </c>
      <c r="AG55" s="75" t="s">
        <v>27</v>
      </c>
      <c r="AH55" s="233" t="s">
        <v>154</v>
      </c>
      <c r="AI55" s="233" t="s">
        <v>485</v>
      </c>
      <c r="AJ55" s="233" t="s">
        <v>489</v>
      </c>
    </row>
    <row r="56" spans="1:36" x14ac:dyDescent="0.3">
      <c r="A56" s="186" t="s">
        <v>117</v>
      </c>
      <c r="B56" s="1" t="s">
        <v>47</v>
      </c>
      <c r="C56" s="186" t="s">
        <v>243</v>
      </c>
      <c r="D56" s="186" t="str">
        <f>VLOOKUP(Tabla134[[#This Row],[VAR]],FUNDOS!$B$2:$C$18,2,FALSE)</f>
        <v>TH</v>
      </c>
      <c r="E56" s="1" t="s">
        <v>136</v>
      </c>
      <c r="F56" s="1" t="str">
        <f>Tabla134[[#This Row],[VAR]]&amp;Tabla134[[#This Row],[LOTE]]</f>
        <v>CHB14</v>
      </c>
      <c r="G56" s="186" t="s">
        <v>377</v>
      </c>
      <c r="H56" s="1" t="s">
        <v>351</v>
      </c>
      <c r="I56" s="1">
        <v>2024</v>
      </c>
      <c r="J56" s="4">
        <v>1905</v>
      </c>
      <c r="K56" s="2">
        <f t="shared" si="1"/>
        <v>8.99</v>
      </c>
      <c r="L56" s="2">
        <f t="shared" si="1"/>
        <v>6.91</v>
      </c>
      <c r="M56" s="2">
        <f t="shared" si="1"/>
        <v>1.48</v>
      </c>
      <c r="N56" s="2">
        <f>Tabla134[[#This Row],[Total Has]]-Tabla134[[#This Row],[Has Productivas]]-Tabla134[[#This Row],[Has Formación]]</f>
        <v>0.60000000000000009</v>
      </c>
      <c r="O56" s="3">
        <v>17128</v>
      </c>
      <c r="P56" s="3">
        <v>13166</v>
      </c>
      <c r="Q56" s="3">
        <v>2819</v>
      </c>
      <c r="R56" s="3">
        <f>Tabla134[[#This Row],[Total Espacios]]-Tabla134[[#This Row],[Pltas. Prod.]]-Tabla134[[#This Row],[Pltas Formación]]</f>
        <v>1143</v>
      </c>
      <c r="S56" s="95">
        <v>1.6</v>
      </c>
      <c r="T56" s="95">
        <v>3.5</v>
      </c>
      <c r="U56" s="2" t="s">
        <v>7</v>
      </c>
      <c r="V56" s="99">
        <v>45141</v>
      </c>
      <c r="W56" s="1">
        <f ca="1">IF(INT((TODAY()-Tabla134[[#This Row],[Fecha plantación]])/365)&gt;30,"",INT((TODAY()-Tabla134[[#This Row],[Fecha plantación]])/365))</f>
        <v>3</v>
      </c>
      <c r="X56" s="1" t="s">
        <v>12</v>
      </c>
      <c r="Y56" s="99">
        <v>34866</v>
      </c>
      <c r="Z56" s="1">
        <f ca="1">INT(YEARFRAC(Tabla134[[#This Row],[Fecha nacimiento]],TODAY()))</f>
        <v>31</v>
      </c>
      <c r="AA56" s="239">
        <f>IFERROR(VLOOKUP(Tabla134[[#This Row],[Supervisor de lote]],'DATABASE DATOS SUP'!$B$2:$D$59,3,FALSE),"-")</f>
        <v>0</v>
      </c>
      <c r="AB56" s="239">
        <f>IFERROR(VLOOKUP(Tabla134[[#This Row],[Supervisor de lote]],'DATABASE DATOS SUP'!$B$2:$E$59,4,FALSE),"-")</f>
        <v>0</v>
      </c>
      <c r="AC56" s="240">
        <f>IFERROR(VLOOKUP(Tabla134[[#This Row],[Supervisor de lote]],Tabla1[],7,FALSE),"")</f>
        <v>0</v>
      </c>
      <c r="AD56" s="239" t="str">
        <f>IFERROR(VLOOKUP(Tabla134[[#This Row],[Supervisor de lote]],'DATABASE DATOS SUP'!$B$2:$F$59,5,FALSE),"-")</f>
        <v>Educación superior universitaria</v>
      </c>
      <c r="AE56" s="1" t="s">
        <v>332</v>
      </c>
      <c r="AF56" s="102" t="s">
        <v>477</v>
      </c>
      <c r="AG56" s="75" t="s">
        <v>27</v>
      </c>
      <c r="AH56" s="233" t="s">
        <v>154</v>
      </c>
      <c r="AI56" s="233" t="s">
        <v>485</v>
      </c>
      <c r="AJ56" s="233" t="s">
        <v>489</v>
      </c>
    </row>
    <row r="57" spans="1:36" x14ac:dyDescent="0.3">
      <c r="A57" s="186" t="s">
        <v>418</v>
      </c>
      <c r="B57" s="1" t="s">
        <v>83</v>
      </c>
      <c r="C57" s="186" t="s">
        <v>527</v>
      </c>
      <c r="D57" s="186" t="str">
        <f>VLOOKUP(Tabla134[[#This Row],[VAR]],FUNDOS!$B$2:$C$18,2,FALSE)</f>
        <v>TF</v>
      </c>
      <c r="E57" s="1" t="s">
        <v>136</v>
      </c>
      <c r="F57" s="1" t="str">
        <f>Tabla134[[#This Row],[VAR]]&amp;Tabla134[[#This Row],[LOTE]]</f>
        <v>FCC12</v>
      </c>
      <c r="G57" s="186" t="s">
        <v>379</v>
      </c>
      <c r="H57" s="1" t="s">
        <v>351</v>
      </c>
      <c r="I57" s="1">
        <v>2024</v>
      </c>
      <c r="J57" s="4">
        <v>1905</v>
      </c>
      <c r="K57" s="2">
        <f t="shared" si="1"/>
        <v>13.27</v>
      </c>
      <c r="L57" s="2">
        <f t="shared" si="1"/>
        <v>0</v>
      </c>
      <c r="M57" s="2">
        <f t="shared" si="1"/>
        <v>13.27</v>
      </c>
      <c r="N57" s="2">
        <f>Tabla134[[#This Row],[Total Has]]-Tabla134[[#This Row],[Has Productivas]]-Tabla134[[#This Row],[Has Formación]]</f>
        <v>0</v>
      </c>
      <c r="O57" s="3">
        <v>25279</v>
      </c>
      <c r="P57" s="3">
        <v>0</v>
      </c>
      <c r="Q57" s="3">
        <v>25279</v>
      </c>
      <c r="R57" s="3">
        <f>Tabla134[[#This Row],[Total Espacios]]-Tabla134[[#This Row],[Pltas. Prod.]]-Tabla134[[#This Row],[Pltas Formación]]</f>
        <v>0</v>
      </c>
      <c r="S57" s="95">
        <v>1.75</v>
      </c>
      <c r="T57" s="95">
        <v>3.5</v>
      </c>
      <c r="U57" s="2" t="s">
        <v>338</v>
      </c>
      <c r="V57" s="1"/>
      <c r="W57" s="1" t="str">
        <f ca="1">IF(INT((TODAY()-Tabla134[[#This Row],[Fecha plantación]])/365)&gt;30,"",INT((TODAY()-Tabla134[[#This Row],[Fecha plantación]])/365))</f>
        <v/>
      </c>
      <c r="X57" s="1" t="s">
        <v>8</v>
      </c>
      <c r="Y57" s="99">
        <v>34587</v>
      </c>
      <c r="Z57" s="1">
        <f ca="1">INT(YEARFRAC(Tabla134[[#This Row],[Fecha nacimiento]],TODAY()))</f>
        <v>31</v>
      </c>
      <c r="AA57" s="239">
        <f>IFERROR(VLOOKUP(Tabla134[[#This Row],[Supervisor de lote]],'DATABASE DATOS SUP'!$B$2:$D$59,3,FALSE),"-")</f>
        <v>0</v>
      </c>
      <c r="AB57" s="239">
        <f>IFERROR(VLOOKUP(Tabla134[[#This Row],[Supervisor de lote]],'DATABASE DATOS SUP'!$B$2:$E$59,4,FALSE),"-")</f>
        <v>0</v>
      </c>
      <c r="AC57" s="240">
        <f>IFERROR(VLOOKUP(Tabla134[[#This Row],[Supervisor de lote]],Tabla1[],7,FALSE),"")</f>
        <v>0</v>
      </c>
      <c r="AD57" s="239" t="str">
        <f>IFERROR(VLOOKUP(Tabla134[[#This Row],[Supervisor de lote]],'DATABASE DATOS SUP'!$B$2:$F$59,5,FALSE),"-")</f>
        <v>Educación superior universitaria</v>
      </c>
      <c r="AE57" s="1" t="s">
        <v>323</v>
      </c>
      <c r="AF57" s="102" t="s">
        <v>479</v>
      </c>
      <c r="AG57" s="75" t="s">
        <v>27</v>
      </c>
      <c r="AH57" s="233" t="s">
        <v>470</v>
      </c>
      <c r="AI57" s="233" t="s">
        <v>485</v>
      </c>
      <c r="AJ57" s="233" t="s">
        <v>489</v>
      </c>
    </row>
    <row r="58" spans="1:36" x14ac:dyDescent="0.3">
      <c r="A58" s="186" t="s">
        <v>418</v>
      </c>
      <c r="B58" s="1" t="s">
        <v>84</v>
      </c>
      <c r="C58" s="186" t="s">
        <v>527</v>
      </c>
      <c r="D58" s="186" t="str">
        <f>VLOOKUP(Tabla134[[#This Row],[VAR]],FUNDOS!$B$2:$C$18,2,FALSE)</f>
        <v>TF</v>
      </c>
      <c r="E58" s="1" t="s">
        <v>136</v>
      </c>
      <c r="F58" s="1" t="str">
        <f>Tabla134[[#This Row],[VAR]]&amp;Tabla134[[#This Row],[LOTE]]</f>
        <v>FCC13</v>
      </c>
      <c r="G58" s="186" t="s">
        <v>379</v>
      </c>
      <c r="H58" s="1" t="s">
        <v>351</v>
      </c>
      <c r="I58" s="1">
        <v>2024</v>
      </c>
      <c r="J58" s="4">
        <v>1905</v>
      </c>
      <c r="K58" s="2">
        <f t="shared" si="1"/>
        <v>15.47</v>
      </c>
      <c r="L58" s="2">
        <f t="shared" si="1"/>
        <v>0</v>
      </c>
      <c r="M58" s="2">
        <f t="shared" si="1"/>
        <v>15.47</v>
      </c>
      <c r="N58" s="2">
        <f>Tabla134[[#This Row],[Total Has]]-Tabla134[[#This Row],[Has Productivas]]-Tabla134[[#This Row],[Has Formación]]</f>
        <v>0</v>
      </c>
      <c r="O58" s="3">
        <v>29470</v>
      </c>
      <c r="P58" s="3">
        <v>0</v>
      </c>
      <c r="Q58" s="3">
        <v>29470</v>
      </c>
      <c r="R58" s="3">
        <f>Tabla134[[#This Row],[Total Espacios]]-Tabla134[[#This Row],[Pltas. Prod.]]-Tabla134[[#This Row],[Pltas Formación]]</f>
        <v>0</v>
      </c>
      <c r="S58" s="95">
        <v>1.75</v>
      </c>
      <c r="T58" s="95">
        <v>3.5</v>
      </c>
      <c r="U58" s="2" t="s">
        <v>338</v>
      </c>
      <c r="V58" s="1"/>
      <c r="W58" s="1" t="str">
        <f ca="1">IF(INT((TODAY()-Tabla134[[#This Row],[Fecha plantación]])/365)&gt;30,"",INT((TODAY()-Tabla134[[#This Row],[Fecha plantación]])/365))</f>
        <v/>
      </c>
      <c r="X58" s="1" t="s">
        <v>8</v>
      </c>
      <c r="Y58" s="99">
        <v>34587</v>
      </c>
      <c r="Z58" s="1">
        <f ca="1">INT(YEARFRAC(Tabla134[[#This Row],[Fecha nacimiento]],TODAY()))</f>
        <v>31</v>
      </c>
      <c r="AA58" s="239">
        <f>IFERROR(VLOOKUP(Tabla134[[#This Row],[Supervisor de lote]],'DATABASE DATOS SUP'!$B$2:$D$59,3,FALSE),"-")</f>
        <v>0</v>
      </c>
      <c r="AB58" s="239">
        <f>IFERROR(VLOOKUP(Tabla134[[#This Row],[Supervisor de lote]],'DATABASE DATOS SUP'!$B$2:$E$59,4,FALSE),"-")</f>
        <v>0</v>
      </c>
      <c r="AC58" s="240">
        <f>IFERROR(VLOOKUP(Tabla134[[#This Row],[Supervisor de lote]],Tabla1[],7,FALSE),"")</f>
        <v>0</v>
      </c>
      <c r="AD58" s="239" t="str">
        <f>IFERROR(VLOOKUP(Tabla134[[#This Row],[Supervisor de lote]],'DATABASE DATOS SUP'!$B$2:$F$59,5,FALSE),"-")</f>
        <v>Educación superior universitaria</v>
      </c>
      <c r="AE58" s="1" t="s">
        <v>323</v>
      </c>
      <c r="AF58" s="102" t="s">
        <v>479</v>
      </c>
      <c r="AG58" s="75" t="s">
        <v>27</v>
      </c>
      <c r="AH58" s="233" t="s">
        <v>470</v>
      </c>
      <c r="AI58" s="233" t="s">
        <v>485</v>
      </c>
      <c r="AJ58" s="233" t="s">
        <v>489</v>
      </c>
    </row>
    <row r="59" spans="1:36" x14ac:dyDescent="0.3">
      <c r="A59" s="186" t="s">
        <v>112</v>
      </c>
      <c r="B59" s="1" t="s">
        <v>85</v>
      </c>
      <c r="C59" s="186" t="s">
        <v>247</v>
      </c>
      <c r="D59" s="186" t="str">
        <f>VLOOKUP(Tabla134[[#This Row],[VAR]],FUNDOS!$B$2:$C$18,2,FALSE)</f>
        <v>TS</v>
      </c>
      <c r="E59" s="1" t="s">
        <v>136</v>
      </c>
      <c r="F59" s="1" t="str">
        <f>Tabla134[[#This Row],[VAR]]&amp;Tabla134[[#This Row],[LOTE]]</f>
        <v>SCC14</v>
      </c>
      <c r="G59" s="186" t="s">
        <v>380</v>
      </c>
      <c r="H59" s="1" t="s">
        <v>351</v>
      </c>
      <c r="I59" s="1">
        <v>2024</v>
      </c>
      <c r="J59" s="4">
        <v>1632</v>
      </c>
      <c r="K59" s="2">
        <f t="shared" si="1"/>
        <v>15.17</v>
      </c>
      <c r="L59" s="2">
        <f t="shared" si="1"/>
        <v>11.2</v>
      </c>
      <c r="M59" s="2">
        <f t="shared" si="1"/>
        <v>3.15</v>
      </c>
      <c r="N59" s="2">
        <f>Tabla134[[#This Row],[Total Has]]-Tabla134[[#This Row],[Has Productivas]]-Tabla134[[#This Row],[Has Formación]]</f>
        <v>0.82000000000000073</v>
      </c>
      <c r="O59" s="3">
        <v>24753</v>
      </c>
      <c r="P59" s="3">
        <v>18271</v>
      </c>
      <c r="Q59" s="3">
        <v>5148</v>
      </c>
      <c r="R59" s="3">
        <f>Tabla134[[#This Row],[Total Espacios]]-Tabla134[[#This Row],[Pltas. Prod.]]-Tabla134[[#This Row],[Pltas Formación]]</f>
        <v>1334</v>
      </c>
      <c r="S59" s="95">
        <v>1.75</v>
      </c>
      <c r="T59" s="95">
        <v>3.5</v>
      </c>
      <c r="U59" s="2" t="s">
        <v>7</v>
      </c>
      <c r="V59" s="99">
        <v>42641</v>
      </c>
      <c r="W59" s="1">
        <f ca="1">IF(INT((TODAY()-Tabla134[[#This Row],[Fecha plantación]])/365)&gt;30,"",INT((TODAY()-Tabla134[[#This Row],[Fecha plantación]])/365))</f>
        <v>9</v>
      </c>
      <c r="X59" s="1" t="s">
        <v>8</v>
      </c>
      <c r="Y59" s="99">
        <v>32070</v>
      </c>
      <c r="Z59" s="1">
        <f ca="1">INT(YEARFRAC(Tabla134[[#This Row],[Fecha nacimiento]],TODAY()))</f>
        <v>38</v>
      </c>
      <c r="AA59" s="239">
        <f>IFERROR(VLOOKUP(Tabla134[[#This Row],[Supervisor de lote]],'DATABASE DATOS SUP'!$B$2:$D$59,3,FALSE),"-")</f>
        <v>990917172</v>
      </c>
      <c r="AB59" s="239" t="str">
        <f>IFERROR(VLOOKUP(Tabla134[[#This Row],[Supervisor de lote]],'DATABASE DATOS SUP'!$B$2:$E$59,4,FALSE),"-")</f>
        <v>AAHH los almendros MZO lote13 castilla</v>
      </c>
      <c r="AC59" s="240" t="str">
        <f>IFERROR(VLOOKUP(Tabla134[[#This Row],[Supervisor de lote]],Tabla1[],7,FALSE),"")</f>
        <v>Castilla</v>
      </c>
      <c r="AD59" s="239" t="str">
        <f>IFERROR(VLOOKUP(Tabla134[[#This Row],[Supervisor de lote]],'DATABASE DATOS SUP'!$B$2:$F$59,5,FALSE),"-")</f>
        <v>Educación secundaria</v>
      </c>
      <c r="AE59" s="1"/>
      <c r="AF59" s="102" t="s">
        <v>442</v>
      </c>
      <c r="AG59" s="75" t="s">
        <v>27</v>
      </c>
      <c r="AH59" s="233" t="s">
        <v>470</v>
      </c>
      <c r="AI59" s="233" t="s">
        <v>485</v>
      </c>
      <c r="AJ59" s="233" t="s">
        <v>489</v>
      </c>
    </row>
    <row r="60" spans="1:36" x14ac:dyDescent="0.3">
      <c r="A60" s="186" t="s">
        <v>112</v>
      </c>
      <c r="B60" s="1" t="s">
        <v>86</v>
      </c>
      <c r="C60" s="186" t="s">
        <v>247</v>
      </c>
      <c r="D60" s="186" t="str">
        <f>VLOOKUP(Tabla134[[#This Row],[VAR]],FUNDOS!$B$2:$C$18,2,FALSE)</f>
        <v>TS</v>
      </c>
      <c r="E60" s="1" t="s">
        <v>136</v>
      </c>
      <c r="F60" s="1" t="str">
        <f>Tabla134[[#This Row],[VAR]]&amp;Tabla134[[#This Row],[LOTE]]</f>
        <v>SCC15</v>
      </c>
      <c r="G60" s="186" t="s">
        <v>381</v>
      </c>
      <c r="H60" s="1" t="s">
        <v>351</v>
      </c>
      <c r="I60" s="1">
        <v>2024</v>
      </c>
      <c r="J60" s="4">
        <v>1632</v>
      </c>
      <c r="K60" s="2">
        <f t="shared" si="1"/>
        <v>13.75</v>
      </c>
      <c r="L60" s="2">
        <f t="shared" si="1"/>
        <v>13.23</v>
      </c>
      <c r="M60" s="2">
        <f t="shared" si="1"/>
        <v>0.22</v>
      </c>
      <c r="N60" s="2">
        <f>Tabla134[[#This Row],[Total Has]]-Tabla134[[#This Row],[Has Productivas]]-Tabla134[[#This Row],[Has Formación]]</f>
        <v>0.2999999999999996</v>
      </c>
      <c r="O60" s="3">
        <v>22441</v>
      </c>
      <c r="P60" s="3">
        <v>21595</v>
      </c>
      <c r="Q60" s="3">
        <v>367</v>
      </c>
      <c r="R60" s="3">
        <f>Tabla134[[#This Row],[Total Espacios]]-Tabla134[[#This Row],[Pltas. Prod.]]-Tabla134[[#This Row],[Pltas Formación]]</f>
        <v>479</v>
      </c>
      <c r="S60" s="95">
        <v>1.75</v>
      </c>
      <c r="T60" s="95">
        <v>3.5</v>
      </c>
      <c r="U60" s="2" t="s">
        <v>7</v>
      </c>
      <c r="V60" s="99">
        <v>42642</v>
      </c>
      <c r="W60" s="1">
        <f ca="1">IF(INT((TODAY()-Tabla134[[#This Row],[Fecha plantación]])/365)&gt;30,"",INT((TODAY()-Tabla134[[#This Row],[Fecha plantación]])/365))</f>
        <v>9</v>
      </c>
      <c r="X60" s="1" t="s">
        <v>8</v>
      </c>
      <c r="Y60" s="99">
        <v>32070</v>
      </c>
      <c r="Z60" s="1">
        <f ca="1">INT(YEARFRAC(Tabla134[[#This Row],[Fecha nacimiento]],TODAY()))</f>
        <v>38</v>
      </c>
      <c r="AA60" s="239">
        <f>IFERROR(VLOOKUP(Tabla134[[#This Row],[Supervisor de lote]],'DATABASE DATOS SUP'!$B$2:$D$59,3,FALSE),"-")</f>
        <v>990917172</v>
      </c>
      <c r="AB60" s="239" t="str">
        <f>IFERROR(VLOOKUP(Tabla134[[#This Row],[Supervisor de lote]],'DATABASE DATOS SUP'!$B$2:$E$59,4,FALSE),"-")</f>
        <v>AAHH los almendros MZO lote13 castilla</v>
      </c>
      <c r="AC60" s="240" t="str">
        <f>IFERROR(VLOOKUP(Tabla134[[#This Row],[Supervisor de lote]],Tabla1[],7,FALSE),"")</f>
        <v>Castilla</v>
      </c>
      <c r="AD60" s="239" t="str">
        <f>IFERROR(VLOOKUP(Tabla134[[#This Row],[Supervisor de lote]],'DATABASE DATOS SUP'!$B$2:$F$59,5,FALSE),"-")</f>
        <v>Educación secundaria</v>
      </c>
      <c r="AE60" s="1"/>
      <c r="AF60" s="102" t="s">
        <v>442</v>
      </c>
      <c r="AG60" s="75" t="s">
        <v>27</v>
      </c>
      <c r="AH60" s="233" t="s">
        <v>470</v>
      </c>
      <c r="AI60" s="233" t="s">
        <v>485</v>
      </c>
      <c r="AJ60" s="233" t="s">
        <v>489</v>
      </c>
    </row>
    <row r="61" spans="1:36" x14ac:dyDescent="0.3">
      <c r="A61" s="186" t="s">
        <v>112</v>
      </c>
      <c r="B61" s="1" t="s">
        <v>87</v>
      </c>
      <c r="C61" s="186" t="s">
        <v>247</v>
      </c>
      <c r="D61" s="186" t="str">
        <f>VLOOKUP(Tabla134[[#This Row],[VAR]],FUNDOS!$B$2:$C$18,2,FALSE)</f>
        <v>TS</v>
      </c>
      <c r="E61" s="1" t="s">
        <v>136</v>
      </c>
      <c r="F61" s="1" t="str">
        <f>Tabla134[[#This Row],[VAR]]&amp;Tabla134[[#This Row],[LOTE]]</f>
        <v>SCB12</v>
      </c>
      <c r="G61" s="186" t="s">
        <v>382</v>
      </c>
      <c r="H61" s="1" t="s">
        <v>351</v>
      </c>
      <c r="I61" s="1">
        <v>2024</v>
      </c>
      <c r="J61" s="4">
        <v>1587</v>
      </c>
      <c r="K61" s="2">
        <f t="shared" si="1"/>
        <v>6.4</v>
      </c>
      <c r="L61" s="2">
        <f t="shared" si="1"/>
        <v>5.9</v>
      </c>
      <c r="M61" s="2">
        <f t="shared" si="1"/>
        <v>0.28999999999999998</v>
      </c>
      <c r="N61" s="2">
        <f>Tabla134[[#This Row],[Total Has]]-Tabla134[[#This Row],[Has Productivas]]-Tabla134[[#This Row],[Has Formación]]</f>
        <v>0.21000000000000002</v>
      </c>
      <c r="O61" s="3">
        <v>10150</v>
      </c>
      <c r="P61" s="3">
        <v>9367</v>
      </c>
      <c r="Q61" s="3">
        <v>456</v>
      </c>
      <c r="R61" s="3">
        <f>Tabla134[[#This Row],[Total Espacios]]-Tabla134[[#This Row],[Pltas. Prod.]]-Tabla134[[#This Row],[Pltas Formación]]</f>
        <v>327</v>
      </c>
      <c r="S61" s="95">
        <v>1.75</v>
      </c>
      <c r="T61" s="95">
        <v>3.5</v>
      </c>
      <c r="U61" s="2" t="s">
        <v>7</v>
      </c>
      <c r="V61" s="99">
        <v>41418</v>
      </c>
      <c r="W61" s="1">
        <f ca="1">IF(INT((TODAY()-Tabla134[[#This Row],[Fecha plantación]])/365)&gt;30,"",INT((TODAY()-Tabla134[[#This Row],[Fecha plantación]])/365))</f>
        <v>13</v>
      </c>
      <c r="X61" s="1" t="s">
        <v>8</v>
      </c>
      <c r="Y61" s="99">
        <v>34866</v>
      </c>
      <c r="Z61" s="1">
        <f ca="1">INT(YEARFRAC(Tabla134[[#This Row],[Fecha nacimiento]],TODAY()))</f>
        <v>31</v>
      </c>
      <c r="AA61" s="239" t="str">
        <f>IFERROR(VLOOKUP(Tabla134[[#This Row],[Supervisor de lote]],'DATABASE DATOS SUP'!$B$2:$D$59,3,FALSE),"-")</f>
        <v>-</v>
      </c>
      <c r="AB61" s="239" t="str">
        <f>IFERROR(VLOOKUP(Tabla134[[#This Row],[Supervisor de lote]],'DATABASE DATOS SUP'!$B$2:$E$59,4,FALSE),"-")</f>
        <v>-</v>
      </c>
      <c r="AC61" s="240">
        <f>IFERROR(VLOOKUP(Tabla134[[#This Row],[Supervisor de lote]],Tabla1[],7,FALSE),"")</f>
        <v>0</v>
      </c>
      <c r="AD61" s="239" t="str">
        <f>IFERROR(VLOOKUP(Tabla134[[#This Row],[Supervisor de lote]],'DATABASE DATOS SUP'!$B$2:$F$59,5,FALSE),"-")</f>
        <v>-</v>
      </c>
      <c r="AE61" s="1" t="s">
        <v>332</v>
      </c>
      <c r="AF61" s="102" t="s">
        <v>400</v>
      </c>
      <c r="AG61" s="75" t="s">
        <v>27</v>
      </c>
      <c r="AH61" s="233" t="s">
        <v>470</v>
      </c>
      <c r="AI61" s="233" t="s">
        <v>485</v>
      </c>
      <c r="AJ61" s="233" t="s">
        <v>489</v>
      </c>
    </row>
    <row r="62" spans="1:36" x14ac:dyDescent="0.3">
      <c r="A62" s="186" t="s">
        <v>163</v>
      </c>
      <c r="B62" s="1" t="s">
        <v>99</v>
      </c>
      <c r="C62" s="186" t="s">
        <v>245</v>
      </c>
      <c r="D62" s="186" t="str">
        <f>VLOOKUP(Tabla134[[#This Row],[VAR]],FUNDOS!$B$2:$C$18,2,FALSE)</f>
        <v>TT</v>
      </c>
      <c r="E62" s="1" t="s">
        <v>136</v>
      </c>
      <c r="F62" s="1" t="str">
        <f>Tabla134[[#This Row],[VAR]]&amp;Tabla134[[#This Row],[LOTE]]</f>
        <v>ACA12</v>
      </c>
      <c r="G62" s="186" t="s">
        <v>377</v>
      </c>
      <c r="H62" s="1" t="s">
        <v>388</v>
      </c>
      <c r="I62" s="1">
        <v>2024</v>
      </c>
      <c r="J62" s="6">
        <v>1754</v>
      </c>
      <c r="K62" s="2">
        <f t="shared" si="1"/>
        <v>19.46</v>
      </c>
      <c r="L62" s="2">
        <f t="shared" si="1"/>
        <v>15.83</v>
      </c>
      <c r="M62" s="2">
        <f t="shared" si="1"/>
        <v>3.43</v>
      </c>
      <c r="N62" s="2">
        <f>Tabla134[[#This Row],[Total Has]]-Tabla134[[#This Row],[Has Productivas]]-Tabla134[[#This Row],[Has Formación]]</f>
        <v>0.20000000000000062</v>
      </c>
      <c r="O62" s="3">
        <v>34130</v>
      </c>
      <c r="P62" s="3">
        <v>27762</v>
      </c>
      <c r="Q62" s="3">
        <v>6015</v>
      </c>
      <c r="R62" s="3">
        <f>Tabla134[[#This Row],[Total Espacios]]-Tabla134[[#This Row],[Pltas. Prod.]]-Tabla134[[#This Row],[Pltas Formación]]</f>
        <v>353</v>
      </c>
      <c r="S62" s="95">
        <v>1.5</v>
      </c>
      <c r="T62" s="95">
        <v>3.8</v>
      </c>
      <c r="U62" s="2" t="s">
        <v>7</v>
      </c>
      <c r="V62" s="99">
        <v>44809</v>
      </c>
      <c r="W62" s="1">
        <f ca="1">IF(INT((TODAY()-Tabla134[[#This Row],[Fecha plantación]])/365)&gt;30,"",INT((TODAY()-Tabla134[[#This Row],[Fecha plantación]])/365))</f>
        <v>3</v>
      </c>
      <c r="X62" s="1" t="s">
        <v>8</v>
      </c>
      <c r="Y62" s="99">
        <v>32826</v>
      </c>
      <c r="Z62" s="1">
        <f ca="1">INT(YEARFRAC(Tabla134[[#This Row],[Fecha nacimiento]],TODAY()))</f>
        <v>36</v>
      </c>
      <c r="AA62" s="239">
        <f>IFERROR(VLOOKUP(Tabla134[[#This Row],[Supervisor de lote]],'DATABASE DATOS SUP'!$B$2:$D$59,3,FALSE),"-")</f>
        <v>964565731</v>
      </c>
      <c r="AB62" s="239" t="str">
        <f>IFERROR(VLOOKUP(Tabla134[[#This Row],[Supervisor de lote]],'DATABASE DATOS SUP'!$B$2:$E$59,4,FALSE),"-")</f>
        <v>Caserio punta Arena medio piura</v>
      </c>
      <c r="AC62" s="240" t="str">
        <f>IFERROR(VLOOKUP(Tabla134[[#This Row],[Supervisor de lote]],Tabla1[],7,FALSE),"")</f>
        <v>Medio Piura</v>
      </c>
      <c r="AD62" s="239" t="str">
        <f>IFERROR(VLOOKUP(Tabla134[[#This Row],[Supervisor de lote]],'DATABASE DATOS SUP'!$B$2:$F$59,5,FALSE),"-")</f>
        <v>Educación secundaria</v>
      </c>
      <c r="AE62" s="216" t="s">
        <v>337</v>
      </c>
      <c r="AF62" s="218" t="s">
        <v>401</v>
      </c>
      <c r="AG62" s="230" t="s">
        <v>27</v>
      </c>
      <c r="AH62" s="233" t="s">
        <v>470</v>
      </c>
      <c r="AI62" s="233" t="s">
        <v>485</v>
      </c>
      <c r="AJ62" s="233" t="s">
        <v>489</v>
      </c>
    </row>
    <row r="63" spans="1:36" x14ac:dyDescent="0.3">
      <c r="A63" s="186" t="s">
        <v>163</v>
      </c>
      <c r="B63" s="1" t="s">
        <v>100</v>
      </c>
      <c r="C63" s="186" t="s">
        <v>245</v>
      </c>
      <c r="D63" s="186" t="str">
        <f>VLOOKUP(Tabla134[[#This Row],[VAR]],FUNDOS!$B$2:$C$18,2,FALSE)</f>
        <v>TT</v>
      </c>
      <c r="E63" s="1" t="s">
        <v>136</v>
      </c>
      <c r="F63" s="1" t="str">
        <f>Tabla134[[#This Row],[VAR]]&amp;Tabla134[[#This Row],[LOTE]]</f>
        <v>ACA13</v>
      </c>
      <c r="G63" s="186" t="s">
        <v>377</v>
      </c>
      <c r="H63" s="1" t="s">
        <v>388</v>
      </c>
      <c r="I63" s="1">
        <v>2024</v>
      </c>
      <c r="J63" s="6">
        <v>1754</v>
      </c>
      <c r="K63" s="2">
        <f t="shared" si="1"/>
        <v>6.72</v>
      </c>
      <c r="L63" s="2">
        <f t="shared" si="1"/>
        <v>5.94</v>
      </c>
      <c r="M63" s="2">
        <f t="shared" si="1"/>
        <v>0.72</v>
      </c>
      <c r="N63" s="2">
        <f>Tabla134[[#This Row],[Total Has]]-Tabla134[[#This Row],[Has Productivas]]-Tabla134[[#This Row],[Has Formación]]</f>
        <v>5.9999999999999387E-2</v>
      </c>
      <c r="O63" s="3">
        <v>11780</v>
      </c>
      <c r="P63" s="3">
        <v>10423</v>
      </c>
      <c r="Q63" s="3">
        <v>1264</v>
      </c>
      <c r="R63" s="3">
        <f>Tabla134[[#This Row],[Total Espacios]]-Tabla134[[#This Row],[Pltas. Prod.]]-Tabla134[[#This Row],[Pltas Formación]]</f>
        <v>93</v>
      </c>
      <c r="S63" s="95">
        <v>1.5</v>
      </c>
      <c r="T63" s="95">
        <v>3.8</v>
      </c>
      <c r="U63" s="2" t="s">
        <v>7</v>
      </c>
      <c r="V63" s="99">
        <v>44812</v>
      </c>
      <c r="W63" s="1">
        <f ca="1">IF(INT((TODAY()-Tabla134[[#This Row],[Fecha plantación]])/365)&gt;30,"",INT((TODAY()-Tabla134[[#This Row],[Fecha plantación]])/365))</f>
        <v>3</v>
      </c>
      <c r="X63" s="1" t="s">
        <v>8</v>
      </c>
      <c r="Y63" s="99">
        <v>32826</v>
      </c>
      <c r="Z63" s="1">
        <f ca="1">INT(YEARFRAC(Tabla134[[#This Row],[Fecha nacimiento]],TODAY()))</f>
        <v>36</v>
      </c>
      <c r="AA63" s="239">
        <f>IFERROR(VLOOKUP(Tabla134[[#This Row],[Supervisor de lote]],'DATABASE DATOS SUP'!$B$2:$D$59,3,FALSE),"-")</f>
        <v>964565731</v>
      </c>
      <c r="AB63" s="239" t="str">
        <f>IFERROR(VLOOKUP(Tabla134[[#This Row],[Supervisor de lote]],'DATABASE DATOS SUP'!$B$2:$E$59,4,FALSE),"-")</f>
        <v>Caserio punta Arena medio piura</v>
      </c>
      <c r="AC63" s="240" t="str">
        <f>IFERROR(VLOOKUP(Tabla134[[#This Row],[Supervisor de lote]],Tabla1[],7,FALSE),"")</f>
        <v>Medio Piura</v>
      </c>
      <c r="AD63" s="239" t="str">
        <f>IFERROR(VLOOKUP(Tabla134[[#This Row],[Supervisor de lote]],'DATABASE DATOS SUP'!$B$2:$F$59,5,FALSE),"-")</f>
        <v>Educación secundaria</v>
      </c>
      <c r="AE63" s="1" t="s">
        <v>337</v>
      </c>
      <c r="AF63" s="102" t="s">
        <v>401</v>
      </c>
      <c r="AG63" s="75" t="s">
        <v>27</v>
      </c>
      <c r="AH63" s="233" t="s">
        <v>470</v>
      </c>
      <c r="AI63" s="233" t="s">
        <v>485</v>
      </c>
      <c r="AJ63" s="233" t="s">
        <v>489</v>
      </c>
    </row>
    <row r="64" spans="1:36" x14ac:dyDescent="0.3">
      <c r="A64" s="187" t="s">
        <v>167</v>
      </c>
      <c r="B64" s="1" t="s">
        <v>20</v>
      </c>
      <c r="C64" s="187" t="s">
        <v>244</v>
      </c>
      <c r="D64" s="187" t="str">
        <f>VLOOKUP(Tabla134[[#This Row],[VAR]],FUNDOS!$B$2:$C$18,2,FALSE)</f>
        <v>T8</v>
      </c>
      <c r="E64" s="1" t="s">
        <v>153</v>
      </c>
      <c r="F64" s="1" t="str">
        <f>Tabla134[[#This Row],[VAR]]&amp;Tabla134[[#This Row],[LOTE]]</f>
        <v>JSD01</v>
      </c>
      <c r="G64" s="186" t="s">
        <v>377</v>
      </c>
      <c r="H64" s="1" t="s">
        <v>351</v>
      </c>
      <c r="I64" s="1">
        <v>2024</v>
      </c>
      <c r="J64" s="4">
        <v>1905</v>
      </c>
      <c r="K64" s="2">
        <f t="shared" si="1"/>
        <v>12.61</v>
      </c>
      <c r="L64" s="2">
        <f t="shared" si="1"/>
        <v>11.11</v>
      </c>
      <c r="M64" s="2">
        <f t="shared" si="1"/>
        <v>1.33</v>
      </c>
      <c r="N64" s="2">
        <f>Tabla134[[#This Row],[Total Has]]-Tabla134[[#This Row],[Has Productivas]]-Tabla134[[#This Row],[Has Formación]]</f>
        <v>0.16999999999999993</v>
      </c>
      <c r="O64" s="3">
        <v>24025</v>
      </c>
      <c r="P64" s="3">
        <v>21156</v>
      </c>
      <c r="Q64" s="3">
        <v>2531</v>
      </c>
      <c r="R64" s="3">
        <f>Tabla134[[#This Row],[Total Espacios]]-Tabla134[[#This Row],[Pltas. Prod.]]-Tabla134[[#This Row],[Pltas Formación]]</f>
        <v>338</v>
      </c>
      <c r="S64" s="95">
        <v>1.33</v>
      </c>
      <c r="T64" s="95">
        <v>3.5</v>
      </c>
      <c r="U64" s="2" t="s">
        <v>7</v>
      </c>
      <c r="V64" s="99">
        <v>45144</v>
      </c>
      <c r="W64" s="1">
        <f ca="1">IF(INT((TODAY()-Tabla134[[#This Row],[Fecha plantación]])/365)&gt;30,"",INT((TODAY()-Tabla134[[#This Row],[Fecha plantación]])/365))</f>
        <v>3</v>
      </c>
      <c r="X64" s="1" t="s">
        <v>12</v>
      </c>
      <c r="Y64" s="99">
        <v>33079</v>
      </c>
      <c r="Z64" s="1">
        <f ca="1">INT(YEARFRAC(Tabla134[[#This Row],[Fecha nacimiento]],TODAY()))</f>
        <v>36</v>
      </c>
      <c r="AA64" s="239">
        <f>IFERROR(VLOOKUP(Tabla134[[#This Row],[Supervisor de lote]],'DATABASE DATOS SUP'!$B$2:$D$59,3,FALSE),"-")</f>
        <v>943941266</v>
      </c>
      <c r="AB64" s="239" t="str">
        <f>IFERROR(VLOOKUP(Tabla134[[#This Row],[Supervisor de lote]],'DATABASE DATOS SUP'!$B$2:$E$59,4,FALSE),"-")</f>
        <v xml:space="preserve">Terela Medio Piura </v>
      </c>
      <c r="AC64" s="240" t="str">
        <f>IFERROR(VLOOKUP(Tabla134[[#This Row],[Supervisor de lote]],Tabla1[],7,FALSE),"")</f>
        <v>Terela</v>
      </c>
      <c r="AD64" s="239" t="str">
        <f>IFERROR(VLOOKUP(Tabla134[[#This Row],[Supervisor de lote]],'DATABASE DATOS SUP'!$B$2:$F$59,5,FALSE),"-")</f>
        <v>Educación secundaria</v>
      </c>
      <c r="AE64" s="1"/>
      <c r="AF64" s="102" t="s">
        <v>309</v>
      </c>
      <c r="AG64" s="75" t="s">
        <v>9</v>
      </c>
      <c r="AH64" s="233" t="s">
        <v>154</v>
      </c>
      <c r="AI64" s="233" t="s">
        <v>483</v>
      </c>
      <c r="AJ64" s="233" t="s">
        <v>487</v>
      </c>
    </row>
    <row r="65" spans="1:36" x14ac:dyDescent="0.3">
      <c r="A65" s="187" t="s">
        <v>167</v>
      </c>
      <c r="B65" s="1" t="s">
        <v>21</v>
      </c>
      <c r="C65" s="187" t="s">
        <v>244</v>
      </c>
      <c r="D65" s="187" t="str">
        <f>VLOOKUP(Tabla134[[#This Row],[VAR]],FUNDOS!$B$2:$C$18,2,FALSE)</f>
        <v>T8</v>
      </c>
      <c r="E65" s="1" t="s">
        <v>153</v>
      </c>
      <c r="F65" s="1" t="str">
        <f>Tabla134[[#This Row],[VAR]]&amp;Tabla134[[#This Row],[LOTE]]</f>
        <v>JSD02</v>
      </c>
      <c r="G65" s="186" t="s">
        <v>377</v>
      </c>
      <c r="H65" s="1" t="s">
        <v>351</v>
      </c>
      <c r="I65" s="1">
        <v>2024</v>
      </c>
      <c r="J65" s="4">
        <v>1905</v>
      </c>
      <c r="K65" s="2">
        <f t="shared" si="1"/>
        <v>10.83</v>
      </c>
      <c r="L65" s="2">
        <f t="shared" si="1"/>
        <v>10.08</v>
      </c>
      <c r="M65" s="2">
        <f t="shared" si="1"/>
        <v>0.75</v>
      </c>
      <c r="N65" s="2">
        <f>Tabla134[[#This Row],[Total Has]]-Tabla134[[#This Row],[Has Productivas]]-Tabla134[[#This Row],[Has Formación]]</f>
        <v>0</v>
      </c>
      <c r="O65" s="3">
        <v>20637</v>
      </c>
      <c r="P65" s="3">
        <v>19199</v>
      </c>
      <c r="Q65" s="3">
        <v>1434</v>
      </c>
      <c r="R65" s="3">
        <f>Tabla134[[#This Row],[Total Espacios]]-Tabla134[[#This Row],[Pltas. Prod.]]-Tabla134[[#This Row],[Pltas Formación]]</f>
        <v>4</v>
      </c>
      <c r="S65" s="95">
        <v>1.33</v>
      </c>
      <c r="T65" s="95">
        <v>3.5</v>
      </c>
      <c r="U65" s="2" t="s">
        <v>7</v>
      </c>
      <c r="V65" s="99">
        <v>45140</v>
      </c>
      <c r="W65" s="1">
        <f ca="1">IF(INT((TODAY()-Tabla134[[#This Row],[Fecha plantación]])/365)&gt;30,"",INT((TODAY()-Tabla134[[#This Row],[Fecha plantación]])/365))</f>
        <v>3</v>
      </c>
      <c r="X65" s="1" t="s">
        <v>12</v>
      </c>
      <c r="Y65" s="99">
        <v>33079</v>
      </c>
      <c r="Z65" s="1">
        <f ca="1">INT(YEARFRAC(Tabla134[[#This Row],[Fecha nacimiento]],TODAY()))</f>
        <v>36</v>
      </c>
      <c r="AA65" s="239">
        <f>IFERROR(VLOOKUP(Tabla134[[#This Row],[Supervisor de lote]],'DATABASE DATOS SUP'!$B$2:$D$59,3,FALSE),"-")</f>
        <v>901892663</v>
      </c>
      <c r="AB65" s="239" t="str">
        <f>IFERROR(VLOOKUP(Tabla134[[#This Row],[Supervisor de lote]],'DATABASE DATOS SUP'!$B$2:$E$59,4,FALSE),"-")</f>
        <v>Av. Progreso 834- Castilla</v>
      </c>
      <c r="AC65" s="240">
        <f>IFERROR(VLOOKUP(Tabla134[[#This Row],[Supervisor de lote]],Tabla1[],7,FALSE),"")</f>
        <v>0</v>
      </c>
      <c r="AD65" s="239" t="str">
        <f>IFERROR(VLOOKUP(Tabla134[[#This Row],[Supervisor de lote]],'DATABASE DATOS SUP'!$B$2:$F$59,5,FALSE),"-")</f>
        <v>Educación superior universitaria</v>
      </c>
      <c r="AE65" s="1"/>
      <c r="AF65" s="102" t="s">
        <v>478</v>
      </c>
      <c r="AG65" s="75" t="s">
        <v>9</v>
      </c>
      <c r="AH65" s="233" t="s">
        <v>154</v>
      </c>
      <c r="AI65" s="233" t="s">
        <v>483</v>
      </c>
      <c r="AJ65" s="233" t="s">
        <v>487</v>
      </c>
    </row>
    <row r="66" spans="1:36" x14ac:dyDescent="0.3">
      <c r="A66" s="187" t="s">
        <v>105</v>
      </c>
      <c r="B66" s="1" t="s">
        <v>22</v>
      </c>
      <c r="C66" s="187" t="s">
        <v>242</v>
      </c>
      <c r="D66" s="187" t="str">
        <f>VLOOKUP(Tabla134[[#This Row],[VAR]],FUNDOS!$B$2:$C$18,2,FALSE)</f>
        <v>T4</v>
      </c>
      <c r="E66" s="1" t="s">
        <v>371</v>
      </c>
      <c r="F66" s="1" t="str">
        <f>Tabla134[[#This Row],[VAR]]&amp;Tabla134[[#This Row],[LOTE]]</f>
        <v>TMD03</v>
      </c>
      <c r="G66" s="186" t="s">
        <v>376</v>
      </c>
      <c r="H66" s="1" t="s">
        <v>349</v>
      </c>
      <c r="I66" s="1">
        <v>2024</v>
      </c>
      <c r="J66" s="4">
        <v>2132</v>
      </c>
      <c r="K66" s="2">
        <f t="shared" ref="K66:M90" si="2">ROUND(O66/$J66,2)</f>
        <v>14.38</v>
      </c>
      <c r="L66" s="2">
        <f t="shared" si="2"/>
        <v>13.37</v>
      </c>
      <c r="M66" s="2">
        <f t="shared" si="2"/>
        <v>0.62</v>
      </c>
      <c r="N66" s="2">
        <f>Tabla134[[#This Row],[Total Has]]-Tabla134[[#This Row],[Has Productivas]]-Tabla134[[#This Row],[Has Formación]]</f>
        <v>0.39000000000000157</v>
      </c>
      <c r="O66" s="3">
        <v>30654</v>
      </c>
      <c r="P66" s="3">
        <v>28512</v>
      </c>
      <c r="Q66" s="3">
        <v>1321</v>
      </c>
      <c r="R66" s="3">
        <f>Tabla134[[#This Row],[Total Espacios]]-Tabla134[[#This Row],[Pltas. Prod.]]-Tabla134[[#This Row],[Pltas Formación]]</f>
        <v>821</v>
      </c>
      <c r="S66" s="95">
        <v>1.33</v>
      </c>
      <c r="T66" s="95">
        <v>3.5</v>
      </c>
      <c r="U66" s="2" t="s">
        <v>7</v>
      </c>
      <c r="V66" s="99">
        <v>42064</v>
      </c>
      <c r="W66" s="1">
        <f ca="1">IF(INT((TODAY()-Tabla134[[#This Row],[Fecha plantación]])/365)&gt;30,"",INT((TODAY()-Tabla134[[#This Row],[Fecha plantación]])/365))</f>
        <v>11</v>
      </c>
      <c r="X66" s="1" t="s">
        <v>12</v>
      </c>
      <c r="Y66" s="99">
        <v>31842</v>
      </c>
      <c r="Z66" s="1">
        <f ca="1">INT(YEARFRAC(Tabla134[[#This Row],[Fecha nacimiento]],TODAY()))</f>
        <v>39</v>
      </c>
      <c r="AA66" s="239">
        <f>IFERROR(VLOOKUP(Tabla134[[#This Row],[Supervisor de lote]],'DATABASE DATOS SUP'!$B$2:$D$59,3,FALSE),"-")</f>
        <v>937032300</v>
      </c>
      <c r="AB66" s="239" t="str">
        <f>IFERROR(VLOOKUP(Tabla134[[#This Row],[Supervisor de lote]],'DATABASE DATOS SUP'!$B$2:$E$59,4,FALSE),"-")</f>
        <v>Caserio la obrilla</v>
      </c>
      <c r="AC66" s="240">
        <f>IFERROR(VLOOKUP(Tabla134[[#This Row],[Supervisor de lote]],Tabla1[],7,FALSE),"")</f>
        <v>0</v>
      </c>
      <c r="AD66" s="239" t="str">
        <f>IFERROR(VLOOKUP(Tabla134[[#This Row],[Supervisor de lote]],'DATABASE DATOS SUP'!$B$2:$F$59,5,FALSE),"-")</f>
        <v>Educación secundaria</v>
      </c>
      <c r="AE66" s="1"/>
      <c r="AF66" s="102" t="s">
        <v>187</v>
      </c>
      <c r="AG66" s="75" t="s">
        <v>9</v>
      </c>
      <c r="AH66" s="233" t="s">
        <v>468</v>
      </c>
      <c r="AI66" s="233" t="s">
        <v>483</v>
      </c>
      <c r="AJ66" s="233" t="s">
        <v>487</v>
      </c>
    </row>
    <row r="67" spans="1:36" x14ac:dyDescent="0.3">
      <c r="A67" s="186" t="s">
        <v>163</v>
      </c>
      <c r="B67" s="1" t="s">
        <v>93</v>
      </c>
      <c r="C67" s="186" t="s">
        <v>245</v>
      </c>
      <c r="D67" s="186" t="str">
        <f>VLOOKUP(Tabla134[[#This Row],[VAR]],FUNDOS!$B$2:$C$18,2,FALSE)</f>
        <v>TT</v>
      </c>
      <c r="E67" s="1" t="s">
        <v>49</v>
      </c>
      <c r="F67" s="1" t="str">
        <f>Tabla134[[#This Row],[VAR]]&amp;Tabla134[[#This Row],[LOTE]]</f>
        <v>ACC01</v>
      </c>
      <c r="G67" s="186" t="s">
        <v>377</v>
      </c>
      <c r="H67" s="1" t="s">
        <v>388</v>
      </c>
      <c r="I67" s="1">
        <v>2024</v>
      </c>
      <c r="J67" s="4">
        <v>1905</v>
      </c>
      <c r="K67" s="2">
        <f t="shared" si="2"/>
        <v>14.9</v>
      </c>
      <c r="L67" s="2">
        <f t="shared" si="2"/>
        <v>14.52</v>
      </c>
      <c r="M67" s="2">
        <f t="shared" si="2"/>
        <v>0.37</v>
      </c>
      <c r="N67" s="2">
        <f>Tabla134[[#This Row],[Total Has]]-Tabla134[[#This Row],[Has Productivas]]-Tabla134[[#This Row],[Has Formación]]</f>
        <v>1.0000000000000786E-2</v>
      </c>
      <c r="O67" s="3">
        <v>28376</v>
      </c>
      <c r="P67" s="3">
        <v>27652</v>
      </c>
      <c r="Q67" s="3">
        <v>699</v>
      </c>
      <c r="R67" s="3">
        <f>Tabla134[[#This Row],[Total Espacios]]-Tabla134[[#This Row],[Pltas. Prod.]]-Tabla134[[#This Row],[Pltas Formación]]</f>
        <v>25</v>
      </c>
      <c r="S67" s="95">
        <v>1.5</v>
      </c>
      <c r="T67" s="95">
        <v>3.5</v>
      </c>
      <c r="U67" s="2" t="s">
        <v>7</v>
      </c>
      <c r="V67" s="99">
        <v>44776</v>
      </c>
      <c r="W67" s="1">
        <f ca="1">IF(INT((TODAY()-Tabla134[[#This Row],[Fecha plantación]])/365)&gt;30,"",INT((TODAY()-Tabla134[[#This Row],[Fecha plantación]])/365))</f>
        <v>4</v>
      </c>
      <c r="X67" s="1" t="s">
        <v>8</v>
      </c>
      <c r="Y67" s="99">
        <v>34269</v>
      </c>
      <c r="Z67" s="1">
        <f ca="1">INT(YEARFRAC(Tabla134[[#This Row],[Fecha nacimiento]],TODAY()))</f>
        <v>32</v>
      </c>
      <c r="AA67" s="239">
        <f>IFERROR(VLOOKUP(Tabla134[[#This Row],[Supervisor de lote]],'DATABASE DATOS SUP'!$B$2:$D$59,3,FALSE),"-")</f>
        <v>922101107</v>
      </c>
      <c r="AB67" s="239" t="str">
        <f>IFERROR(VLOOKUP(Tabla134[[#This Row],[Supervisor de lote]],'DATABASE DATOS SUP'!$B$2:$E$59,4,FALSE),"-")</f>
        <v>Papayo medio piura</v>
      </c>
      <c r="AC67" s="240" t="str">
        <f>IFERROR(VLOOKUP(Tabla134[[#This Row],[Supervisor de lote]],Tabla1[],7,FALSE),"")</f>
        <v>El Papayo</v>
      </c>
      <c r="AD67" s="239" t="str">
        <f>IFERROR(VLOOKUP(Tabla134[[#This Row],[Supervisor de lote]],'DATABASE DATOS SUP'!$B$2:$F$59,5,FALSE),"-")</f>
        <v>Educación secundaria</v>
      </c>
      <c r="AE67" s="1"/>
      <c r="AF67" s="102" t="s">
        <v>408</v>
      </c>
      <c r="AG67" s="75" t="s">
        <v>9</v>
      </c>
      <c r="AH67" s="233" t="s">
        <v>467</v>
      </c>
      <c r="AI67" s="233" t="s">
        <v>484</v>
      </c>
      <c r="AJ67" s="233" t="s">
        <v>487</v>
      </c>
    </row>
    <row r="68" spans="1:36" x14ac:dyDescent="0.3">
      <c r="A68" s="186" t="s">
        <v>163</v>
      </c>
      <c r="B68" s="1" t="s">
        <v>94</v>
      </c>
      <c r="C68" s="186" t="s">
        <v>245</v>
      </c>
      <c r="D68" s="186" t="str">
        <f>VLOOKUP(Tabla134[[#This Row],[VAR]],FUNDOS!$B$2:$C$18,2,FALSE)</f>
        <v>TT</v>
      </c>
      <c r="E68" s="1" t="s">
        <v>49</v>
      </c>
      <c r="F68" s="1" t="str">
        <f>Tabla134[[#This Row],[VAR]]&amp;Tabla134[[#This Row],[LOTE]]</f>
        <v>ACC02</v>
      </c>
      <c r="G68" s="186" t="s">
        <v>377</v>
      </c>
      <c r="H68" s="1" t="s">
        <v>388</v>
      </c>
      <c r="I68" s="1">
        <v>2024</v>
      </c>
      <c r="J68" s="4">
        <v>1905</v>
      </c>
      <c r="K68" s="2">
        <f t="shared" si="2"/>
        <v>14.9</v>
      </c>
      <c r="L68" s="2">
        <f t="shared" si="2"/>
        <v>14.17</v>
      </c>
      <c r="M68" s="2">
        <f t="shared" si="2"/>
        <v>0.66</v>
      </c>
      <c r="N68" s="2">
        <f>Tabla134[[#This Row],[Total Has]]-Tabla134[[#This Row],[Has Productivas]]-Tabla134[[#This Row],[Has Formación]]</f>
        <v>7.0000000000000395E-2</v>
      </c>
      <c r="O68" s="3">
        <v>28376</v>
      </c>
      <c r="P68" s="3">
        <v>26997</v>
      </c>
      <c r="Q68" s="3">
        <v>1265</v>
      </c>
      <c r="R68" s="3">
        <f>Tabla134[[#This Row],[Total Espacios]]-Tabla134[[#This Row],[Pltas. Prod.]]-Tabla134[[#This Row],[Pltas Formación]]</f>
        <v>114</v>
      </c>
      <c r="S68" s="95">
        <v>1.5</v>
      </c>
      <c r="T68" s="95">
        <v>3.5</v>
      </c>
      <c r="U68" s="2" t="s">
        <v>7</v>
      </c>
      <c r="V68" s="99">
        <v>44769</v>
      </c>
      <c r="W68" s="1">
        <f ca="1">IF(INT((TODAY()-Tabla134[[#This Row],[Fecha plantación]])/365)&gt;30,"",INT((TODAY()-Tabla134[[#This Row],[Fecha plantación]])/365))</f>
        <v>4</v>
      </c>
      <c r="X68" s="1" t="s">
        <v>8</v>
      </c>
      <c r="Y68" s="99">
        <v>34269</v>
      </c>
      <c r="Z68" s="1">
        <f ca="1">INT(YEARFRAC(Tabla134[[#This Row],[Fecha nacimiento]],TODAY()))</f>
        <v>32</v>
      </c>
      <c r="AA68" s="239" t="str">
        <f>IFERROR(VLOOKUP(Tabla134[[#This Row],[Supervisor de lote]],'DATABASE DATOS SUP'!$B$2:$D$59,3,FALSE),"-")</f>
        <v>solicitar</v>
      </c>
      <c r="AB68" s="239" t="str">
        <f>IFERROR(VLOOKUP(Tabla134[[#This Row],[Supervisor de lote]],'DATABASE DATOS SUP'!$B$2:$E$59,4,FALSE),"-")</f>
        <v>solicitar</v>
      </c>
      <c r="AC68" s="240" t="str">
        <f>IFERROR(VLOOKUP(Tabla134[[#This Row],[Supervisor de lote]],Tabla1[],7,FALSE),"")</f>
        <v>-</v>
      </c>
      <c r="AD68" s="239" t="str">
        <f>IFERROR(VLOOKUP(Tabla134[[#This Row],[Supervisor de lote]],'DATABASE DATOS SUP'!$B$2:$F$59,5,FALSE),"-")</f>
        <v>solicitar</v>
      </c>
      <c r="AE68" s="1"/>
      <c r="AF68" s="102" t="s">
        <v>409</v>
      </c>
      <c r="AG68" s="75" t="s">
        <v>9</v>
      </c>
      <c r="AH68" s="233" t="s">
        <v>467</v>
      </c>
      <c r="AI68" s="233" t="s">
        <v>484</v>
      </c>
      <c r="AJ68" s="233" t="s">
        <v>487</v>
      </c>
    </row>
    <row r="69" spans="1:36" x14ac:dyDescent="0.3">
      <c r="A69" s="186" t="s">
        <v>163</v>
      </c>
      <c r="B69" s="1" t="s">
        <v>95</v>
      </c>
      <c r="C69" s="186" t="s">
        <v>245</v>
      </c>
      <c r="D69" s="186" t="str">
        <f>VLOOKUP(Tabla134[[#This Row],[VAR]],FUNDOS!$B$2:$C$18,2,FALSE)</f>
        <v>TT</v>
      </c>
      <c r="E69" s="1" t="s">
        <v>49</v>
      </c>
      <c r="F69" s="1" t="str">
        <f>Tabla134[[#This Row],[VAR]]&amp;Tabla134[[#This Row],[LOTE]]</f>
        <v>ACC03</v>
      </c>
      <c r="G69" s="186" t="s">
        <v>377</v>
      </c>
      <c r="H69" s="1" t="s">
        <v>388</v>
      </c>
      <c r="I69" s="1">
        <v>2024</v>
      </c>
      <c r="J69" s="4">
        <v>1905</v>
      </c>
      <c r="K69" s="2">
        <f t="shared" si="2"/>
        <v>14.9</v>
      </c>
      <c r="L69" s="2">
        <f t="shared" si="2"/>
        <v>14.35</v>
      </c>
      <c r="M69" s="2">
        <f t="shared" si="2"/>
        <v>0.51</v>
      </c>
      <c r="N69" s="2">
        <f>Tabla134[[#This Row],[Total Has]]-Tabla134[[#This Row],[Has Productivas]]-Tabla134[[#This Row],[Has Formación]]</f>
        <v>4.0000000000000702E-2</v>
      </c>
      <c r="O69" s="3">
        <v>28380</v>
      </c>
      <c r="P69" s="3">
        <v>27334</v>
      </c>
      <c r="Q69" s="3">
        <v>964</v>
      </c>
      <c r="R69" s="3">
        <f>Tabla134[[#This Row],[Total Espacios]]-Tabla134[[#This Row],[Pltas. Prod.]]-Tabla134[[#This Row],[Pltas Formación]]</f>
        <v>82</v>
      </c>
      <c r="S69" s="95">
        <v>1.5</v>
      </c>
      <c r="T69" s="95">
        <v>3.5</v>
      </c>
      <c r="U69" s="2" t="s">
        <v>7</v>
      </c>
      <c r="V69" s="99">
        <v>44738</v>
      </c>
      <c r="W69" s="1">
        <f ca="1">IF(INT((TODAY()-Tabla134[[#This Row],[Fecha plantación]])/365)&gt;30,"",INT((TODAY()-Tabla134[[#This Row],[Fecha plantación]])/365))</f>
        <v>4</v>
      </c>
      <c r="X69" s="1" t="s">
        <v>8</v>
      </c>
      <c r="Y69" s="1"/>
      <c r="Z69" s="1"/>
      <c r="AA69" s="239">
        <f>IFERROR(VLOOKUP(Tabla134[[#This Row],[Supervisor de lote]],'DATABASE DATOS SUP'!$B$2:$D$59,3,FALSE),"-")</f>
        <v>971282709</v>
      </c>
      <c r="AB69" s="239" t="str">
        <f>IFERROR(VLOOKUP(Tabla134[[#This Row],[Supervisor de lote]],'DATABASE DATOS SUP'!$B$2:$E$59,4,FALSE),"-")</f>
        <v xml:space="preserve">Amazonas 125 Castilla </v>
      </c>
      <c r="AC69" s="240" t="str">
        <f>IFERROR(VLOOKUP(Tabla134[[#This Row],[Supervisor de lote]],Tabla1[],7,FALSE),"")</f>
        <v>Castilla</v>
      </c>
      <c r="AD69" s="239" t="str">
        <f>IFERROR(VLOOKUP(Tabla134[[#This Row],[Supervisor de lote]],'DATABASE DATOS SUP'!$B$2:$F$59,5,FALSE),"-")</f>
        <v>Educación superior universitaria</v>
      </c>
      <c r="AE69" s="1"/>
      <c r="AF69" s="102" t="s">
        <v>410</v>
      </c>
      <c r="AG69" s="75" t="s">
        <v>9</v>
      </c>
      <c r="AH69" s="233" t="s">
        <v>467</v>
      </c>
      <c r="AI69" s="233" t="s">
        <v>484</v>
      </c>
      <c r="AJ69" s="233" t="s">
        <v>487</v>
      </c>
    </row>
    <row r="70" spans="1:36" hidden="1" x14ac:dyDescent="0.3">
      <c r="A70" s="187" t="s">
        <v>105</v>
      </c>
      <c r="B70" s="257" t="s">
        <v>26</v>
      </c>
      <c r="C70" s="187" t="s">
        <v>242</v>
      </c>
      <c r="D70" s="187" t="str">
        <f>VLOOKUP(Tabla134[[#This Row],[VAR]],FUNDOS!$B$2:$C$18,2,FALSE)</f>
        <v>T4</v>
      </c>
      <c r="E70" s="1" t="s">
        <v>28</v>
      </c>
      <c r="F70" s="1" t="str">
        <f>Tabla134[[#This Row],[VAR]]&amp;Tabla134[[#This Row],[LOTE]]</f>
        <v>TME12</v>
      </c>
      <c r="G70" s="186" t="s">
        <v>376</v>
      </c>
      <c r="H70" s="1" t="s">
        <v>349</v>
      </c>
      <c r="I70" s="1">
        <v>2024</v>
      </c>
      <c r="J70" s="4">
        <v>1905</v>
      </c>
      <c r="K70" s="2">
        <f t="shared" si="2"/>
        <v>5.92</v>
      </c>
      <c r="L70" s="2">
        <f t="shared" si="2"/>
        <v>0</v>
      </c>
      <c r="M70" s="2">
        <f t="shared" si="2"/>
        <v>0</v>
      </c>
      <c r="N70" s="2">
        <f>Tabla134[[#This Row],[Total Has]]-Tabla134[[#This Row],[Has Productivas]]-Tabla134[[#This Row],[Has Formación]]</f>
        <v>5.92</v>
      </c>
      <c r="O70" s="3">
        <v>11286</v>
      </c>
      <c r="P70" s="3">
        <v>0</v>
      </c>
      <c r="Q70" s="3">
        <v>0</v>
      </c>
      <c r="R70" s="3">
        <f>Tabla134[[#This Row],[Total Espacios]]-Tabla134[[#This Row],[Pltas. Prod.]]-Tabla134[[#This Row],[Pltas Formación]]</f>
        <v>11286</v>
      </c>
      <c r="S70" s="95">
        <v>1.75</v>
      </c>
      <c r="T70" s="95">
        <v>3</v>
      </c>
      <c r="U70" s="2" t="s">
        <v>370</v>
      </c>
      <c r="V70" s="99">
        <v>42125</v>
      </c>
      <c r="W70" s="1">
        <f ca="1">IF(INT((TODAY()-Tabla134[[#This Row],[Fecha plantación]])/365)&gt;30,"",INT((TODAY()-Tabla134[[#This Row],[Fecha plantación]])/365))</f>
        <v>11</v>
      </c>
      <c r="X70" s="1" t="s">
        <v>8</v>
      </c>
      <c r="Y70" s="99">
        <v>33385</v>
      </c>
      <c r="Z70" s="1">
        <f ca="1">INT(YEARFRAC(Tabla134[[#This Row],[Fecha nacimiento]],TODAY()))</f>
        <v>35</v>
      </c>
      <c r="AA70" s="239">
        <f>IFERROR(VLOOKUP(Tabla134[[#This Row],[Supervisor de lote]],'DATABASE DATOS SUP'!$B$2:$D$59,3,FALSE),"-")</f>
        <v>957630946</v>
      </c>
      <c r="AB70" s="239" t="str">
        <f>IFERROR(VLOOKUP(Tabla134[[#This Row],[Supervisor de lote]],'DATABASE DATOS SUP'!$B$2:$E$59,4,FALSE),"-")</f>
        <v>La obrilla</v>
      </c>
      <c r="AC70" s="240" t="str">
        <f>IFERROR(VLOOKUP(Tabla134[[#This Row],[Supervisor de lote]],Tabla1[],7,FALSE),"")</f>
        <v>Castilla</v>
      </c>
      <c r="AD70" s="239" t="str">
        <f>IFERROR(VLOOKUP(Tabla134[[#This Row],[Supervisor de lote]],'DATABASE DATOS SUP'!$B$2:$F$59,5,FALSE),"-")</f>
        <v>Educación secundaria</v>
      </c>
      <c r="AE70" s="1" t="s">
        <v>330</v>
      </c>
      <c r="AF70" s="218" t="s">
        <v>208</v>
      </c>
      <c r="AG70" s="75" t="s">
        <v>27</v>
      </c>
      <c r="AH70" s="233" t="s">
        <v>470</v>
      </c>
      <c r="AI70" s="233" t="s">
        <v>485</v>
      </c>
      <c r="AJ70" s="233" t="s">
        <v>490</v>
      </c>
    </row>
    <row r="71" spans="1:36" hidden="1" x14ac:dyDescent="0.3">
      <c r="A71" s="187" t="s">
        <v>105</v>
      </c>
      <c r="B71" s="257" t="s">
        <v>29</v>
      </c>
      <c r="C71" s="187" t="s">
        <v>242</v>
      </c>
      <c r="D71" s="187" t="str">
        <f>VLOOKUP(Tabla134[[#This Row],[VAR]],FUNDOS!$B$2:$C$18,2,FALSE)</f>
        <v>T4</v>
      </c>
      <c r="E71" s="1" t="s">
        <v>28</v>
      </c>
      <c r="F71" s="1" t="str">
        <f>Tabla134[[#This Row],[VAR]]&amp;Tabla134[[#This Row],[LOTE]]</f>
        <v>TME13</v>
      </c>
      <c r="G71" s="186" t="s">
        <v>376</v>
      </c>
      <c r="H71" s="1" t="s">
        <v>349</v>
      </c>
      <c r="I71" s="1">
        <v>2024</v>
      </c>
      <c r="J71" s="4">
        <v>1905</v>
      </c>
      <c r="K71" s="2">
        <f t="shared" si="2"/>
        <v>8.7899999999999991</v>
      </c>
      <c r="L71" s="2">
        <f t="shared" si="2"/>
        <v>0</v>
      </c>
      <c r="M71" s="2">
        <f t="shared" si="2"/>
        <v>0</v>
      </c>
      <c r="N71" s="2">
        <f>Tabla134[[#This Row],[Total Has]]-Tabla134[[#This Row],[Has Productivas]]-Tabla134[[#This Row],[Has Formación]]</f>
        <v>8.7899999999999991</v>
      </c>
      <c r="O71" s="3">
        <v>16740</v>
      </c>
      <c r="P71" s="3">
        <v>0</v>
      </c>
      <c r="Q71" s="3">
        <v>0</v>
      </c>
      <c r="R71" s="3">
        <f>Tabla134[[#This Row],[Total Espacios]]-Tabla134[[#This Row],[Pltas. Prod.]]-Tabla134[[#This Row],[Pltas Formación]]</f>
        <v>16740</v>
      </c>
      <c r="S71" s="95">
        <v>1.75</v>
      </c>
      <c r="T71" s="95">
        <v>3</v>
      </c>
      <c r="U71" s="2" t="s">
        <v>370</v>
      </c>
      <c r="V71" s="99">
        <v>42125</v>
      </c>
      <c r="W71" s="1">
        <f ca="1">IF(INT((TODAY()-Tabla134[[#This Row],[Fecha plantación]])/365)&gt;30,"",INT((TODAY()-Tabla134[[#This Row],[Fecha plantación]])/365))</f>
        <v>11</v>
      </c>
      <c r="X71" s="1" t="s">
        <v>8</v>
      </c>
      <c r="Y71" s="99">
        <v>33385</v>
      </c>
      <c r="Z71" s="1">
        <f ca="1">INT(YEARFRAC(Tabla134[[#This Row],[Fecha nacimiento]],TODAY()))</f>
        <v>35</v>
      </c>
      <c r="AA71" s="239">
        <f>IFERROR(VLOOKUP(Tabla134[[#This Row],[Supervisor de lote]],'DATABASE DATOS SUP'!$B$2:$D$59,3,FALSE),"-")</f>
        <v>957630946</v>
      </c>
      <c r="AB71" s="239" t="str">
        <f>IFERROR(VLOOKUP(Tabla134[[#This Row],[Supervisor de lote]],'DATABASE DATOS SUP'!$B$2:$E$59,4,FALSE),"-")</f>
        <v>La obrilla</v>
      </c>
      <c r="AC71" s="240" t="str">
        <f>IFERROR(VLOOKUP(Tabla134[[#This Row],[Supervisor de lote]],Tabla1[],7,FALSE),"")</f>
        <v>Castilla</v>
      </c>
      <c r="AD71" s="239" t="str">
        <f>IFERROR(VLOOKUP(Tabla134[[#This Row],[Supervisor de lote]],'DATABASE DATOS SUP'!$B$2:$F$59,5,FALSE),"-")</f>
        <v>Educación secundaria</v>
      </c>
      <c r="AE71" s="1" t="s">
        <v>330</v>
      </c>
      <c r="AF71" s="218" t="s">
        <v>208</v>
      </c>
      <c r="AG71" s="75" t="s">
        <v>27</v>
      </c>
      <c r="AH71" s="233" t="s">
        <v>470</v>
      </c>
      <c r="AI71" s="233" t="s">
        <v>485</v>
      </c>
      <c r="AJ71" s="233" t="s">
        <v>490</v>
      </c>
    </row>
    <row r="72" spans="1:36" x14ac:dyDescent="0.3">
      <c r="A72" s="187" t="s">
        <v>105</v>
      </c>
      <c r="B72" s="1" t="s">
        <v>30</v>
      </c>
      <c r="C72" s="187" t="s">
        <v>242</v>
      </c>
      <c r="D72" s="187" t="str">
        <f>VLOOKUP(Tabla134[[#This Row],[VAR]],FUNDOS!$B$2:$C$18,2,FALSE)</f>
        <v>T4</v>
      </c>
      <c r="E72" s="1" t="s">
        <v>28</v>
      </c>
      <c r="F72" s="1" t="str">
        <f>Tabla134[[#This Row],[VAR]]&amp;Tabla134[[#This Row],[LOTE]]</f>
        <v>TME14</v>
      </c>
      <c r="G72" s="186" t="s">
        <v>376</v>
      </c>
      <c r="H72" s="1" t="s">
        <v>349</v>
      </c>
      <c r="I72" s="1">
        <v>2024</v>
      </c>
      <c r="J72" s="4">
        <v>1953</v>
      </c>
      <c r="K72" s="2">
        <f t="shared" si="2"/>
        <v>16.190000000000001</v>
      </c>
      <c r="L72" s="2">
        <f t="shared" si="2"/>
        <v>15.92</v>
      </c>
      <c r="M72" s="2">
        <f t="shared" si="2"/>
        <v>7.0000000000000007E-2</v>
      </c>
      <c r="N72" s="2">
        <f>Tabla134[[#This Row],[Total Has]]-Tabla134[[#This Row],[Has Productivas]]-Tabla134[[#This Row],[Has Formación]]</f>
        <v>0.20000000000000134</v>
      </c>
      <c r="O72" s="3">
        <v>31620</v>
      </c>
      <c r="P72" s="3">
        <v>31090</v>
      </c>
      <c r="Q72" s="3">
        <v>135</v>
      </c>
      <c r="R72" s="3">
        <f>Tabla134[[#This Row],[Total Espacios]]-Tabla134[[#This Row],[Pltas. Prod.]]-Tabla134[[#This Row],[Pltas Formación]]</f>
        <v>395</v>
      </c>
      <c r="S72" s="95">
        <v>1.7</v>
      </c>
      <c r="T72" s="95">
        <v>3.2</v>
      </c>
      <c r="U72" s="2" t="s">
        <v>7</v>
      </c>
      <c r="V72" s="99">
        <v>43302</v>
      </c>
      <c r="W72" s="1">
        <f ca="1">IF(INT((TODAY()-Tabla134[[#This Row],[Fecha plantación]])/365)&gt;30,"",INT((TODAY()-Tabla134[[#This Row],[Fecha plantación]])/365))</f>
        <v>8</v>
      </c>
      <c r="X72" s="1" t="s">
        <v>8</v>
      </c>
      <c r="Y72" s="99">
        <v>33034</v>
      </c>
      <c r="Z72" s="1">
        <f ca="1">INT(YEARFRAC(Tabla134[[#This Row],[Fecha nacimiento]],TODAY()))</f>
        <v>36</v>
      </c>
      <c r="AA72" s="239">
        <f>IFERROR(VLOOKUP(Tabla134[[#This Row],[Supervisor de lote]],'DATABASE DATOS SUP'!$B$2:$D$59,3,FALSE),"-")</f>
        <v>0</v>
      </c>
      <c r="AB72" s="239">
        <f>IFERROR(VLOOKUP(Tabla134[[#This Row],[Supervisor de lote]],'DATABASE DATOS SUP'!$B$2:$E$59,4,FALSE),"-")</f>
        <v>0</v>
      </c>
      <c r="AC72" s="240">
        <f>IFERROR(VLOOKUP(Tabla134[[#This Row],[Supervisor de lote]],Tabla1[],7,FALSE),"")</f>
        <v>0</v>
      </c>
      <c r="AD72" s="239" t="str">
        <f>IFERROR(VLOOKUP(Tabla134[[#This Row],[Supervisor de lote]],'DATABASE DATOS SUP'!$B$2:$F$59,5,FALSE),"-")</f>
        <v>Educación superior universitaria</v>
      </c>
      <c r="AE72" s="1"/>
      <c r="AF72" s="218" t="s">
        <v>480</v>
      </c>
      <c r="AG72" s="75" t="s">
        <v>27</v>
      </c>
      <c r="AH72" s="233" t="s">
        <v>470</v>
      </c>
      <c r="AI72" s="233" t="s">
        <v>485</v>
      </c>
      <c r="AJ72" s="233" t="s">
        <v>490</v>
      </c>
    </row>
    <row r="73" spans="1:36" x14ac:dyDescent="0.3">
      <c r="A73" s="187" t="s">
        <v>105</v>
      </c>
      <c r="B73" s="1" t="s">
        <v>31</v>
      </c>
      <c r="C73" s="187" t="s">
        <v>242</v>
      </c>
      <c r="D73" s="187" t="str">
        <f>VLOOKUP(Tabla134[[#This Row],[VAR]],FUNDOS!$B$2:$C$18,2,FALSE)</f>
        <v>T4</v>
      </c>
      <c r="E73" s="1" t="s">
        <v>34</v>
      </c>
      <c r="F73" s="1" t="str">
        <f>Tabla134[[#This Row],[VAR]]&amp;Tabla134[[#This Row],[LOTE]]</f>
        <v>TMF12</v>
      </c>
      <c r="G73" s="186" t="s">
        <v>377</v>
      </c>
      <c r="H73" s="1" t="s">
        <v>349</v>
      </c>
      <c r="I73" s="1">
        <v>2024</v>
      </c>
      <c r="J73" s="4">
        <v>1905.1398337112623</v>
      </c>
      <c r="K73" s="2">
        <f t="shared" si="2"/>
        <v>9.81</v>
      </c>
      <c r="L73" s="2">
        <f t="shared" si="2"/>
        <v>9.58</v>
      </c>
      <c r="M73" s="2">
        <f t="shared" si="2"/>
        <v>0</v>
      </c>
      <c r="N73" s="2">
        <f>Tabla134[[#This Row],[Total Has]]-Tabla134[[#This Row],[Has Productivas]]-Tabla134[[#This Row],[Has Formación]]</f>
        <v>0.23000000000000043</v>
      </c>
      <c r="O73" s="3">
        <v>18687</v>
      </c>
      <c r="P73" s="3">
        <v>18250</v>
      </c>
      <c r="Q73" s="3">
        <v>0</v>
      </c>
      <c r="R73" s="3">
        <f>Tabla134[[#This Row],[Total Espacios]]-Tabla134[[#This Row],[Pltas. Prod.]]-Tabla134[[#This Row],[Pltas Formación]]</f>
        <v>437</v>
      </c>
      <c r="S73" s="95">
        <v>1.75</v>
      </c>
      <c r="T73" s="95">
        <v>3</v>
      </c>
      <c r="U73" s="2" t="s">
        <v>7</v>
      </c>
      <c r="V73" s="99">
        <v>42695</v>
      </c>
      <c r="W73" s="1">
        <f ca="1">IF(INT((TODAY()-Tabla134[[#This Row],[Fecha plantación]])/365)&gt;30,"",INT((TODAY()-Tabla134[[#This Row],[Fecha plantación]])/365))</f>
        <v>9</v>
      </c>
      <c r="X73" s="1" t="s">
        <v>8</v>
      </c>
      <c r="Y73" s="99">
        <v>33034</v>
      </c>
      <c r="Z73" s="1">
        <f ca="1">INT(YEARFRAC(Tabla134[[#This Row],[Fecha nacimiento]],TODAY()))</f>
        <v>36</v>
      </c>
      <c r="AA73" s="239">
        <f>IFERROR(VLOOKUP(Tabla134[[#This Row],[Supervisor de lote]],'DATABASE DATOS SUP'!$B$2:$D$59,3,FALSE),"-")</f>
        <v>944451931</v>
      </c>
      <c r="AB73" s="239" t="str">
        <f>IFERROR(VLOOKUP(Tabla134[[#This Row],[Supervisor de lote]],'DATABASE DATOS SUP'!$B$2:$E$59,4,FALSE),"-")</f>
        <v xml:space="preserve">Ciudad del niño mz c4 lote 08 cuarta etapa Castilla </v>
      </c>
      <c r="AC73" s="240" t="str">
        <f>IFERROR(VLOOKUP(Tabla134[[#This Row],[Supervisor de lote]],Tabla1[],7,FALSE),"")</f>
        <v>Castilla</v>
      </c>
      <c r="AD73" s="239" t="str">
        <f>IFERROR(VLOOKUP(Tabla134[[#This Row],[Supervisor de lote]],'DATABASE DATOS SUP'!$B$2:$F$59,5,FALSE),"-")</f>
        <v>Educación superior técnica</v>
      </c>
      <c r="AE73" s="1"/>
      <c r="AF73" s="102" t="s">
        <v>425</v>
      </c>
      <c r="AG73" s="75" t="s">
        <v>27</v>
      </c>
      <c r="AH73" s="233" t="s">
        <v>470</v>
      </c>
      <c r="AI73" s="233" t="s">
        <v>485</v>
      </c>
      <c r="AJ73" s="233" t="s">
        <v>490</v>
      </c>
    </row>
    <row r="74" spans="1:36" x14ac:dyDescent="0.3">
      <c r="A74" s="187" t="s">
        <v>105</v>
      </c>
      <c r="B74" s="1" t="s">
        <v>32</v>
      </c>
      <c r="C74" s="187" t="s">
        <v>242</v>
      </c>
      <c r="D74" s="187" t="str">
        <f>VLOOKUP(Tabla134[[#This Row],[VAR]],FUNDOS!$B$2:$C$18,2,FALSE)</f>
        <v>T4</v>
      </c>
      <c r="E74" s="1" t="s">
        <v>34</v>
      </c>
      <c r="F74" s="1" t="str">
        <f>Tabla134[[#This Row],[VAR]]&amp;Tabla134[[#This Row],[LOTE]]</f>
        <v>TMF13</v>
      </c>
      <c r="G74" s="186" t="s">
        <v>377</v>
      </c>
      <c r="H74" s="1" t="s">
        <v>349</v>
      </c>
      <c r="I74" s="1">
        <v>2024</v>
      </c>
      <c r="J74" s="4">
        <v>1953</v>
      </c>
      <c r="K74" s="2">
        <f t="shared" si="2"/>
        <v>13.45</v>
      </c>
      <c r="L74" s="2">
        <f t="shared" si="2"/>
        <v>13.43</v>
      </c>
      <c r="M74" s="2">
        <f t="shared" si="2"/>
        <v>0</v>
      </c>
      <c r="N74" s="2">
        <f>Tabla134[[#This Row],[Total Has]]-Tabla134[[#This Row],[Has Productivas]]-Tabla134[[#This Row],[Has Formación]]</f>
        <v>1.9999999999999574E-2</v>
      </c>
      <c r="O74" s="3">
        <v>26271</v>
      </c>
      <c r="P74" s="3">
        <v>26221</v>
      </c>
      <c r="Q74" s="3">
        <v>2</v>
      </c>
      <c r="R74" s="3">
        <f>Tabla134[[#This Row],[Total Espacios]]-Tabla134[[#This Row],[Pltas. Prod.]]-Tabla134[[#This Row],[Pltas Formación]]</f>
        <v>48</v>
      </c>
      <c r="S74" s="95">
        <v>1.7</v>
      </c>
      <c r="T74" s="95">
        <v>3.2</v>
      </c>
      <c r="U74" s="2" t="s">
        <v>7</v>
      </c>
      <c r="V74" s="99">
        <v>41821</v>
      </c>
      <c r="W74" s="1">
        <f ca="1">IF(INT((TODAY()-Tabla134[[#This Row],[Fecha plantación]])/365)&gt;30,"",INT((TODAY()-Tabla134[[#This Row],[Fecha plantación]])/365))</f>
        <v>12</v>
      </c>
      <c r="X74" s="1" t="s">
        <v>8</v>
      </c>
      <c r="Y74" s="99">
        <v>33034</v>
      </c>
      <c r="Z74" s="1">
        <f ca="1">INT(YEARFRAC(Tabla134[[#This Row],[Fecha nacimiento]],TODAY()))</f>
        <v>36</v>
      </c>
      <c r="AA74" s="239">
        <f>IFERROR(VLOOKUP(Tabla134[[#This Row],[Supervisor de lote]],'DATABASE DATOS SUP'!$B$2:$D$59,3,FALSE),"-")</f>
        <v>944451931</v>
      </c>
      <c r="AB74" s="239" t="str">
        <f>IFERROR(VLOOKUP(Tabla134[[#This Row],[Supervisor de lote]],'DATABASE DATOS SUP'!$B$2:$E$59,4,FALSE),"-")</f>
        <v xml:space="preserve">Ciudad del niño mz c4 lote 08 cuarta etapa Castilla </v>
      </c>
      <c r="AC74" s="240" t="str">
        <f>IFERROR(VLOOKUP(Tabla134[[#This Row],[Supervisor de lote]],Tabla1[],7,FALSE),"")</f>
        <v>Castilla</v>
      </c>
      <c r="AD74" s="239" t="str">
        <f>IFERROR(VLOOKUP(Tabla134[[#This Row],[Supervisor de lote]],'DATABASE DATOS SUP'!$B$2:$F$59,5,FALSE),"-")</f>
        <v>Educación superior técnica</v>
      </c>
      <c r="AE74" s="1"/>
      <c r="AF74" s="102" t="s">
        <v>425</v>
      </c>
      <c r="AG74" s="75" t="s">
        <v>27</v>
      </c>
      <c r="AH74" s="233" t="s">
        <v>470</v>
      </c>
      <c r="AI74" s="233" t="s">
        <v>485</v>
      </c>
      <c r="AJ74" s="233" t="s">
        <v>490</v>
      </c>
    </row>
    <row r="75" spans="1:36" hidden="1" x14ac:dyDescent="0.3">
      <c r="A75" s="186" t="s">
        <v>526</v>
      </c>
      <c r="B75" s="257" t="s">
        <v>103</v>
      </c>
      <c r="C75" s="186" t="s">
        <v>525</v>
      </c>
      <c r="D75" s="186" t="str">
        <f>VLOOKUP(Tabla134[[#This Row],[VAR]],FUNDOS!$B$2:$C$18,2,FALSE)</f>
        <v>PD</v>
      </c>
      <c r="E75" s="1" t="s">
        <v>524</v>
      </c>
      <c r="F75" s="1" t="str">
        <f>Tabla134[[#This Row],[VAR]]&amp;Tabla134[[#This Row],[LOTE]]</f>
        <v>PDI13</v>
      </c>
      <c r="G75" s="186" t="s">
        <v>377</v>
      </c>
      <c r="H75" s="1" t="s">
        <v>388</v>
      </c>
      <c r="I75" s="1">
        <v>2024</v>
      </c>
      <c r="J75" s="6">
        <v>1905</v>
      </c>
      <c r="K75" s="2">
        <f t="shared" si="2"/>
        <v>9.81</v>
      </c>
      <c r="L75" s="2">
        <f t="shared" si="2"/>
        <v>0</v>
      </c>
      <c r="M75" s="2">
        <f t="shared" si="2"/>
        <v>0</v>
      </c>
      <c r="N75" s="2">
        <f>Tabla134[[#This Row],[Total Has]]-Tabla134[[#This Row],[Has Productivas]]-Tabla134[[#This Row],[Has Formación]]</f>
        <v>9.81</v>
      </c>
      <c r="O75" s="3">
        <v>18688</v>
      </c>
      <c r="P75" s="3">
        <v>0</v>
      </c>
      <c r="Q75" s="3">
        <v>0</v>
      </c>
      <c r="R75" s="3">
        <f>Tabla134[[#This Row],[Total Espacios]]-Tabla134[[#This Row],[Pltas. Prod.]]-Tabla134[[#This Row],[Pltas Formación]]</f>
        <v>18688</v>
      </c>
      <c r="S75" s="95">
        <v>1.6</v>
      </c>
      <c r="T75" s="95">
        <v>3.5</v>
      </c>
      <c r="U75" s="2" t="s">
        <v>370</v>
      </c>
      <c r="V75" s="1">
        <v>2024</v>
      </c>
      <c r="W75" s="1" t="str">
        <f ca="1">IF(INT((TODAY()-Tabla134[[#This Row],[Fecha plantación]])/365)&gt;30,"",INT((TODAY()-Tabla134[[#This Row],[Fecha plantación]])/365))</f>
        <v/>
      </c>
      <c r="X75" s="1" t="s">
        <v>12</v>
      </c>
      <c r="Y75" s="99">
        <v>33562</v>
      </c>
      <c r="Z75" s="1">
        <f ca="1">INT(YEARFRAC(Tabla134[[#This Row],[Fecha nacimiento]],TODAY()))</f>
        <v>34</v>
      </c>
      <c r="AA75" s="239" t="str">
        <f>IFERROR(VLOOKUP(Tabla134[[#This Row],[Supervisor de lote]],'DATABASE DATOS SUP'!$B$2:$D$59,3,FALSE),"-")</f>
        <v>-</v>
      </c>
      <c r="AB75" s="239" t="str">
        <f>IFERROR(VLOOKUP(Tabla134[[#This Row],[Supervisor de lote]],'DATABASE DATOS SUP'!$B$2:$E$59,4,FALSE),"-")</f>
        <v>-</v>
      </c>
      <c r="AC75" s="240" t="str">
        <f>IFERROR(VLOOKUP(Tabla134[[#This Row],[Supervisor de lote]],Tabla1[],7,FALSE),"")</f>
        <v/>
      </c>
      <c r="AD75" s="239" t="str">
        <f>IFERROR(VLOOKUP(Tabla134[[#This Row],[Supervisor de lote]],'DATABASE DATOS SUP'!$B$2:$F$59,5,FALSE),"-")</f>
        <v>-</v>
      </c>
      <c r="AE75" s="1" t="s">
        <v>269</v>
      </c>
      <c r="AF75" s="102" t="s">
        <v>154</v>
      </c>
      <c r="AG75" s="76" t="s">
        <v>27</v>
      </c>
      <c r="AH75" s="233" t="s">
        <v>154</v>
      </c>
      <c r="AI75" s="233"/>
      <c r="AJ75" s="233" t="s">
        <v>154</v>
      </c>
    </row>
    <row r="76" spans="1:36" hidden="1" x14ac:dyDescent="0.3">
      <c r="A76" s="186" t="s">
        <v>526</v>
      </c>
      <c r="B76" s="257" t="s">
        <v>104</v>
      </c>
      <c r="C76" s="186" t="s">
        <v>525</v>
      </c>
      <c r="D76" s="186" t="str">
        <f>VLOOKUP(Tabla134[[#This Row],[VAR]],FUNDOS!$B$2:$C$18,2,FALSE)</f>
        <v>PD</v>
      </c>
      <c r="E76" s="1" t="s">
        <v>524</v>
      </c>
      <c r="F76" s="1" t="str">
        <f>Tabla134[[#This Row],[VAR]]&amp;Tabla134[[#This Row],[LOTE]]</f>
        <v>PDI14</v>
      </c>
      <c r="G76" s="186" t="s">
        <v>377</v>
      </c>
      <c r="H76" s="1" t="s">
        <v>388</v>
      </c>
      <c r="I76" s="1">
        <v>2024</v>
      </c>
      <c r="J76" s="6">
        <v>1905</v>
      </c>
      <c r="K76" s="2">
        <f t="shared" si="2"/>
        <v>7.36</v>
      </c>
      <c r="L76" s="2">
        <f t="shared" si="2"/>
        <v>0</v>
      </c>
      <c r="M76" s="2">
        <f t="shared" si="2"/>
        <v>0</v>
      </c>
      <c r="N76" s="2">
        <f>Tabla134[[#This Row],[Total Has]]-Tabla134[[#This Row],[Has Productivas]]-Tabla134[[#This Row],[Has Formación]]</f>
        <v>7.36</v>
      </c>
      <c r="O76" s="3">
        <v>14021</v>
      </c>
      <c r="P76" s="3">
        <v>0</v>
      </c>
      <c r="Q76" s="3">
        <v>0</v>
      </c>
      <c r="R76" s="3">
        <f>Tabla134[[#This Row],[Total Espacios]]-Tabla134[[#This Row],[Pltas. Prod.]]-Tabla134[[#This Row],[Pltas Formación]]</f>
        <v>14021</v>
      </c>
      <c r="S76" s="95">
        <v>1.6</v>
      </c>
      <c r="T76" s="95">
        <v>3.5</v>
      </c>
      <c r="U76" s="2" t="s">
        <v>370</v>
      </c>
      <c r="V76" s="1">
        <v>2024</v>
      </c>
      <c r="W76" s="1" t="str">
        <f ca="1">IF(INT((TODAY()-Tabla134[[#This Row],[Fecha plantación]])/365)&gt;30,"",INT((TODAY()-Tabla134[[#This Row],[Fecha plantación]])/365))</f>
        <v/>
      </c>
      <c r="X76" s="1" t="s">
        <v>12</v>
      </c>
      <c r="Y76" s="99">
        <v>33562</v>
      </c>
      <c r="Z76" s="1">
        <f ca="1">INT(YEARFRAC(Tabla134[[#This Row],[Fecha nacimiento]],TODAY()))</f>
        <v>34</v>
      </c>
      <c r="AA76" s="239" t="str">
        <f>IFERROR(VLOOKUP(Tabla134[[#This Row],[Supervisor de lote]],'DATABASE DATOS SUP'!$B$2:$D$59,3,FALSE),"-")</f>
        <v>-</v>
      </c>
      <c r="AB76" s="239" t="str">
        <f>IFERROR(VLOOKUP(Tabla134[[#This Row],[Supervisor de lote]],'DATABASE DATOS SUP'!$B$2:$E$59,4,FALSE),"-")</f>
        <v>-</v>
      </c>
      <c r="AC76" s="240" t="str">
        <f>IFERROR(VLOOKUP(Tabla134[[#This Row],[Supervisor de lote]],Tabla1[],7,FALSE),"")</f>
        <v/>
      </c>
      <c r="AD76" s="239" t="str">
        <f>IFERROR(VLOOKUP(Tabla134[[#This Row],[Supervisor de lote]],'DATABASE DATOS SUP'!$B$2:$F$59,5,FALSE),"-")</f>
        <v>-</v>
      </c>
      <c r="AE76" s="1" t="s">
        <v>269</v>
      </c>
      <c r="AF76" s="102" t="s">
        <v>154</v>
      </c>
      <c r="AG76" s="76" t="s">
        <v>27</v>
      </c>
      <c r="AH76" s="233" t="s">
        <v>154</v>
      </c>
      <c r="AI76" s="233"/>
      <c r="AJ76" s="233" t="s">
        <v>154</v>
      </c>
    </row>
    <row r="77" spans="1:36" hidden="1" x14ac:dyDescent="0.3">
      <c r="A77" s="186" t="s">
        <v>526</v>
      </c>
      <c r="B77" s="257" t="s">
        <v>101</v>
      </c>
      <c r="C77" s="186" t="s">
        <v>525</v>
      </c>
      <c r="D77" s="186" t="str">
        <f>VLOOKUP(Tabla134[[#This Row],[VAR]],FUNDOS!$B$2:$C$18,2,FALSE)</f>
        <v>PD</v>
      </c>
      <c r="E77" s="1" t="s">
        <v>524</v>
      </c>
      <c r="F77" s="1" t="str">
        <f>Tabla134[[#This Row],[VAR]]&amp;Tabla134[[#This Row],[LOTE]]</f>
        <v>PDH14</v>
      </c>
      <c r="G77" s="186" t="s">
        <v>377</v>
      </c>
      <c r="H77" s="1" t="s">
        <v>388</v>
      </c>
      <c r="I77" s="1">
        <v>2024</v>
      </c>
      <c r="J77" s="6">
        <v>1905</v>
      </c>
      <c r="K77" s="2">
        <f t="shared" si="2"/>
        <v>12.9</v>
      </c>
      <c r="L77" s="2">
        <f t="shared" si="2"/>
        <v>0</v>
      </c>
      <c r="M77" s="2">
        <f t="shared" si="2"/>
        <v>0</v>
      </c>
      <c r="N77" s="2">
        <f>Tabla134[[#This Row],[Total Has]]-Tabla134[[#This Row],[Has Productivas]]-Tabla134[[#This Row],[Has Formación]]</f>
        <v>12.9</v>
      </c>
      <c r="O77" s="3">
        <v>24575</v>
      </c>
      <c r="P77" s="3">
        <v>0</v>
      </c>
      <c r="Q77" s="3">
        <v>0</v>
      </c>
      <c r="R77" s="3">
        <f>Tabla134[[#This Row],[Total Espacios]]-Tabla134[[#This Row],[Pltas. Prod.]]-Tabla134[[#This Row],[Pltas Formación]]</f>
        <v>24575</v>
      </c>
      <c r="S77" s="95">
        <v>1.6</v>
      </c>
      <c r="T77" s="95">
        <v>3.5</v>
      </c>
      <c r="U77" s="2" t="s">
        <v>370</v>
      </c>
      <c r="V77" s="1">
        <v>2024</v>
      </c>
      <c r="W77" s="1" t="str">
        <f ca="1">IF(INT((TODAY()-Tabla134[[#This Row],[Fecha plantación]])/365)&gt;30,"",INT((TODAY()-Tabla134[[#This Row],[Fecha plantación]])/365))</f>
        <v/>
      </c>
      <c r="X77" s="1" t="s">
        <v>12</v>
      </c>
      <c r="Y77" s="99">
        <v>33562</v>
      </c>
      <c r="Z77" s="1">
        <f ca="1">INT(YEARFRAC(Tabla134[[#This Row],[Fecha nacimiento]],TODAY()))</f>
        <v>34</v>
      </c>
      <c r="AA77" s="239" t="str">
        <f>IFERROR(VLOOKUP(Tabla134[[#This Row],[Supervisor de lote]],'DATABASE DATOS SUP'!$B$2:$D$59,3,FALSE),"-")</f>
        <v>-</v>
      </c>
      <c r="AB77" s="239" t="str">
        <f>IFERROR(VLOOKUP(Tabla134[[#This Row],[Supervisor de lote]],'DATABASE DATOS SUP'!$B$2:$E$59,4,FALSE),"-")</f>
        <v>-</v>
      </c>
      <c r="AC77" s="240" t="str">
        <f>IFERROR(VLOOKUP(Tabla134[[#This Row],[Supervisor de lote]],Tabla1[],7,FALSE),"")</f>
        <v/>
      </c>
      <c r="AD77" s="239" t="str">
        <f>IFERROR(VLOOKUP(Tabla134[[#This Row],[Supervisor de lote]],'DATABASE DATOS SUP'!$B$2:$F$59,5,FALSE),"-")</f>
        <v>-</v>
      </c>
      <c r="AE77" s="1" t="s">
        <v>269</v>
      </c>
      <c r="AF77" s="102" t="s">
        <v>154</v>
      </c>
      <c r="AG77" s="76" t="s">
        <v>27</v>
      </c>
      <c r="AH77" s="233" t="s">
        <v>154</v>
      </c>
      <c r="AI77" s="233"/>
      <c r="AJ77" s="233" t="s">
        <v>154</v>
      </c>
    </row>
    <row r="78" spans="1:36" x14ac:dyDescent="0.3">
      <c r="A78" s="187" t="s">
        <v>105</v>
      </c>
      <c r="B78" s="1" t="s">
        <v>40</v>
      </c>
      <c r="C78" s="187" t="s">
        <v>242</v>
      </c>
      <c r="D78" s="187" t="str">
        <f>VLOOKUP(Tabla134[[#This Row],[VAR]],FUNDOS!$B$2:$C$18,2,FALSE)</f>
        <v>T4</v>
      </c>
      <c r="E78" s="1" t="s">
        <v>34</v>
      </c>
      <c r="F78" s="1" t="str">
        <f>Tabla134[[#This Row],[VAR]]&amp;Tabla134[[#This Row],[LOTE]]</f>
        <v>TME08</v>
      </c>
      <c r="G78" s="186" t="s">
        <v>377</v>
      </c>
      <c r="H78" s="1" t="s">
        <v>349</v>
      </c>
      <c r="I78" s="1">
        <v>2024</v>
      </c>
      <c r="J78" s="4">
        <v>1780</v>
      </c>
      <c r="K78" s="2">
        <f t="shared" si="2"/>
        <v>13.49</v>
      </c>
      <c r="L78" s="2">
        <f t="shared" si="2"/>
        <v>13.26</v>
      </c>
      <c r="M78" s="2">
        <f t="shared" si="2"/>
        <v>0.05</v>
      </c>
      <c r="N78" s="2">
        <f>Tabla134[[#This Row],[Total Has]]-Tabla134[[#This Row],[Has Productivas]]-Tabla134[[#This Row],[Has Formación]]</f>
        <v>0.18000000000000044</v>
      </c>
      <c r="O78" s="3">
        <v>24008</v>
      </c>
      <c r="P78" s="3">
        <v>23611</v>
      </c>
      <c r="Q78" s="3">
        <v>87</v>
      </c>
      <c r="R78" s="3">
        <f>Tabla134[[#This Row],[Total Espacios]]-Tabla134[[#This Row],[Pltas. Prod.]]-Tabla134[[#This Row],[Pltas Formación]]</f>
        <v>310</v>
      </c>
      <c r="S78" s="95">
        <v>1.6</v>
      </c>
      <c r="T78" s="95">
        <v>3.5</v>
      </c>
      <c r="U78" s="2" t="s">
        <v>7</v>
      </c>
      <c r="V78" s="99">
        <v>44019</v>
      </c>
      <c r="W78" s="1">
        <f ca="1">IF(INT((TODAY()-Tabla134[[#This Row],[Fecha plantación]])/365)&gt;30,"",INT((TODAY()-Tabla134[[#This Row],[Fecha plantación]])/365))</f>
        <v>6</v>
      </c>
      <c r="X78" s="1" t="s">
        <v>12</v>
      </c>
      <c r="Y78" s="99">
        <v>32228</v>
      </c>
      <c r="Z78" s="1">
        <f ca="1">INT(YEARFRAC(Tabla134[[#This Row],[Fecha nacimiento]],TODAY()))</f>
        <v>38</v>
      </c>
      <c r="AA78" s="239">
        <f>IFERROR(VLOOKUP(Tabla134[[#This Row],[Supervisor de lote]],'DATABASE DATOS SUP'!$B$2:$D$59,3,FALSE),"-")</f>
        <v>966986285</v>
      </c>
      <c r="AB78" s="239" t="str">
        <f>IFERROR(VLOOKUP(Tabla134[[#This Row],[Supervisor de lote]],'DATABASE DATOS SUP'!$B$2:$E$59,4,FALSE),"-")</f>
        <v>Caserillo La Obrilla Medio Piura</v>
      </c>
      <c r="AC78" s="240" t="str">
        <f>IFERROR(VLOOKUP(Tabla134[[#This Row],[Supervisor de lote]],Tabla1[],7,FALSE),"")</f>
        <v>La Obrilla</v>
      </c>
      <c r="AD78" s="239" t="str">
        <f>IFERROR(VLOOKUP(Tabla134[[#This Row],[Supervisor de lote]],'DATABASE DATOS SUP'!$B$2:$F$59,5,FALSE),"-")</f>
        <v>Educación secundaria</v>
      </c>
      <c r="AE78" s="1"/>
      <c r="AF78" s="102" t="s">
        <v>173</v>
      </c>
      <c r="AG78" s="75" t="s">
        <v>27</v>
      </c>
      <c r="AH78" s="233" t="s">
        <v>469</v>
      </c>
      <c r="AI78" s="233" t="s">
        <v>482</v>
      </c>
      <c r="AJ78" s="233" t="s">
        <v>486</v>
      </c>
    </row>
    <row r="79" spans="1:36" x14ac:dyDescent="0.3">
      <c r="A79" s="187" t="s">
        <v>105</v>
      </c>
      <c r="B79" s="1" t="s">
        <v>41</v>
      </c>
      <c r="C79" s="187" t="s">
        <v>242</v>
      </c>
      <c r="D79" s="187" t="str">
        <f>VLOOKUP(Tabla134[[#This Row],[VAR]],FUNDOS!$B$2:$C$18,2,FALSE)</f>
        <v>T4</v>
      </c>
      <c r="E79" s="1" t="s">
        <v>34</v>
      </c>
      <c r="F79" s="1" t="str">
        <f>Tabla134[[#This Row],[VAR]]&amp;Tabla134[[#This Row],[LOTE]]</f>
        <v>TME09</v>
      </c>
      <c r="G79" s="186" t="s">
        <v>377</v>
      </c>
      <c r="H79" s="1" t="s">
        <v>349</v>
      </c>
      <c r="I79" s="1">
        <v>2024</v>
      </c>
      <c r="J79" s="4">
        <v>1780</v>
      </c>
      <c r="K79" s="2">
        <f t="shared" si="2"/>
        <v>11.18</v>
      </c>
      <c r="L79" s="2">
        <f t="shared" si="2"/>
        <v>10.9</v>
      </c>
      <c r="M79" s="2">
        <f t="shared" si="2"/>
        <v>0.05</v>
      </c>
      <c r="N79" s="2">
        <f>Tabla134[[#This Row],[Total Has]]-Tabla134[[#This Row],[Has Productivas]]-Tabla134[[#This Row],[Has Formación]]</f>
        <v>0.22999999999999937</v>
      </c>
      <c r="O79" s="3">
        <v>19894</v>
      </c>
      <c r="P79" s="3">
        <v>19403</v>
      </c>
      <c r="Q79" s="3">
        <v>86</v>
      </c>
      <c r="R79" s="3">
        <f>Tabla134[[#This Row],[Total Espacios]]-Tabla134[[#This Row],[Pltas. Prod.]]-Tabla134[[#This Row],[Pltas Formación]]</f>
        <v>405</v>
      </c>
      <c r="S79" s="95">
        <v>1.6</v>
      </c>
      <c r="T79" s="95">
        <v>3.5</v>
      </c>
      <c r="U79" s="2" t="s">
        <v>7</v>
      </c>
      <c r="V79" s="99">
        <v>44021</v>
      </c>
      <c r="W79" s="1">
        <f ca="1">IF(INT((TODAY()-Tabla134[[#This Row],[Fecha plantación]])/365)&gt;30,"",INT((TODAY()-Tabla134[[#This Row],[Fecha plantación]])/365))</f>
        <v>6</v>
      </c>
      <c r="X79" s="1" t="s">
        <v>12</v>
      </c>
      <c r="Y79" s="99">
        <v>32228</v>
      </c>
      <c r="Z79" s="1">
        <f ca="1">INT(YEARFRAC(Tabla134[[#This Row],[Fecha nacimiento]],TODAY()))</f>
        <v>38</v>
      </c>
      <c r="AA79" s="239">
        <f>IFERROR(VLOOKUP(Tabla134[[#This Row],[Supervisor de lote]],'DATABASE DATOS SUP'!$B$2:$D$59,3,FALSE),"-")</f>
        <v>966986285</v>
      </c>
      <c r="AB79" s="239" t="str">
        <f>IFERROR(VLOOKUP(Tabla134[[#This Row],[Supervisor de lote]],'DATABASE DATOS SUP'!$B$2:$E$59,4,FALSE),"-")</f>
        <v>Caserillo La Obrilla Medio Piura</v>
      </c>
      <c r="AC79" s="240" t="str">
        <f>IFERROR(VLOOKUP(Tabla134[[#This Row],[Supervisor de lote]],Tabla1[],7,FALSE),"")</f>
        <v>La Obrilla</v>
      </c>
      <c r="AD79" s="239" t="str">
        <f>IFERROR(VLOOKUP(Tabla134[[#This Row],[Supervisor de lote]],'DATABASE DATOS SUP'!$B$2:$F$59,5,FALSE),"-")</f>
        <v>Educación secundaria</v>
      </c>
      <c r="AE79" s="1"/>
      <c r="AF79" s="102" t="s">
        <v>173</v>
      </c>
      <c r="AG79" s="75" t="s">
        <v>27</v>
      </c>
      <c r="AH79" s="233" t="s">
        <v>469</v>
      </c>
      <c r="AI79" s="233" t="s">
        <v>482</v>
      </c>
      <c r="AJ79" s="233" t="s">
        <v>486</v>
      </c>
    </row>
    <row r="80" spans="1:36" x14ac:dyDescent="0.3">
      <c r="A80" s="187" t="s">
        <v>105</v>
      </c>
      <c r="B80" s="1" t="s">
        <v>42</v>
      </c>
      <c r="C80" s="187" t="s">
        <v>242</v>
      </c>
      <c r="D80" s="187" t="str">
        <f>VLOOKUP(Tabla134[[#This Row],[VAR]],FUNDOS!$B$2:$C$18,2,FALSE)</f>
        <v>T4</v>
      </c>
      <c r="E80" s="1" t="s">
        <v>34</v>
      </c>
      <c r="F80" s="1" t="str">
        <f>Tabla134[[#This Row],[VAR]]&amp;Tabla134[[#This Row],[LOTE]]</f>
        <v>TMF08</v>
      </c>
      <c r="G80" s="186" t="s">
        <v>377</v>
      </c>
      <c r="H80" s="1" t="s">
        <v>349</v>
      </c>
      <c r="I80" s="1">
        <v>2024</v>
      </c>
      <c r="J80" s="4">
        <v>1780</v>
      </c>
      <c r="K80" s="2">
        <f t="shared" si="2"/>
        <v>15</v>
      </c>
      <c r="L80" s="2">
        <f t="shared" si="2"/>
        <v>14.73</v>
      </c>
      <c r="M80" s="2">
        <f t="shared" si="2"/>
        <v>0.01</v>
      </c>
      <c r="N80" s="2">
        <f>Tabla134[[#This Row],[Total Has]]-Tabla134[[#This Row],[Has Productivas]]-Tabla134[[#This Row],[Has Formación]]</f>
        <v>0.25999999999999956</v>
      </c>
      <c r="O80" s="3">
        <v>26703</v>
      </c>
      <c r="P80" s="3">
        <v>26226</v>
      </c>
      <c r="Q80" s="3">
        <v>23</v>
      </c>
      <c r="R80" s="3">
        <f>Tabla134[[#This Row],[Total Espacios]]-Tabla134[[#This Row],[Pltas. Prod.]]-Tabla134[[#This Row],[Pltas Formación]]</f>
        <v>454</v>
      </c>
      <c r="S80" s="95">
        <v>1.6</v>
      </c>
      <c r="T80" s="95">
        <v>3.5</v>
      </c>
      <c r="U80" s="2" t="s">
        <v>7</v>
      </c>
      <c r="V80" s="99">
        <v>44026</v>
      </c>
      <c r="W80" s="1">
        <f ca="1">IF(INT((TODAY()-Tabla134[[#This Row],[Fecha plantación]])/365)&gt;30,"",INT((TODAY()-Tabla134[[#This Row],[Fecha plantación]])/365))</f>
        <v>6</v>
      </c>
      <c r="X80" s="1" t="s">
        <v>12</v>
      </c>
      <c r="Y80" s="99">
        <v>34846</v>
      </c>
      <c r="Z80" s="1">
        <f ca="1">INT(YEARFRAC(Tabla134[[#This Row],[Fecha nacimiento]],TODAY()))</f>
        <v>31</v>
      </c>
      <c r="AA80" s="239">
        <f>IFERROR(VLOOKUP(Tabla134[[#This Row],[Supervisor de lote]],'DATABASE DATOS SUP'!$B$2:$D$59,3,FALSE),"-")</f>
        <v>969198968</v>
      </c>
      <c r="AB80" s="239" t="str">
        <f>IFERROR(VLOOKUP(Tabla134[[#This Row],[Supervisor de lote]],'DATABASE DATOS SUP'!$B$2:$E$59,4,FALSE),"-")</f>
        <v xml:space="preserve">Urb Miraflores- Piura </v>
      </c>
      <c r="AC80" s="240" t="s">
        <v>450</v>
      </c>
      <c r="AD80" s="239" t="str">
        <f>IFERROR(VLOOKUP(Tabla134[[#This Row],[Supervisor de lote]],'DATABASE DATOS SUP'!$B$2:$F$59,5,FALSE),"-")</f>
        <v>Educación superior universitaria</v>
      </c>
      <c r="AE80" s="1" t="s">
        <v>318</v>
      </c>
      <c r="AF80" s="102" t="s">
        <v>426</v>
      </c>
      <c r="AG80" s="75" t="s">
        <v>27</v>
      </c>
      <c r="AH80" s="233" t="s">
        <v>469</v>
      </c>
      <c r="AI80" s="233" t="s">
        <v>482</v>
      </c>
      <c r="AJ80" s="233" t="s">
        <v>486</v>
      </c>
    </row>
    <row r="81" spans="1:36" x14ac:dyDescent="0.3">
      <c r="A81" s="187" t="s">
        <v>105</v>
      </c>
      <c r="B81" s="1" t="s">
        <v>43</v>
      </c>
      <c r="C81" s="187" t="s">
        <v>242</v>
      </c>
      <c r="D81" s="187" t="str">
        <f>VLOOKUP(Tabla134[[#This Row],[VAR]],FUNDOS!$B$2:$C$18,2,FALSE)</f>
        <v>T4</v>
      </c>
      <c r="E81" s="1" t="s">
        <v>34</v>
      </c>
      <c r="F81" s="1" t="str">
        <f>Tabla134[[#This Row],[VAR]]&amp;Tabla134[[#This Row],[LOTE]]</f>
        <v>TMF09</v>
      </c>
      <c r="G81" s="186" t="s">
        <v>377</v>
      </c>
      <c r="H81" s="1" t="s">
        <v>349</v>
      </c>
      <c r="I81" s="1">
        <v>2024</v>
      </c>
      <c r="J81" s="4">
        <v>1780</v>
      </c>
      <c r="K81" s="2">
        <f t="shared" si="2"/>
        <v>15</v>
      </c>
      <c r="L81" s="2">
        <f t="shared" si="2"/>
        <v>14.51</v>
      </c>
      <c r="M81" s="2">
        <f t="shared" si="2"/>
        <v>0</v>
      </c>
      <c r="N81" s="2">
        <f>Tabla134[[#This Row],[Total Has]]-Tabla134[[#This Row],[Has Productivas]]-Tabla134[[#This Row],[Has Formación]]</f>
        <v>0.49000000000000021</v>
      </c>
      <c r="O81" s="3">
        <v>26703</v>
      </c>
      <c r="P81" s="3">
        <v>25834</v>
      </c>
      <c r="Q81" s="3">
        <v>2</v>
      </c>
      <c r="R81" s="3">
        <f>Tabla134[[#This Row],[Total Espacios]]-Tabla134[[#This Row],[Pltas. Prod.]]-Tabla134[[#This Row],[Pltas Formación]]</f>
        <v>867</v>
      </c>
      <c r="S81" s="95">
        <v>1.6</v>
      </c>
      <c r="T81" s="95">
        <v>3.5</v>
      </c>
      <c r="U81" s="2" t="s">
        <v>7</v>
      </c>
      <c r="V81" s="99">
        <v>44023</v>
      </c>
      <c r="W81" s="1">
        <f ca="1">IF(INT((TODAY()-Tabla134[[#This Row],[Fecha plantación]])/365)&gt;30,"",INT((TODAY()-Tabla134[[#This Row],[Fecha plantación]])/365))</f>
        <v>6</v>
      </c>
      <c r="X81" s="1" t="s">
        <v>12</v>
      </c>
      <c r="Y81" s="99">
        <v>34846</v>
      </c>
      <c r="Z81" s="1">
        <f ca="1">INT(YEARFRAC(Tabla134[[#This Row],[Fecha nacimiento]],TODAY()))</f>
        <v>31</v>
      </c>
      <c r="AA81" s="239">
        <f>IFERROR(VLOOKUP(Tabla134[[#This Row],[Supervisor de lote]],'DATABASE DATOS SUP'!$B$2:$D$59,3,FALSE),"-")</f>
        <v>969198968</v>
      </c>
      <c r="AB81" s="239" t="str">
        <f>IFERROR(VLOOKUP(Tabla134[[#This Row],[Supervisor de lote]],'DATABASE DATOS SUP'!$B$2:$E$59,4,FALSE),"-")</f>
        <v xml:space="preserve">Urb Miraflores- Piura </v>
      </c>
      <c r="AC81" s="240" t="s">
        <v>450</v>
      </c>
      <c r="AD81" s="239" t="str">
        <f>IFERROR(VLOOKUP(Tabla134[[#This Row],[Supervisor de lote]],'DATABASE DATOS SUP'!$B$2:$F$59,5,FALSE),"-")</f>
        <v>Educación superior universitaria</v>
      </c>
      <c r="AE81" s="1" t="s">
        <v>318</v>
      </c>
      <c r="AF81" s="102" t="s">
        <v>426</v>
      </c>
      <c r="AG81" s="75" t="s">
        <v>27</v>
      </c>
      <c r="AH81" s="233" t="s">
        <v>469</v>
      </c>
      <c r="AI81" s="233" t="s">
        <v>482</v>
      </c>
      <c r="AJ81" s="233" t="s">
        <v>486</v>
      </c>
    </row>
    <row r="82" spans="1:36" x14ac:dyDescent="0.3">
      <c r="A82" s="186" t="s">
        <v>109</v>
      </c>
      <c r="B82" s="1" t="s">
        <v>65</v>
      </c>
      <c r="C82" s="186" t="s">
        <v>246</v>
      </c>
      <c r="D82" s="186" t="str">
        <f>VLOOKUP(Tabla134[[#This Row],[VAR]],FUNDOS!$B$2:$C$18,2,FALSE)</f>
        <v>T9</v>
      </c>
      <c r="E82" s="1" t="s">
        <v>34</v>
      </c>
      <c r="F82" s="1" t="str">
        <f>Tabla134[[#This Row],[VAR]]&amp;Tabla134[[#This Row],[LOTE]]</f>
        <v>CCG13</v>
      </c>
      <c r="G82" s="186" t="s">
        <v>376</v>
      </c>
      <c r="H82" s="1" t="s">
        <v>351</v>
      </c>
      <c r="I82" s="1">
        <v>2024</v>
      </c>
      <c r="J82" s="4">
        <v>1838</v>
      </c>
      <c r="K82" s="2">
        <f t="shared" si="2"/>
        <v>12.27</v>
      </c>
      <c r="L82" s="2">
        <f t="shared" si="2"/>
        <v>10.79</v>
      </c>
      <c r="M82" s="2">
        <f t="shared" si="2"/>
        <v>1.2</v>
      </c>
      <c r="N82" s="2">
        <f>Tabla134[[#This Row],[Total Has]]-Tabla134[[#This Row],[Has Productivas]]-Tabla134[[#This Row],[Has Formación]]</f>
        <v>0.28000000000000047</v>
      </c>
      <c r="O82" s="3">
        <v>22559</v>
      </c>
      <c r="P82" s="3">
        <v>19827</v>
      </c>
      <c r="Q82" s="3">
        <v>2199</v>
      </c>
      <c r="R82" s="3">
        <f>Tabla134[[#This Row],[Total Espacios]]-Tabla134[[#This Row],[Pltas. Prod.]]-Tabla134[[#This Row],[Pltas Formación]]</f>
        <v>533</v>
      </c>
      <c r="S82" s="95">
        <v>1.6</v>
      </c>
      <c r="T82" s="95">
        <v>3.5</v>
      </c>
      <c r="U82" s="2" t="s">
        <v>7</v>
      </c>
      <c r="V82" s="99">
        <v>44428</v>
      </c>
      <c r="W82" s="1">
        <f ca="1">IF(INT((TODAY()-Tabla134[[#This Row],[Fecha plantación]])/365)&gt;30,"",INT((TODAY()-Tabla134[[#This Row],[Fecha plantación]])/365))</f>
        <v>4</v>
      </c>
      <c r="X82" s="1" t="s">
        <v>12</v>
      </c>
      <c r="Y82" s="99">
        <v>30229</v>
      </c>
      <c r="Z82" s="1">
        <f ca="1">INT(YEARFRAC(Tabla134[[#This Row],[Fecha nacimiento]],TODAY()))</f>
        <v>43</v>
      </c>
      <c r="AA82" s="239">
        <f>IFERROR(VLOOKUP(Tabla134[[#This Row],[Supervisor de lote]],'DATABASE DATOS SUP'!$B$2:$D$59,3,FALSE),"-")</f>
        <v>962939551</v>
      </c>
      <c r="AB82" s="239" t="str">
        <f>IFERROR(VLOOKUP(Tabla134[[#This Row],[Supervisor de lote]],'DATABASE DATOS SUP'!$B$2:$E$59,4,FALSE),"-")</f>
        <v>Terela Castilla</v>
      </c>
      <c r="AC82" s="240" t="str">
        <f>IFERROR(VLOOKUP(Tabla134[[#This Row],[Supervisor de lote]],Tabla1[],7,FALSE),"")</f>
        <v>Terela</v>
      </c>
      <c r="AD82" s="239" t="str">
        <f>IFERROR(VLOOKUP(Tabla134[[#This Row],[Supervisor de lote]],'DATABASE DATOS SUP'!$B$2:$F$59,5,FALSE),"-")</f>
        <v>Educación secundaria</v>
      </c>
      <c r="AE82" s="1"/>
      <c r="AF82" s="102" t="s">
        <v>276</v>
      </c>
      <c r="AG82" s="75" t="s">
        <v>27</v>
      </c>
      <c r="AH82" s="233" t="s">
        <v>470</v>
      </c>
      <c r="AI82" s="233" t="s">
        <v>482</v>
      </c>
      <c r="AJ82" s="233" t="s">
        <v>490</v>
      </c>
    </row>
    <row r="83" spans="1:36" x14ac:dyDescent="0.3">
      <c r="A83" s="186" t="s">
        <v>109</v>
      </c>
      <c r="B83" s="1" t="s">
        <v>66</v>
      </c>
      <c r="C83" s="186" t="s">
        <v>246</v>
      </c>
      <c r="D83" s="186" t="str">
        <f>VLOOKUP(Tabla134[[#This Row],[VAR]],FUNDOS!$B$2:$C$18,2,FALSE)</f>
        <v>T9</v>
      </c>
      <c r="E83" s="1" t="s">
        <v>34</v>
      </c>
      <c r="F83" s="1" t="str">
        <f>Tabla134[[#This Row],[VAR]]&amp;Tabla134[[#This Row],[LOTE]]</f>
        <v>CCH13</v>
      </c>
      <c r="G83" s="186" t="s">
        <v>376</v>
      </c>
      <c r="H83" s="1" t="s">
        <v>351</v>
      </c>
      <c r="I83" s="1">
        <v>2024</v>
      </c>
      <c r="J83" s="4">
        <v>1838</v>
      </c>
      <c r="K83" s="2">
        <f t="shared" si="2"/>
        <v>12.72</v>
      </c>
      <c r="L83" s="2">
        <f t="shared" si="2"/>
        <v>11.92</v>
      </c>
      <c r="M83" s="2">
        <f t="shared" si="2"/>
        <v>0.66</v>
      </c>
      <c r="N83" s="2">
        <f>Tabla134[[#This Row],[Total Has]]-Tabla134[[#This Row],[Has Productivas]]-Tabla134[[#This Row],[Has Formación]]</f>
        <v>0.14000000000000068</v>
      </c>
      <c r="O83" s="3">
        <v>23371</v>
      </c>
      <c r="P83" s="3">
        <v>21915</v>
      </c>
      <c r="Q83" s="3">
        <v>1216</v>
      </c>
      <c r="R83" s="3">
        <f>Tabla134[[#This Row],[Total Espacios]]-Tabla134[[#This Row],[Pltas. Prod.]]-Tabla134[[#This Row],[Pltas Formación]]</f>
        <v>240</v>
      </c>
      <c r="S83" s="95">
        <v>1.6</v>
      </c>
      <c r="T83" s="95">
        <v>3.5</v>
      </c>
      <c r="U83" s="2" t="s">
        <v>7</v>
      </c>
      <c r="V83" s="99">
        <v>44394</v>
      </c>
      <c r="W83" s="1">
        <f ca="1">IF(INT((TODAY()-Tabla134[[#This Row],[Fecha plantación]])/365)&gt;30,"",INT((TODAY()-Tabla134[[#This Row],[Fecha plantación]])/365))</f>
        <v>5</v>
      </c>
      <c r="X83" s="1" t="s">
        <v>12</v>
      </c>
      <c r="Y83" s="99">
        <v>30229</v>
      </c>
      <c r="Z83" s="1">
        <f ca="1">INT(YEARFRAC(Tabla134[[#This Row],[Fecha nacimiento]],TODAY()))</f>
        <v>43</v>
      </c>
      <c r="AA83" s="239">
        <f>IFERROR(VLOOKUP(Tabla134[[#This Row],[Supervisor de lote]],'DATABASE DATOS SUP'!$B$2:$D$59,3,FALSE),"-")</f>
        <v>962939551</v>
      </c>
      <c r="AB83" s="239" t="str">
        <f>IFERROR(VLOOKUP(Tabla134[[#This Row],[Supervisor de lote]],'DATABASE DATOS SUP'!$B$2:$E$59,4,FALSE),"-")</f>
        <v>Terela Castilla</v>
      </c>
      <c r="AC83" s="240" t="str">
        <f>IFERROR(VLOOKUP(Tabla134[[#This Row],[Supervisor de lote]],Tabla1[],7,FALSE),"")</f>
        <v>Terela</v>
      </c>
      <c r="AD83" s="239" t="str">
        <f>IFERROR(VLOOKUP(Tabla134[[#This Row],[Supervisor de lote]],'DATABASE DATOS SUP'!$B$2:$F$59,5,FALSE),"-")</f>
        <v>Educación secundaria</v>
      </c>
      <c r="AE83" s="1"/>
      <c r="AF83" s="102" t="s">
        <v>276</v>
      </c>
      <c r="AG83" s="75" t="s">
        <v>27</v>
      </c>
      <c r="AH83" s="233" t="s">
        <v>470</v>
      </c>
      <c r="AI83" s="233" t="s">
        <v>482</v>
      </c>
      <c r="AJ83" s="233" t="s">
        <v>490</v>
      </c>
    </row>
    <row r="84" spans="1:36" x14ac:dyDescent="0.3">
      <c r="A84" s="186" t="s">
        <v>163</v>
      </c>
      <c r="B84" s="1" t="s">
        <v>88</v>
      </c>
      <c r="C84" s="186" t="s">
        <v>245</v>
      </c>
      <c r="D84" s="186" t="str">
        <f>VLOOKUP(Tabla134[[#This Row],[VAR]],FUNDOS!$B$2:$C$18,2,FALSE)</f>
        <v>TT</v>
      </c>
      <c r="E84" s="1" t="s">
        <v>34</v>
      </c>
      <c r="F84" s="1" t="str">
        <f>Tabla134[[#This Row],[VAR]]&amp;Tabla134[[#This Row],[LOTE]]</f>
        <v>ACG14</v>
      </c>
      <c r="G84" s="186" t="s">
        <v>377</v>
      </c>
      <c r="H84" s="1" t="s">
        <v>388</v>
      </c>
      <c r="I84" s="1">
        <v>2024</v>
      </c>
      <c r="J84" s="4">
        <v>1838</v>
      </c>
      <c r="K84" s="2">
        <f t="shared" si="2"/>
        <v>15.43</v>
      </c>
      <c r="L84" s="2">
        <f t="shared" si="2"/>
        <v>14.63</v>
      </c>
      <c r="M84" s="2">
        <f t="shared" si="2"/>
        <v>0.78</v>
      </c>
      <c r="N84" s="2">
        <f>Tabla134[[#This Row],[Total Has]]-Tabla134[[#This Row],[Has Productivas]]-Tabla134[[#This Row],[Has Formación]]</f>
        <v>1.9999999999998908E-2</v>
      </c>
      <c r="O84" s="3">
        <v>28361</v>
      </c>
      <c r="P84" s="3">
        <v>26887</v>
      </c>
      <c r="Q84" s="3">
        <v>1437</v>
      </c>
      <c r="R84" s="3">
        <f>Tabla134[[#This Row],[Total Espacios]]-Tabla134[[#This Row],[Pltas. Prod.]]-Tabla134[[#This Row],[Pltas Formación]]</f>
        <v>37</v>
      </c>
      <c r="S84" s="95">
        <v>1.6</v>
      </c>
      <c r="T84" s="95">
        <v>3.5</v>
      </c>
      <c r="U84" s="2" t="s">
        <v>7</v>
      </c>
      <c r="V84" s="99">
        <v>44460</v>
      </c>
      <c r="W84" s="1">
        <f ca="1">IF(INT((TODAY()-Tabla134[[#This Row],[Fecha plantación]])/365)&gt;30,"",INT((TODAY()-Tabla134[[#This Row],[Fecha plantación]])/365))</f>
        <v>4</v>
      </c>
      <c r="X84" s="1" t="s">
        <v>12</v>
      </c>
      <c r="Y84" s="99">
        <v>36199</v>
      </c>
      <c r="Z84" s="1">
        <f ca="1">INT(YEARFRAC(Tabla134[[#This Row],[Fecha nacimiento]],TODAY()))</f>
        <v>27</v>
      </c>
      <c r="AA84" s="239">
        <f>IFERROR(VLOOKUP(Tabla134[[#This Row],[Supervisor de lote]],'DATABASE DATOS SUP'!$B$2:$D$59,3,FALSE),"-")</f>
        <v>915218460</v>
      </c>
      <c r="AB84" s="239" t="str">
        <f>IFERROR(VLOOKUP(Tabla134[[#This Row],[Supervisor de lote]],'DATABASE DATOS SUP'!$B$2:$E$59,4,FALSE),"-")</f>
        <v>Calle La Union S/N</v>
      </c>
      <c r="AC84" s="240" t="str">
        <f>IFERROR(VLOOKUP(Tabla134[[#This Row],[Supervisor de lote]],Tabla1[],7,FALSE),"")</f>
        <v>Piura</v>
      </c>
      <c r="AD84" s="239" t="str">
        <f>IFERROR(VLOOKUP(Tabla134[[#This Row],[Supervisor de lote]],'DATABASE DATOS SUP'!$B$2:$F$59,5,FALSE),"-")</f>
        <v>Educación superior universitaria</v>
      </c>
      <c r="AE84" s="216" t="s">
        <v>269</v>
      </c>
      <c r="AF84" s="218" t="s">
        <v>171</v>
      </c>
      <c r="AG84" s="230" t="s">
        <v>27</v>
      </c>
      <c r="AH84" s="233" t="s">
        <v>470</v>
      </c>
      <c r="AI84" s="233" t="s">
        <v>482</v>
      </c>
      <c r="AJ84" s="233" t="s">
        <v>490</v>
      </c>
    </row>
    <row r="85" spans="1:36" x14ac:dyDescent="0.3">
      <c r="A85" s="194" t="s">
        <v>163</v>
      </c>
      <c r="B85" s="79" t="s">
        <v>89</v>
      </c>
      <c r="C85" s="194" t="s">
        <v>245</v>
      </c>
      <c r="D85" s="194" t="str">
        <f>VLOOKUP(Tabla134[[#This Row],[VAR]],FUNDOS!$B$2:$C$18,2,FALSE)</f>
        <v>TT</v>
      </c>
      <c r="E85" s="1" t="s">
        <v>34</v>
      </c>
      <c r="F85" s="1" t="str">
        <f>Tabla134[[#This Row],[VAR]]&amp;Tabla134[[#This Row],[LOTE]]</f>
        <v>ACG15</v>
      </c>
      <c r="G85" s="194" t="s">
        <v>377</v>
      </c>
      <c r="H85" s="79" t="s">
        <v>388</v>
      </c>
      <c r="I85" s="1">
        <v>2024</v>
      </c>
      <c r="J85" s="101">
        <v>1838</v>
      </c>
      <c r="K85" s="2">
        <f t="shared" si="2"/>
        <v>11.39</v>
      </c>
      <c r="L85" s="2">
        <f t="shared" si="2"/>
        <v>10.73</v>
      </c>
      <c r="M85" s="2">
        <f t="shared" si="2"/>
        <v>0.63</v>
      </c>
      <c r="N85" s="2">
        <f>Tabla134[[#This Row],[Total Has]]-Tabla134[[#This Row],[Has Productivas]]-Tabla134[[#This Row],[Has Formación]]</f>
        <v>3.0000000000000138E-2</v>
      </c>
      <c r="O85" s="3">
        <v>20939</v>
      </c>
      <c r="P85" s="3">
        <v>19714</v>
      </c>
      <c r="Q85" s="3">
        <v>1155</v>
      </c>
      <c r="R85" s="3">
        <f>Tabla134[[#This Row],[Total Espacios]]-Tabla134[[#This Row],[Pltas. Prod.]]-Tabla134[[#This Row],[Pltas Formación]]</f>
        <v>70</v>
      </c>
      <c r="S85" s="95">
        <v>1.6</v>
      </c>
      <c r="T85" s="95">
        <v>3.5</v>
      </c>
      <c r="U85" s="77" t="s">
        <v>7</v>
      </c>
      <c r="V85" s="99">
        <v>44467</v>
      </c>
      <c r="W85" s="79">
        <f ca="1">IF(INT((TODAY()-Tabla134[[#This Row],[Fecha plantación]])/365)&gt;30,"",INT((TODAY()-Tabla134[[#This Row],[Fecha plantación]])/365))</f>
        <v>4</v>
      </c>
      <c r="X85" s="79" t="s">
        <v>12</v>
      </c>
      <c r="Y85" s="99">
        <v>36199</v>
      </c>
      <c r="Z85" s="1">
        <f ca="1">INT(YEARFRAC(Tabla134[[#This Row],[Fecha nacimiento]],TODAY()))</f>
        <v>27</v>
      </c>
      <c r="AA85" s="239">
        <f>IFERROR(VLOOKUP(Tabla134[[#This Row],[Supervisor de lote]],'DATABASE DATOS SUP'!$B$2:$D$59,3,FALSE),"-")</f>
        <v>915218460</v>
      </c>
      <c r="AB85" s="239" t="str">
        <f>IFERROR(VLOOKUP(Tabla134[[#This Row],[Supervisor de lote]],'DATABASE DATOS SUP'!$B$2:$E$59,4,FALSE),"-")</f>
        <v>Calle La Union S/N</v>
      </c>
      <c r="AC85" s="240" t="str">
        <f>IFERROR(VLOOKUP(Tabla134[[#This Row],[Supervisor de lote]],Tabla1[],7,FALSE),"")</f>
        <v>Piura</v>
      </c>
      <c r="AD85" s="239" t="str">
        <f>IFERROR(VLOOKUP(Tabla134[[#This Row],[Supervisor de lote]],'DATABASE DATOS SUP'!$B$2:$F$59,5,FALSE),"-")</f>
        <v>Educación superior universitaria</v>
      </c>
      <c r="AE85" s="1" t="s">
        <v>269</v>
      </c>
      <c r="AF85" s="102" t="s">
        <v>171</v>
      </c>
      <c r="AG85" s="80" t="s">
        <v>27</v>
      </c>
      <c r="AH85" s="233" t="s">
        <v>470</v>
      </c>
      <c r="AI85" s="233" t="s">
        <v>482</v>
      </c>
      <c r="AJ85" s="233" t="s">
        <v>490</v>
      </c>
    </row>
    <row r="86" spans="1:36" hidden="1" x14ac:dyDescent="0.3">
      <c r="A86" s="194" t="s">
        <v>526</v>
      </c>
      <c r="B86" s="258" t="s">
        <v>363</v>
      </c>
      <c r="C86" s="194" t="s">
        <v>525</v>
      </c>
      <c r="D86" s="194" t="str">
        <f>VLOOKUP(Tabla134[[#This Row],[VAR]],FUNDOS!$B$2:$C$18,2,FALSE)</f>
        <v>PD</v>
      </c>
      <c r="E86" s="1" t="s">
        <v>524</v>
      </c>
      <c r="F86" s="1" t="str">
        <f>Tabla134[[#This Row],[VAR]]&amp;Tabla134[[#This Row],[LOTE]]</f>
        <v>PDB08</v>
      </c>
      <c r="G86" s="194" t="s">
        <v>377</v>
      </c>
      <c r="H86" s="79" t="s">
        <v>388</v>
      </c>
      <c r="I86" s="1">
        <v>2024</v>
      </c>
      <c r="J86" s="101">
        <v>1905</v>
      </c>
      <c r="K86" s="2">
        <f t="shared" si="2"/>
        <v>3.8</v>
      </c>
      <c r="L86" s="2">
        <f t="shared" si="2"/>
        <v>0</v>
      </c>
      <c r="M86" s="2">
        <f t="shared" si="2"/>
        <v>0</v>
      </c>
      <c r="N86" s="2">
        <f>Tabla134[[#This Row],[Total Has]]-Tabla134[[#This Row],[Has Productivas]]-Tabla134[[#This Row],[Has Formación]]</f>
        <v>3.8</v>
      </c>
      <c r="O86" s="3">
        <v>7239</v>
      </c>
      <c r="P86" s="3">
        <v>0</v>
      </c>
      <c r="Q86" s="3">
        <v>0</v>
      </c>
      <c r="R86" s="3">
        <f>Tabla134[[#This Row],[Total Espacios]]-Tabla134[[#This Row],[Pltas. Prod.]]-Tabla134[[#This Row],[Pltas Formación]]</f>
        <v>7239</v>
      </c>
      <c r="S86" s="95">
        <v>1.5</v>
      </c>
      <c r="T86" s="95">
        <v>3.5</v>
      </c>
      <c r="U86" s="77" t="s">
        <v>370</v>
      </c>
      <c r="V86" s="1">
        <v>2024</v>
      </c>
      <c r="W86" s="79" t="str">
        <f ca="1">IF(INT((TODAY()-Tabla134[[#This Row],[Fecha plantación]])/365)&gt;30,"",INT((TODAY()-Tabla134[[#This Row],[Fecha plantación]])/365))</f>
        <v/>
      </c>
      <c r="X86" s="79" t="s">
        <v>9</v>
      </c>
      <c r="Y86" s="99"/>
      <c r="Z86" s="1"/>
      <c r="AA86" s="239" t="str">
        <f>IFERROR(VLOOKUP(Tabla134[[#This Row],[Supervisor de lote]],'DATABASE DATOS SUP'!$B$2:$D$59,3,FALSE),"-")</f>
        <v>-</v>
      </c>
      <c r="AB86" s="239" t="str">
        <f>IFERROR(VLOOKUP(Tabla134[[#This Row],[Supervisor de lote]],'DATABASE DATOS SUP'!$B$2:$E$59,4,FALSE),"-")</f>
        <v>-</v>
      </c>
      <c r="AC86" s="240" t="str">
        <f>IFERROR(VLOOKUP(Tabla134[[#This Row],[Supervisor de lote]],Tabla1[],7,FALSE),"")</f>
        <v/>
      </c>
      <c r="AD86" s="239" t="str">
        <f>IFERROR(VLOOKUP(Tabla134[[#This Row],[Supervisor de lote]],'DATABASE DATOS SUP'!$B$2:$F$59,5,FALSE),"-")</f>
        <v>-</v>
      </c>
      <c r="AE86" s="1"/>
      <c r="AF86" s="102" t="s">
        <v>154</v>
      </c>
      <c r="AG86" s="80" t="s">
        <v>9</v>
      </c>
      <c r="AH86" s="233" t="s">
        <v>154</v>
      </c>
      <c r="AI86" s="233"/>
      <c r="AJ86" s="233" t="s">
        <v>154</v>
      </c>
    </row>
    <row r="87" spans="1:36" hidden="1" x14ac:dyDescent="0.3">
      <c r="A87" s="194" t="s">
        <v>526</v>
      </c>
      <c r="B87" s="259" t="s">
        <v>364</v>
      </c>
      <c r="C87" s="194" t="s">
        <v>525</v>
      </c>
      <c r="D87" s="194" t="str">
        <f>VLOOKUP(Tabla134[[#This Row],[VAR]],FUNDOS!$B$2:$C$18,2,FALSE)</f>
        <v>PD</v>
      </c>
      <c r="E87" s="1" t="s">
        <v>524</v>
      </c>
      <c r="F87" s="1" t="str">
        <f>Tabla134[[#This Row],[VAR]]&amp;Tabla134[[#This Row],[LOTE]]</f>
        <v>PDD07</v>
      </c>
      <c r="G87" s="194" t="s">
        <v>377</v>
      </c>
      <c r="H87" s="79" t="s">
        <v>388</v>
      </c>
      <c r="I87" s="1">
        <v>2024</v>
      </c>
      <c r="J87" s="101">
        <v>1905</v>
      </c>
      <c r="K87" s="2">
        <f t="shared" si="2"/>
        <v>13</v>
      </c>
      <c r="L87" s="2">
        <f t="shared" si="2"/>
        <v>0</v>
      </c>
      <c r="M87" s="2">
        <f t="shared" si="2"/>
        <v>0</v>
      </c>
      <c r="N87" s="2">
        <f>Tabla134[[#This Row],[Total Has]]-Tabla134[[#This Row],[Has Productivas]]-Tabla134[[#This Row],[Has Formación]]</f>
        <v>13</v>
      </c>
      <c r="O87" s="3">
        <v>24765</v>
      </c>
      <c r="P87" s="3">
        <v>0</v>
      </c>
      <c r="Q87" s="3">
        <v>0</v>
      </c>
      <c r="R87" s="3">
        <f>Tabla134[[#This Row],[Total Espacios]]-Tabla134[[#This Row],[Pltas. Prod.]]-Tabla134[[#This Row],[Pltas Formación]]</f>
        <v>24765</v>
      </c>
      <c r="S87" s="95">
        <v>1.5</v>
      </c>
      <c r="T87" s="95">
        <v>3.5</v>
      </c>
      <c r="U87" s="77" t="s">
        <v>370</v>
      </c>
      <c r="V87" s="1">
        <v>2024</v>
      </c>
      <c r="W87" s="79" t="str">
        <f ca="1">IF(INT((TODAY()-Tabla134[[#This Row],[Fecha plantación]])/365)&gt;30,"",INT((TODAY()-Tabla134[[#This Row],[Fecha plantación]])/365))</f>
        <v/>
      </c>
      <c r="X87" s="79" t="s">
        <v>9</v>
      </c>
      <c r="Y87" s="99"/>
      <c r="Z87" s="1"/>
      <c r="AA87" s="239" t="str">
        <f>IFERROR(VLOOKUP(Tabla134[[#This Row],[Supervisor de lote]],'DATABASE DATOS SUP'!$B$2:$D$59,3,FALSE),"-")</f>
        <v>-</v>
      </c>
      <c r="AB87" s="239" t="str">
        <f>IFERROR(VLOOKUP(Tabla134[[#This Row],[Supervisor de lote]],'DATABASE DATOS SUP'!$B$2:$E$59,4,FALSE),"-")</f>
        <v>-</v>
      </c>
      <c r="AC87" s="240" t="str">
        <f>IFERROR(VLOOKUP(Tabla134[[#This Row],[Supervisor de lote]],Tabla1[],7,FALSE),"")</f>
        <v/>
      </c>
      <c r="AD87" s="239" t="str">
        <f>IFERROR(VLOOKUP(Tabla134[[#This Row],[Supervisor de lote]],'DATABASE DATOS SUP'!$B$2:$F$59,5,FALSE),"-")</f>
        <v>-</v>
      </c>
      <c r="AE87" s="1"/>
      <c r="AF87" s="102" t="s">
        <v>154</v>
      </c>
      <c r="AG87" s="80" t="s">
        <v>9</v>
      </c>
      <c r="AH87" s="233" t="s">
        <v>154</v>
      </c>
      <c r="AI87" s="233"/>
      <c r="AJ87" s="233" t="s">
        <v>154</v>
      </c>
    </row>
    <row r="88" spans="1:36" hidden="1" x14ac:dyDescent="0.3">
      <c r="A88" s="194" t="s">
        <v>526</v>
      </c>
      <c r="B88" s="258" t="s">
        <v>102</v>
      </c>
      <c r="C88" s="194" t="s">
        <v>525</v>
      </c>
      <c r="D88" s="194" t="str">
        <f>VLOOKUP(Tabla134[[#This Row],[VAR]],FUNDOS!$B$2:$C$18,2,FALSE)</f>
        <v>PD</v>
      </c>
      <c r="E88" s="1" t="s">
        <v>524</v>
      </c>
      <c r="F88" s="1" t="str">
        <f>Tabla134[[#This Row],[VAR]]&amp;Tabla134[[#This Row],[LOTE]]</f>
        <v>PDI12</v>
      </c>
      <c r="G88" s="194" t="s">
        <v>377</v>
      </c>
      <c r="H88" s="79" t="s">
        <v>388</v>
      </c>
      <c r="I88" s="1">
        <v>2024</v>
      </c>
      <c r="J88" s="101">
        <v>1905</v>
      </c>
      <c r="K88" s="2">
        <f t="shared" si="2"/>
        <v>9.81</v>
      </c>
      <c r="L88" s="2">
        <f t="shared" si="2"/>
        <v>0</v>
      </c>
      <c r="M88" s="2">
        <f t="shared" si="2"/>
        <v>0</v>
      </c>
      <c r="N88" s="2">
        <f>Tabla134[[#This Row],[Total Has]]-Tabla134[[#This Row],[Has Productivas]]-Tabla134[[#This Row],[Has Formación]]</f>
        <v>9.81</v>
      </c>
      <c r="O88" s="3">
        <v>18688</v>
      </c>
      <c r="P88" s="3">
        <v>0</v>
      </c>
      <c r="Q88" s="3">
        <v>0</v>
      </c>
      <c r="R88" s="3">
        <f>Tabla134[[#This Row],[Total Espacios]]-Tabla134[[#This Row],[Pltas. Prod.]]-Tabla134[[#This Row],[Pltas Formación]]</f>
        <v>18688</v>
      </c>
      <c r="S88" s="95">
        <v>1.6</v>
      </c>
      <c r="T88" s="95">
        <v>3.5</v>
      </c>
      <c r="U88" s="77" t="s">
        <v>370</v>
      </c>
      <c r="V88" s="1">
        <v>2024</v>
      </c>
      <c r="W88" s="79" t="str">
        <f ca="1">IF(INT((TODAY()-Tabla134[[#This Row],[Fecha plantación]])/365)&gt;30,"",INT((TODAY()-Tabla134[[#This Row],[Fecha plantación]])/365))</f>
        <v/>
      </c>
      <c r="X88" s="79" t="s">
        <v>12</v>
      </c>
      <c r="Y88" s="99">
        <v>33562</v>
      </c>
      <c r="Z88" s="1">
        <f ca="1">INT(YEARFRAC(Tabla134[[#This Row],[Fecha nacimiento]],TODAY()))</f>
        <v>34</v>
      </c>
      <c r="AA88" s="239" t="str">
        <f>IFERROR(VLOOKUP(Tabla134[[#This Row],[Supervisor de lote]],'DATABASE DATOS SUP'!$B$2:$D$59,3,FALSE),"-")</f>
        <v>-</v>
      </c>
      <c r="AB88" s="239" t="str">
        <f>IFERROR(VLOOKUP(Tabla134[[#This Row],[Supervisor de lote]],'DATABASE DATOS SUP'!$B$2:$E$59,4,FALSE),"-")</f>
        <v>-</v>
      </c>
      <c r="AC88" s="240" t="str">
        <f>IFERROR(VLOOKUP(Tabla134[[#This Row],[Supervisor de lote]],Tabla1[],7,FALSE),"")</f>
        <v/>
      </c>
      <c r="AD88" s="239" t="str">
        <f>IFERROR(VLOOKUP(Tabla134[[#This Row],[Supervisor de lote]],'DATABASE DATOS SUP'!$B$2:$F$59,5,FALSE),"-")</f>
        <v>-</v>
      </c>
      <c r="AE88" s="1" t="s">
        <v>269</v>
      </c>
      <c r="AF88" s="102" t="s">
        <v>154</v>
      </c>
      <c r="AG88" s="80" t="s">
        <v>27</v>
      </c>
      <c r="AH88" s="233" t="s">
        <v>154</v>
      </c>
      <c r="AI88" s="233"/>
      <c r="AJ88" s="233" t="s">
        <v>154</v>
      </c>
    </row>
    <row r="89" spans="1:36" hidden="1" x14ac:dyDescent="0.3">
      <c r="A89" s="194" t="s">
        <v>526</v>
      </c>
      <c r="B89" s="258" t="s">
        <v>368</v>
      </c>
      <c r="C89" s="194" t="s">
        <v>525</v>
      </c>
      <c r="D89" s="194" t="str">
        <f>VLOOKUP(Tabla134[[#This Row],[VAR]],FUNDOS!$B$2:$C$18,2,FALSE)</f>
        <v>PD</v>
      </c>
      <c r="E89" s="1" t="s">
        <v>524</v>
      </c>
      <c r="F89" s="1" t="str">
        <f>Tabla134[[#This Row],[VAR]]&amp;Tabla134[[#This Row],[LOTE]]</f>
        <v>PDI15</v>
      </c>
      <c r="G89" s="194" t="s">
        <v>377</v>
      </c>
      <c r="H89" s="79" t="s">
        <v>388</v>
      </c>
      <c r="I89" s="1">
        <v>2024</v>
      </c>
      <c r="J89" s="101">
        <v>1905</v>
      </c>
      <c r="K89" s="2">
        <f t="shared" si="2"/>
        <v>7.36</v>
      </c>
      <c r="L89" s="2">
        <f t="shared" si="2"/>
        <v>0</v>
      </c>
      <c r="M89" s="2">
        <f t="shared" si="2"/>
        <v>0</v>
      </c>
      <c r="N89" s="2">
        <f>Tabla134[[#This Row],[Total Has]]-Tabla134[[#This Row],[Has Productivas]]-Tabla134[[#This Row],[Has Formación]]</f>
        <v>7.36</v>
      </c>
      <c r="O89" s="3">
        <v>14021</v>
      </c>
      <c r="P89" s="3">
        <v>0</v>
      </c>
      <c r="Q89" s="3">
        <v>0</v>
      </c>
      <c r="R89" s="3">
        <f>Tabla134[[#This Row],[Total Espacios]]-Tabla134[[#This Row],[Pltas. Prod.]]-Tabla134[[#This Row],[Pltas Formación]]</f>
        <v>14021</v>
      </c>
      <c r="S89" s="95">
        <v>1.6</v>
      </c>
      <c r="T89" s="95">
        <v>3.5</v>
      </c>
      <c r="U89" s="77" t="s">
        <v>370</v>
      </c>
      <c r="V89" s="1">
        <v>2024</v>
      </c>
      <c r="W89" s="79" t="str">
        <f ca="1">IF(INT((TODAY()-Tabla134[[#This Row],[Fecha plantación]])/365)&gt;30,"",INT((TODAY()-Tabla134[[#This Row],[Fecha plantación]])/365))</f>
        <v/>
      </c>
      <c r="X89" s="79" t="s">
        <v>12</v>
      </c>
      <c r="Y89" s="99">
        <v>33562</v>
      </c>
      <c r="Z89" s="1">
        <f ca="1">INT(YEARFRAC(Tabla134[[#This Row],[Fecha nacimiento]],TODAY()))</f>
        <v>34</v>
      </c>
      <c r="AA89" s="239" t="str">
        <f>IFERROR(VLOOKUP(Tabla134[[#This Row],[Supervisor de lote]],'DATABASE DATOS SUP'!$B$2:$D$59,3,FALSE),"-")</f>
        <v>-</v>
      </c>
      <c r="AB89" s="239" t="str">
        <f>IFERROR(VLOOKUP(Tabla134[[#This Row],[Supervisor de lote]],'DATABASE DATOS SUP'!$B$2:$E$59,4,FALSE),"-")</f>
        <v>-</v>
      </c>
      <c r="AC89" s="240" t="str">
        <f>IFERROR(VLOOKUP(Tabla134[[#This Row],[Supervisor de lote]],Tabla1[],7,FALSE),"")</f>
        <v/>
      </c>
      <c r="AD89" s="239" t="str">
        <f>IFERROR(VLOOKUP(Tabla134[[#This Row],[Supervisor de lote]],'DATABASE DATOS SUP'!$B$2:$F$59,5,FALSE),"-")</f>
        <v>-</v>
      </c>
      <c r="AE89" s="1" t="s">
        <v>269</v>
      </c>
      <c r="AF89" s="102" t="s">
        <v>154</v>
      </c>
      <c r="AG89" s="80" t="s">
        <v>27</v>
      </c>
      <c r="AH89" s="233" t="s">
        <v>154</v>
      </c>
      <c r="AI89" s="233"/>
      <c r="AJ89" s="233" t="s">
        <v>154</v>
      </c>
    </row>
    <row r="90" spans="1:36" hidden="1" x14ac:dyDescent="0.3">
      <c r="A90" s="194" t="s">
        <v>526</v>
      </c>
      <c r="B90" s="258" t="s">
        <v>369</v>
      </c>
      <c r="C90" s="194" t="s">
        <v>525</v>
      </c>
      <c r="D90" s="194" t="str">
        <f>VLOOKUP(Tabla134[[#This Row],[VAR]],FUNDOS!$B$2:$C$18,2,FALSE)</f>
        <v>PD</v>
      </c>
      <c r="E90" s="1" t="s">
        <v>524</v>
      </c>
      <c r="F90" s="1" t="str">
        <f>Tabla134[[#This Row],[VAR]]&amp;Tabla134[[#This Row],[LOTE]]</f>
        <v>PDH15</v>
      </c>
      <c r="G90" s="194" t="s">
        <v>377</v>
      </c>
      <c r="H90" s="79" t="s">
        <v>388</v>
      </c>
      <c r="I90" s="1">
        <v>2024</v>
      </c>
      <c r="J90" s="101">
        <v>1905</v>
      </c>
      <c r="K90" s="2">
        <f t="shared" si="2"/>
        <v>12.9</v>
      </c>
      <c r="L90" s="2">
        <f t="shared" si="2"/>
        <v>0</v>
      </c>
      <c r="M90" s="2">
        <f t="shared" si="2"/>
        <v>0</v>
      </c>
      <c r="N90" s="2">
        <f>Tabla134[[#This Row],[Total Has]]-Tabla134[[#This Row],[Has Productivas]]-Tabla134[[#This Row],[Has Formación]]</f>
        <v>12.9</v>
      </c>
      <c r="O90" s="3">
        <v>24575</v>
      </c>
      <c r="P90" s="3">
        <v>0</v>
      </c>
      <c r="Q90" s="3">
        <v>0</v>
      </c>
      <c r="R90" s="3">
        <f>Tabla134[[#This Row],[Total Espacios]]-Tabla134[[#This Row],[Pltas. Prod.]]-Tabla134[[#This Row],[Pltas Formación]]</f>
        <v>24575</v>
      </c>
      <c r="S90" s="95">
        <v>1.6</v>
      </c>
      <c r="T90" s="95">
        <v>3.5</v>
      </c>
      <c r="U90" s="77" t="s">
        <v>370</v>
      </c>
      <c r="V90" s="1">
        <v>2024</v>
      </c>
      <c r="W90" s="79" t="str">
        <f ca="1">IF(INT((TODAY()-Tabla134[[#This Row],[Fecha plantación]])/365)&gt;30,"",INT((TODAY()-Tabla134[[#This Row],[Fecha plantación]])/365))</f>
        <v/>
      </c>
      <c r="X90" s="79" t="s">
        <v>12</v>
      </c>
      <c r="Y90" s="99">
        <v>33562</v>
      </c>
      <c r="Z90" s="1">
        <f ca="1">INT(YEARFRAC(Tabla134[[#This Row],[Fecha nacimiento]],TODAY()))</f>
        <v>34</v>
      </c>
      <c r="AA90" s="239" t="str">
        <f>IFERROR(VLOOKUP(Tabla134[[#This Row],[Supervisor de lote]],'DATABASE DATOS SUP'!$B$2:$D$59,3,FALSE),"-")</f>
        <v>-</v>
      </c>
      <c r="AB90" s="239" t="str">
        <f>IFERROR(VLOOKUP(Tabla134[[#This Row],[Supervisor de lote]],'DATABASE DATOS SUP'!$B$2:$E$59,4,FALSE),"-")</f>
        <v>-</v>
      </c>
      <c r="AC90" s="240" t="str">
        <f>IFERROR(VLOOKUP(Tabla134[[#This Row],[Supervisor de lote]],Tabla1[],7,FALSE),"")</f>
        <v/>
      </c>
      <c r="AD90" s="239" t="str">
        <f>IFERROR(VLOOKUP(Tabla134[[#This Row],[Supervisor de lote]],'DATABASE DATOS SUP'!$B$2:$F$59,5,FALSE),"-")</f>
        <v>-</v>
      </c>
      <c r="AE90" s="1" t="s">
        <v>269</v>
      </c>
      <c r="AF90" s="102" t="s">
        <v>154</v>
      </c>
      <c r="AG90" s="80" t="s">
        <v>27</v>
      </c>
      <c r="AH90" s="233" t="s">
        <v>154</v>
      </c>
      <c r="AI90" s="233"/>
      <c r="AJ90" s="233" t="s">
        <v>154</v>
      </c>
    </row>
    <row r="91" spans="1:36" x14ac:dyDescent="0.3">
      <c r="N91" s="82"/>
    </row>
    <row r="92" spans="1:36" x14ac:dyDescent="0.3">
      <c r="N92" s="82"/>
    </row>
    <row r="93" spans="1:36" x14ac:dyDescent="0.3">
      <c r="N93" s="82"/>
    </row>
    <row r="98" spans="10:18" x14ac:dyDescent="0.3">
      <c r="Q98" s="96"/>
      <c r="R98" s="96"/>
    </row>
    <row r="99" spans="10:18" x14ac:dyDescent="0.3">
      <c r="Q99" s="96"/>
      <c r="R99" s="96"/>
    </row>
    <row r="100" spans="10:18" x14ac:dyDescent="0.3">
      <c r="Q100" s="96"/>
      <c r="R100" s="96"/>
    </row>
    <row r="101" spans="10:18" x14ac:dyDescent="0.3">
      <c r="Q101" s="96"/>
      <c r="R101" s="96"/>
    </row>
    <row r="102" spans="10:18" x14ac:dyDescent="0.3">
      <c r="Q102" s="96"/>
      <c r="R102" s="96"/>
    </row>
    <row r="103" spans="10:18" x14ac:dyDescent="0.3">
      <c r="Q103" s="96"/>
      <c r="R103" s="96"/>
    </row>
    <row r="104" spans="10:18" x14ac:dyDescent="0.3">
      <c r="Q104" s="96"/>
      <c r="R104" s="96"/>
    </row>
    <row r="105" spans="10:18" x14ac:dyDescent="0.3">
      <c r="Q105" s="96"/>
      <c r="R105" s="96"/>
    </row>
    <row r="106" spans="10:18" x14ac:dyDescent="0.3">
      <c r="J106" s="238"/>
      <c r="Q106" s="96"/>
      <c r="R106" s="96"/>
    </row>
    <row r="107" spans="10:18" x14ac:dyDescent="0.3">
      <c r="Q107" s="96"/>
      <c r="R107" s="96"/>
    </row>
    <row r="113" spans="14:14" x14ac:dyDescent="0.3">
      <c r="N113" s="82"/>
    </row>
    <row r="114" spans="14:14" x14ac:dyDescent="0.3">
      <c r="N114" s="82"/>
    </row>
    <row r="115" spans="14:14" x14ac:dyDescent="0.3">
      <c r="N115" s="82"/>
    </row>
    <row r="116" spans="14:14" x14ac:dyDescent="0.3">
      <c r="N116" s="82"/>
    </row>
    <row r="117" spans="14:14" x14ac:dyDescent="0.3">
      <c r="N117" s="82"/>
    </row>
    <row r="118" spans="14:14" x14ac:dyDescent="0.3">
      <c r="N118" s="82"/>
    </row>
    <row r="119" spans="14:14" x14ac:dyDescent="0.3">
      <c r="N119" s="82"/>
    </row>
    <row r="120" spans="14:14" x14ac:dyDescent="0.3">
      <c r="N120" s="82"/>
    </row>
    <row r="121" spans="14:14" x14ac:dyDescent="0.3">
      <c r="N121" s="82"/>
    </row>
    <row r="122" spans="14:14" x14ac:dyDescent="0.3">
      <c r="N122" s="82"/>
    </row>
    <row r="123" spans="14:14" x14ac:dyDescent="0.3">
      <c r="N123" s="82"/>
    </row>
    <row r="124" spans="14:14" x14ac:dyDescent="0.3">
      <c r="N124" s="82"/>
    </row>
    <row r="125" spans="14:14" x14ac:dyDescent="0.3">
      <c r="N125" s="82"/>
    </row>
    <row r="126" spans="14:14" x14ac:dyDescent="0.3">
      <c r="N126" s="82"/>
    </row>
    <row r="127" spans="14:14" x14ac:dyDescent="0.3">
      <c r="N127" s="82"/>
    </row>
    <row r="128" spans="14:14" x14ac:dyDescent="0.3">
      <c r="N128" s="82"/>
    </row>
    <row r="129" spans="14:14" x14ac:dyDescent="0.3">
      <c r="N129" s="82"/>
    </row>
    <row r="130" spans="14:14" x14ac:dyDescent="0.3">
      <c r="N130" s="82"/>
    </row>
    <row r="131" spans="14:14" x14ac:dyDescent="0.3">
      <c r="N131" s="82"/>
    </row>
    <row r="132" spans="14:14" x14ac:dyDescent="0.3">
      <c r="N132" s="82"/>
    </row>
    <row r="133" spans="14:14" x14ac:dyDescent="0.3">
      <c r="N133" s="82"/>
    </row>
    <row r="134" spans="14:14" x14ac:dyDescent="0.3">
      <c r="N134" s="82"/>
    </row>
    <row r="135" spans="14:14" x14ac:dyDescent="0.3">
      <c r="N135" s="82"/>
    </row>
    <row r="136" spans="14:14" x14ac:dyDescent="0.3">
      <c r="N136" s="82"/>
    </row>
    <row r="137" spans="14:14" x14ac:dyDescent="0.3">
      <c r="N137" s="82"/>
    </row>
    <row r="138" spans="14:14" x14ac:dyDescent="0.3">
      <c r="N138" s="82"/>
    </row>
    <row r="139" spans="14:14" x14ac:dyDescent="0.3">
      <c r="N139" s="82"/>
    </row>
    <row r="140" spans="14:14" x14ac:dyDescent="0.3">
      <c r="N140" s="82"/>
    </row>
    <row r="141" spans="14:14" x14ac:dyDescent="0.3">
      <c r="N141" s="82"/>
    </row>
    <row r="142" spans="14:14" x14ac:dyDescent="0.3">
      <c r="N142" s="82"/>
    </row>
    <row r="143" spans="14:14" x14ac:dyDescent="0.3">
      <c r="N143" s="82"/>
    </row>
    <row r="144" spans="14:14" x14ac:dyDescent="0.3">
      <c r="N144" s="82"/>
    </row>
    <row r="145" spans="14:14" x14ac:dyDescent="0.3">
      <c r="N145" s="82"/>
    </row>
    <row r="146" spans="14:14" x14ac:dyDescent="0.3">
      <c r="N146" s="82"/>
    </row>
    <row r="147" spans="14:14" x14ac:dyDescent="0.3">
      <c r="N147" s="82"/>
    </row>
    <row r="148" spans="14:14" x14ac:dyDescent="0.3">
      <c r="N148" s="82"/>
    </row>
    <row r="149" spans="14:14" x14ac:dyDescent="0.3">
      <c r="N149" s="82"/>
    </row>
    <row r="150" spans="14:14" x14ac:dyDescent="0.3">
      <c r="N150" s="82"/>
    </row>
    <row r="151" spans="14:14" x14ac:dyDescent="0.3">
      <c r="N151" s="82"/>
    </row>
    <row r="152" spans="14:14" x14ac:dyDescent="0.3">
      <c r="N152" s="82"/>
    </row>
    <row r="153" spans="14:14" x14ac:dyDescent="0.3">
      <c r="N153" s="82"/>
    </row>
    <row r="154" spans="14:14" x14ac:dyDescent="0.3">
      <c r="N154" s="82"/>
    </row>
    <row r="155" spans="14:14" x14ac:dyDescent="0.3">
      <c r="N155" s="82"/>
    </row>
    <row r="156" spans="14:14" x14ac:dyDescent="0.3">
      <c r="N156" s="82"/>
    </row>
    <row r="157" spans="14:14" x14ac:dyDescent="0.3">
      <c r="N157" s="82"/>
    </row>
    <row r="158" spans="14:14" x14ac:dyDescent="0.3">
      <c r="N158" s="82"/>
    </row>
    <row r="159" spans="14:14" x14ac:dyDescent="0.3">
      <c r="N159" s="82"/>
    </row>
    <row r="160" spans="14:14" x14ac:dyDescent="0.3">
      <c r="N160" s="82"/>
    </row>
    <row r="161" spans="14:14" x14ac:dyDescent="0.3">
      <c r="N161" s="82"/>
    </row>
    <row r="162" spans="14:14" x14ac:dyDescent="0.3">
      <c r="N162" s="82"/>
    </row>
    <row r="163" spans="14:14" x14ac:dyDescent="0.3">
      <c r="N163" s="82"/>
    </row>
    <row r="164" spans="14:14" x14ac:dyDescent="0.3">
      <c r="N164" s="82"/>
    </row>
    <row r="165" spans="14:14" x14ac:dyDescent="0.3">
      <c r="N165" s="82"/>
    </row>
    <row r="166" spans="14:14" x14ac:dyDescent="0.3">
      <c r="N166" s="82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50"/>
  <dimension ref="B2:C11"/>
  <sheetViews>
    <sheetView workbookViewId="0">
      <selection activeCell="F4" sqref="F4"/>
    </sheetView>
  </sheetViews>
  <sheetFormatPr baseColWidth="10" defaultRowHeight="14.4" x14ac:dyDescent="0.3"/>
  <cols>
    <col min="1" max="1" width="5.21875" customWidth="1"/>
  </cols>
  <sheetData>
    <row r="2" spans="2:3" x14ac:dyDescent="0.3">
      <c r="B2" t="s">
        <v>244</v>
      </c>
      <c r="C2" t="s">
        <v>531</v>
      </c>
    </row>
    <row r="3" spans="2:3" x14ac:dyDescent="0.3">
      <c r="B3" t="s">
        <v>247</v>
      </c>
      <c r="C3" t="s">
        <v>534</v>
      </c>
    </row>
    <row r="4" spans="2:3" x14ac:dyDescent="0.3">
      <c r="B4" t="s">
        <v>248</v>
      </c>
      <c r="C4" t="s">
        <v>530</v>
      </c>
    </row>
    <row r="5" spans="2:3" x14ac:dyDescent="0.3">
      <c r="B5" t="s">
        <v>242</v>
      </c>
      <c r="C5" t="s">
        <v>529</v>
      </c>
    </row>
    <row r="6" spans="2:3" x14ac:dyDescent="0.3">
      <c r="B6" t="s">
        <v>246</v>
      </c>
      <c r="C6" t="s">
        <v>532</v>
      </c>
    </row>
    <row r="7" spans="2:3" x14ac:dyDescent="0.3">
      <c r="B7" t="s">
        <v>245</v>
      </c>
      <c r="C7" t="s">
        <v>535</v>
      </c>
    </row>
    <row r="8" spans="2:3" x14ac:dyDescent="0.3">
      <c r="B8" t="s">
        <v>243</v>
      </c>
      <c r="C8" t="s">
        <v>533</v>
      </c>
    </row>
    <row r="9" spans="2:3" x14ac:dyDescent="0.3">
      <c r="B9" t="s">
        <v>527</v>
      </c>
      <c r="C9" t="s">
        <v>536</v>
      </c>
    </row>
    <row r="10" spans="2:3" x14ac:dyDescent="0.3">
      <c r="B10" s="186" t="s">
        <v>414</v>
      </c>
      <c r="C10" t="s">
        <v>537</v>
      </c>
    </row>
    <row r="11" spans="2:3" x14ac:dyDescent="0.3">
      <c r="B11" t="s">
        <v>525</v>
      </c>
      <c r="C11" t="s">
        <v>525</v>
      </c>
    </row>
  </sheetData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3"/>
  <dimension ref="A1:C16"/>
  <sheetViews>
    <sheetView workbookViewId="0">
      <selection activeCell="B14" sqref="B14"/>
    </sheetView>
  </sheetViews>
  <sheetFormatPr baseColWidth="10" defaultRowHeight="14.4" x14ac:dyDescent="0.3"/>
  <cols>
    <col min="1" max="1" width="18.21875" customWidth="1"/>
    <col min="2" max="2" width="22.77734375" customWidth="1"/>
    <col min="3" max="3" width="19" customWidth="1"/>
  </cols>
  <sheetData>
    <row r="1" spans="1:3" ht="15.6" x14ac:dyDescent="0.3">
      <c r="A1" s="213" t="s">
        <v>115</v>
      </c>
      <c r="B1" s="213" t="s">
        <v>570</v>
      </c>
      <c r="C1" s="213" t="s">
        <v>571</v>
      </c>
    </row>
    <row r="2" spans="1:3" x14ac:dyDescent="0.3">
      <c r="A2" s="283" t="s">
        <v>33</v>
      </c>
      <c r="B2" s="3">
        <v>28153</v>
      </c>
      <c r="C2" s="3">
        <v>28150</v>
      </c>
    </row>
    <row r="3" spans="1:3" x14ac:dyDescent="0.3">
      <c r="A3" s="283" t="s">
        <v>73</v>
      </c>
      <c r="B3" s="3">
        <v>26690</v>
      </c>
      <c r="C3" s="3">
        <v>26675</v>
      </c>
    </row>
    <row r="4" spans="1:3" x14ac:dyDescent="0.3">
      <c r="A4" s="260" t="s">
        <v>55</v>
      </c>
      <c r="B4" s="3">
        <v>18533</v>
      </c>
      <c r="C4" s="3">
        <v>17201</v>
      </c>
    </row>
    <row r="5" spans="1:3" x14ac:dyDescent="0.3">
      <c r="A5" s="283" t="s">
        <v>56</v>
      </c>
      <c r="B5" s="3">
        <v>26301</v>
      </c>
      <c r="C5" s="3">
        <v>25868</v>
      </c>
    </row>
    <row r="6" spans="1:3" x14ac:dyDescent="0.3">
      <c r="A6" s="283" t="s">
        <v>58</v>
      </c>
      <c r="B6" s="3">
        <v>13049</v>
      </c>
      <c r="C6" s="3">
        <v>11308</v>
      </c>
    </row>
    <row r="7" spans="1:3" x14ac:dyDescent="0.3">
      <c r="A7" s="283" t="s">
        <v>80</v>
      </c>
      <c r="B7" s="3">
        <v>19038</v>
      </c>
      <c r="C7" s="3">
        <v>19698</v>
      </c>
    </row>
    <row r="8" spans="1:3" x14ac:dyDescent="0.3">
      <c r="A8" s="283" t="s">
        <v>48</v>
      </c>
      <c r="B8" s="3">
        <v>34907</v>
      </c>
      <c r="C8" s="3">
        <v>34820</v>
      </c>
    </row>
    <row r="9" spans="1:3" x14ac:dyDescent="0.3">
      <c r="A9" s="262" t="s">
        <v>50</v>
      </c>
      <c r="B9" s="3">
        <v>31495</v>
      </c>
      <c r="C9" s="3">
        <v>31354</v>
      </c>
    </row>
    <row r="10" spans="1:3" x14ac:dyDescent="0.3">
      <c r="A10" s="283" t="s">
        <v>96</v>
      </c>
      <c r="B10" s="3">
        <v>23055</v>
      </c>
      <c r="C10" s="3">
        <v>22936</v>
      </c>
    </row>
    <row r="11" spans="1:3" x14ac:dyDescent="0.3">
      <c r="A11" s="262" t="s">
        <v>98</v>
      </c>
      <c r="B11" s="3">
        <v>14314</v>
      </c>
      <c r="C11" s="3">
        <v>14288</v>
      </c>
    </row>
    <row r="12" spans="1:3" x14ac:dyDescent="0.3">
      <c r="A12" s="262" t="s">
        <v>99</v>
      </c>
      <c r="B12" s="3">
        <v>34130</v>
      </c>
      <c r="C12" s="3">
        <v>32467</v>
      </c>
    </row>
    <row r="13" spans="1:3" x14ac:dyDescent="0.3">
      <c r="A13" s="283" t="s">
        <v>20</v>
      </c>
      <c r="B13" s="3">
        <v>24315</v>
      </c>
      <c r="C13" s="3">
        <v>23920</v>
      </c>
    </row>
    <row r="14" spans="1:3" x14ac:dyDescent="0.3">
      <c r="A14" s="260" t="s">
        <v>32</v>
      </c>
      <c r="B14" s="3">
        <v>26271</v>
      </c>
      <c r="C14" s="3">
        <v>24902</v>
      </c>
    </row>
    <row r="15" spans="1:3" x14ac:dyDescent="0.3">
      <c r="A15" s="283" t="s">
        <v>43</v>
      </c>
      <c r="B15" s="3">
        <v>26703</v>
      </c>
      <c r="C15" s="3">
        <v>26188</v>
      </c>
    </row>
    <row r="16" spans="1:3" x14ac:dyDescent="0.3">
      <c r="A16" s="284" t="s">
        <v>89</v>
      </c>
      <c r="B16" s="3">
        <v>20936</v>
      </c>
      <c r="C16" s="3">
        <v>20843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47"/>
  <dimension ref="A1:B8"/>
  <sheetViews>
    <sheetView zoomScale="80" zoomScaleNormal="80" workbookViewId="0">
      <selection sqref="A1:B8"/>
    </sheetView>
  </sheetViews>
  <sheetFormatPr baseColWidth="10" defaultRowHeight="14.4" x14ac:dyDescent="0.3"/>
  <cols>
    <col min="1" max="1" width="20.21875" bestFit="1" customWidth="1"/>
    <col min="2" max="2" width="16.5546875" bestFit="1" customWidth="1"/>
  </cols>
  <sheetData>
    <row r="1" spans="1:2" x14ac:dyDescent="0.3">
      <c r="A1" t="s">
        <v>497</v>
      </c>
      <c r="B1" t="s">
        <v>498</v>
      </c>
    </row>
    <row r="2" spans="1:2" x14ac:dyDescent="0.3">
      <c r="A2" s="102" t="s">
        <v>200</v>
      </c>
      <c r="B2" s="1" t="s">
        <v>153</v>
      </c>
    </row>
    <row r="3" spans="1:2" x14ac:dyDescent="0.3">
      <c r="A3" s="218" t="s">
        <v>327</v>
      </c>
      <c r="B3" s="1" t="s">
        <v>28</v>
      </c>
    </row>
    <row r="4" spans="1:2" x14ac:dyDescent="0.3">
      <c r="A4" s="102" t="s">
        <v>173</v>
      </c>
      <c r="B4" s="1" t="s">
        <v>34</v>
      </c>
    </row>
    <row r="5" spans="1:2" x14ac:dyDescent="0.3">
      <c r="A5" s="102" t="s">
        <v>176</v>
      </c>
      <c r="B5" s="1" t="s">
        <v>49</v>
      </c>
    </row>
    <row r="6" spans="1:2" x14ac:dyDescent="0.3">
      <c r="A6" s="102" t="s">
        <v>406</v>
      </c>
      <c r="B6" s="1" t="s">
        <v>49</v>
      </c>
    </row>
    <row r="7" spans="1:2" x14ac:dyDescent="0.3">
      <c r="A7" s="102" t="s">
        <v>202</v>
      </c>
      <c r="B7" s="1" t="s">
        <v>372</v>
      </c>
    </row>
    <row r="8" spans="1:2" x14ac:dyDescent="0.3">
      <c r="A8" s="102" t="s">
        <v>404</v>
      </c>
      <c r="B8" s="1" t="s">
        <v>371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46"/>
  <dimension ref="A1:M79"/>
  <sheetViews>
    <sheetView zoomScale="80" zoomScaleNormal="80" workbookViewId="0">
      <pane ySplit="1" topLeftCell="A2" activePane="bottomLeft" state="frozen"/>
      <selection pane="bottomLeft" activeCell="C11" sqref="C11"/>
    </sheetView>
  </sheetViews>
  <sheetFormatPr baseColWidth="10" defaultRowHeight="14.4" x14ac:dyDescent="0.3"/>
  <cols>
    <col min="1" max="1" width="16.5546875" bestFit="1" customWidth="1"/>
    <col min="2" max="2" width="11.21875" bestFit="1" customWidth="1"/>
    <col min="3" max="3" width="15.5546875" bestFit="1" customWidth="1"/>
    <col min="4" max="4" width="13.21875" customWidth="1"/>
    <col min="8" max="8" width="13.77734375" customWidth="1"/>
    <col min="13" max="13" width="13.21875" customWidth="1"/>
  </cols>
  <sheetData>
    <row r="1" spans="1:13" ht="31.2" x14ac:dyDescent="0.3">
      <c r="A1" s="213" t="s">
        <v>456</v>
      </c>
      <c r="B1" s="213" t="s">
        <v>115</v>
      </c>
      <c r="C1" s="212" t="s">
        <v>256</v>
      </c>
      <c r="D1" s="212" t="s">
        <v>129</v>
      </c>
      <c r="E1" s="241" t="s">
        <v>491</v>
      </c>
      <c r="F1" s="241" t="s">
        <v>216</v>
      </c>
      <c r="G1" s="241" t="s">
        <v>492</v>
      </c>
      <c r="H1" s="241" t="s">
        <v>493</v>
      </c>
      <c r="I1" s="241" t="s">
        <v>494</v>
      </c>
      <c r="J1" s="241" t="s">
        <v>495</v>
      </c>
      <c r="K1" s="241" t="s">
        <v>495</v>
      </c>
      <c r="L1" s="241" t="s">
        <v>494</v>
      </c>
      <c r="M1" s="241" t="s">
        <v>496</v>
      </c>
    </row>
    <row r="2" spans="1:13" x14ac:dyDescent="0.3">
      <c r="A2" s="1" t="s">
        <v>153</v>
      </c>
      <c r="B2" s="1" t="s">
        <v>67</v>
      </c>
      <c r="C2" s="186" t="s">
        <v>244</v>
      </c>
      <c r="D2" s="4">
        <v>1684</v>
      </c>
      <c r="E2" s="4">
        <v>1684</v>
      </c>
      <c r="F2" s="242">
        <f>D2-E2</f>
        <v>0</v>
      </c>
      <c r="G2">
        <v>10.24</v>
      </c>
      <c r="H2">
        <v>10.24</v>
      </c>
      <c r="I2">
        <f>G2-H2</f>
        <v>0</v>
      </c>
      <c r="J2">
        <v>17244</v>
      </c>
      <c r="K2">
        <v>17244</v>
      </c>
      <c r="L2">
        <f>J2-K2</f>
        <v>0</v>
      </c>
    </row>
    <row r="3" spans="1:13" x14ac:dyDescent="0.3">
      <c r="A3" s="1" t="s">
        <v>153</v>
      </c>
      <c r="B3" s="1" t="s">
        <v>68</v>
      </c>
      <c r="C3" s="186" t="s">
        <v>244</v>
      </c>
      <c r="D3" s="4">
        <v>1684</v>
      </c>
      <c r="E3" s="4">
        <v>1684</v>
      </c>
      <c r="F3" s="242">
        <f t="shared" ref="F3:F66" si="0">D3-E3</f>
        <v>0</v>
      </c>
      <c r="G3">
        <v>13.54</v>
      </c>
      <c r="H3">
        <v>13.54</v>
      </c>
      <c r="I3">
        <f t="shared" ref="I3:I66" si="1">G3-H3</f>
        <v>0</v>
      </c>
      <c r="J3">
        <v>22805</v>
      </c>
      <c r="K3">
        <v>22805</v>
      </c>
      <c r="L3">
        <f t="shared" ref="L3:L66" si="2">J3-K3</f>
        <v>0</v>
      </c>
    </row>
    <row r="4" spans="1:13" x14ac:dyDescent="0.3">
      <c r="A4" s="1" t="s">
        <v>153</v>
      </c>
      <c r="B4" s="1" t="s">
        <v>69</v>
      </c>
      <c r="C4" s="186" t="s">
        <v>244</v>
      </c>
      <c r="D4" s="4">
        <v>1684</v>
      </c>
      <c r="E4" s="4">
        <v>1684</v>
      </c>
      <c r="F4" s="242">
        <f t="shared" si="0"/>
        <v>0</v>
      </c>
      <c r="G4">
        <v>14.81</v>
      </c>
      <c r="H4">
        <v>14.81</v>
      </c>
      <c r="I4">
        <f t="shared" si="1"/>
        <v>0</v>
      </c>
      <c r="J4">
        <v>24934</v>
      </c>
      <c r="K4">
        <v>24934</v>
      </c>
      <c r="L4">
        <f t="shared" si="2"/>
        <v>0</v>
      </c>
    </row>
    <row r="5" spans="1:13" x14ac:dyDescent="0.3">
      <c r="A5" s="1" t="s">
        <v>153</v>
      </c>
      <c r="B5" s="1" t="s">
        <v>70</v>
      </c>
      <c r="C5" s="186" t="s">
        <v>244</v>
      </c>
      <c r="D5" s="4">
        <v>1262</v>
      </c>
      <c r="E5" s="4">
        <v>1262</v>
      </c>
      <c r="F5" s="242">
        <f t="shared" si="0"/>
        <v>0</v>
      </c>
      <c r="G5">
        <v>12.26</v>
      </c>
      <c r="H5">
        <v>12.26</v>
      </c>
      <c r="I5">
        <f t="shared" si="1"/>
        <v>0</v>
      </c>
      <c r="J5">
        <v>15472</v>
      </c>
      <c r="K5">
        <v>15472</v>
      </c>
      <c r="L5">
        <f t="shared" si="2"/>
        <v>0</v>
      </c>
    </row>
    <row r="6" spans="1:13" x14ac:dyDescent="0.3">
      <c r="A6" s="1" t="s">
        <v>153</v>
      </c>
      <c r="B6" s="1" t="s">
        <v>74</v>
      </c>
      <c r="C6" s="186" t="s">
        <v>244</v>
      </c>
      <c r="D6" s="6">
        <v>1894</v>
      </c>
      <c r="E6" s="4">
        <v>1894</v>
      </c>
      <c r="F6" s="242">
        <f t="shared" si="0"/>
        <v>0</v>
      </c>
      <c r="G6">
        <v>14.96</v>
      </c>
      <c r="H6">
        <v>14.96</v>
      </c>
      <c r="I6">
        <f t="shared" si="1"/>
        <v>0</v>
      </c>
      <c r="J6">
        <v>28343</v>
      </c>
      <c r="K6">
        <v>28343</v>
      </c>
      <c r="L6">
        <f t="shared" si="2"/>
        <v>0</v>
      </c>
    </row>
    <row r="7" spans="1:13" x14ac:dyDescent="0.3">
      <c r="A7" s="1" t="s">
        <v>153</v>
      </c>
      <c r="B7" s="1" t="s">
        <v>75</v>
      </c>
      <c r="C7" s="186" t="s">
        <v>244</v>
      </c>
      <c r="D7" s="6">
        <v>1894</v>
      </c>
      <c r="E7" s="4">
        <v>1894</v>
      </c>
      <c r="F7" s="242">
        <f t="shared" si="0"/>
        <v>0</v>
      </c>
      <c r="G7">
        <v>4.3600000000000003</v>
      </c>
      <c r="H7">
        <v>4.3600000000000003</v>
      </c>
      <c r="I7">
        <f t="shared" si="1"/>
        <v>0</v>
      </c>
      <c r="J7">
        <v>8256</v>
      </c>
      <c r="K7">
        <v>8256</v>
      </c>
      <c r="L7">
        <f t="shared" si="2"/>
        <v>0</v>
      </c>
    </row>
    <row r="8" spans="1:13" x14ac:dyDescent="0.3">
      <c r="A8" s="1" t="s">
        <v>153</v>
      </c>
      <c r="B8" s="1" t="s">
        <v>76</v>
      </c>
      <c r="C8" s="186" t="s">
        <v>244</v>
      </c>
      <c r="D8" s="6">
        <v>1894</v>
      </c>
      <c r="E8" s="4">
        <v>1894</v>
      </c>
      <c r="F8" s="242">
        <f t="shared" si="0"/>
        <v>0</v>
      </c>
      <c r="G8">
        <v>7.85</v>
      </c>
      <c r="H8">
        <v>7.85</v>
      </c>
      <c r="I8">
        <f t="shared" si="1"/>
        <v>0</v>
      </c>
      <c r="J8">
        <v>14870</v>
      </c>
      <c r="K8">
        <v>14870</v>
      </c>
      <c r="L8">
        <f t="shared" si="2"/>
        <v>0</v>
      </c>
    </row>
    <row r="9" spans="1:13" x14ac:dyDescent="0.3">
      <c r="A9" s="1" t="s">
        <v>153</v>
      </c>
      <c r="B9" s="1" t="s">
        <v>77</v>
      </c>
      <c r="C9" s="186" t="s">
        <v>244</v>
      </c>
      <c r="D9" s="6">
        <v>1905</v>
      </c>
      <c r="E9" s="4">
        <v>1905</v>
      </c>
      <c r="F9" s="242">
        <f t="shared" si="0"/>
        <v>0</v>
      </c>
      <c r="G9">
        <v>13.08</v>
      </c>
      <c r="H9">
        <v>13.08</v>
      </c>
      <c r="I9">
        <f t="shared" si="1"/>
        <v>0</v>
      </c>
      <c r="J9">
        <v>24926</v>
      </c>
      <c r="K9">
        <v>24926</v>
      </c>
      <c r="L9">
        <f t="shared" si="2"/>
        <v>0</v>
      </c>
    </row>
    <row r="10" spans="1:13" x14ac:dyDescent="0.3">
      <c r="A10" s="1" t="s">
        <v>371</v>
      </c>
      <c r="B10" s="1" t="s">
        <v>23</v>
      </c>
      <c r="C10" s="187" t="s">
        <v>242</v>
      </c>
      <c r="D10" s="4">
        <v>2070</v>
      </c>
      <c r="E10" s="4">
        <v>2070</v>
      </c>
      <c r="F10" s="242">
        <f t="shared" si="0"/>
        <v>0</v>
      </c>
      <c r="G10">
        <v>13.75</v>
      </c>
      <c r="H10">
        <v>13.77</v>
      </c>
      <c r="I10">
        <f t="shared" si="1"/>
        <v>-1.9999999999999574E-2</v>
      </c>
      <c r="J10" s="243">
        <v>28460</v>
      </c>
      <c r="K10">
        <v>28498</v>
      </c>
      <c r="L10">
        <f t="shared" si="2"/>
        <v>-38</v>
      </c>
    </row>
    <row r="11" spans="1:13" x14ac:dyDescent="0.3">
      <c r="A11" s="1" t="s">
        <v>371</v>
      </c>
      <c r="B11" s="1" t="s">
        <v>24</v>
      </c>
      <c r="C11" s="187" t="s">
        <v>242</v>
      </c>
      <c r="D11" s="4">
        <v>2070</v>
      </c>
      <c r="E11" s="4">
        <v>2070</v>
      </c>
      <c r="F11" s="242">
        <f t="shared" si="0"/>
        <v>0</v>
      </c>
      <c r="G11">
        <v>12.89</v>
      </c>
      <c r="H11">
        <v>12.96</v>
      </c>
      <c r="I11">
        <f t="shared" si="1"/>
        <v>-7.0000000000000284E-2</v>
      </c>
      <c r="J11" s="243">
        <v>26685</v>
      </c>
      <c r="K11">
        <v>26824</v>
      </c>
      <c r="L11">
        <f t="shared" si="2"/>
        <v>-139</v>
      </c>
    </row>
    <row r="12" spans="1:13" x14ac:dyDescent="0.3">
      <c r="A12" s="1" t="s">
        <v>371</v>
      </c>
      <c r="B12" s="1" t="s">
        <v>25</v>
      </c>
      <c r="C12" s="187" t="s">
        <v>242</v>
      </c>
      <c r="D12" s="4">
        <v>2070</v>
      </c>
      <c r="E12" s="4">
        <v>2070</v>
      </c>
      <c r="F12" s="242">
        <f t="shared" si="0"/>
        <v>0</v>
      </c>
      <c r="G12">
        <v>14.22</v>
      </c>
      <c r="H12">
        <v>14.21</v>
      </c>
      <c r="I12">
        <f t="shared" si="1"/>
        <v>9.9999999999997868E-3</v>
      </c>
      <c r="J12" s="243">
        <v>29441</v>
      </c>
      <c r="K12">
        <v>29422</v>
      </c>
      <c r="L12">
        <f t="shared" si="2"/>
        <v>19</v>
      </c>
    </row>
    <row r="13" spans="1:13" x14ac:dyDescent="0.3">
      <c r="A13" s="1" t="s">
        <v>371</v>
      </c>
      <c r="B13" s="1" t="s">
        <v>33</v>
      </c>
      <c r="C13" s="187" t="s">
        <v>242</v>
      </c>
      <c r="D13" s="4">
        <v>1953</v>
      </c>
      <c r="E13" s="4">
        <v>1953</v>
      </c>
      <c r="F13" s="242">
        <f t="shared" si="0"/>
        <v>0</v>
      </c>
      <c r="G13">
        <v>14.42</v>
      </c>
      <c r="H13">
        <v>14.42</v>
      </c>
      <c r="I13">
        <f t="shared" si="1"/>
        <v>0</v>
      </c>
      <c r="J13">
        <v>28153</v>
      </c>
      <c r="K13">
        <v>28168</v>
      </c>
      <c r="L13">
        <f t="shared" si="2"/>
        <v>-15</v>
      </c>
    </row>
    <row r="14" spans="1:13" x14ac:dyDescent="0.3">
      <c r="A14" s="1" t="s">
        <v>371</v>
      </c>
      <c r="B14" s="1" t="s">
        <v>35</v>
      </c>
      <c r="C14" s="187" t="s">
        <v>242</v>
      </c>
      <c r="D14" s="4">
        <v>1953</v>
      </c>
      <c r="E14" s="4">
        <v>1953</v>
      </c>
      <c r="F14" s="242">
        <f t="shared" si="0"/>
        <v>0</v>
      </c>
      <c r="G14">
        <v>14.27</v>
      </c>
      <c r="H14">
        <v>14.27</v>
      </c>
      <c r="I14">
        <f t="shared" si="1"/>
        <v>0</v>
      </c>
      <c r="J14">
        <v>27869</v>
      </c>
      <c r="K14">
        <v>27870</v>
      </c>
      <c r="L14">
        <f t="shared" si="2"/>
        <v>-1</v>
      </c>
    </row>
    <row r="15" spans="1:13" x14ac:dyDescent="0.3">
      <c r="A15" s="1" t="s">
        <v>371</v>
      </c>
      <c r="B15" s="1" t="s">
        <v>36</v>
      </c>
      <c r="C15" s="187" t="s">
        <v>242</v>
      </c>
      <c r="D15" s="4">
        <v>1953</v>
      </c>
      <c r="E15" s="4">
        <v>1953</v>
      </c>
      <c r="F15" s="242">
        <f t="shared" si="0"/>
        <v>0</v>
      </c>
      <c r="G15">
        <v>14.65</v>
      </c>
      <c r="H15">
        <v>14.65</v>
      </c>
      <c r="I15">
        <f t="shared" si="1"/>
        <v>0</v>
      </c>
      <c r="J15">
        <v>28615</v>
      </c>
      <c r="K15">
        <v>28615</v>
      </c>
      <c r="L15">
        <f t="shared" si="2"/>
        <v>0</v>
      </c>
    </row>
    <row r="16" spans="1:13" x14ac:dyDescent="0.3">
      <c r="A16" s="1" t="s">
        <v>371</v>
      </c>
      <c r="B16" s="1" t="s">
        <v>37</v>
      </c>
      <c r="C16" s="187" t="s">
        <v>242</v>
      </c>
      <c r="D16" s="4">
        <v>1780</v>
      </c>
      <c r="E16" s="4">
        <v>1780</v>
      </c>
      <c r="F16" s="242">
        <f t="shared" si="0"/>
        <v>0</v>
      </c>
      <c r="G16">
        <v>14.09</v>
      </c>
      <c r="H16">
        <v>14.09</v>
      </c>
      <c r="I16">
        <f t="shared" si="1"/>
        <v>0</v>
      </c>
      <c r="J16">
        <v>25088</v>
      </c>
      <c r="K16">
        <v>25088</v>
      </c>
      <c r="L16">
        <f t="shared" si="2"/>
        <v>0</v>
      </c>
    </row>
    <row r="17" spans="1:12" x14ac:dyDescent="0.3">
      <c r="A17" s="1" t="s">
        <v>371</v>
      </c>
      <c r="B17" s="1" t="s">
        <v>38</v>
      </c>
      <c r="C17" s="187" t="s">
        <v>242</v>
      </c>
      <c r="D17" s="4">
        <v>1780</v>
      </c>
      <c r="E17" s="4">
        <v>1780</v>
      </c>
      <c r="F17" s="242">
        <f t="shared" si="0"/>
        <v>0</v>
      </c>
      <c r="G17">
        <v>14.74</v>
      </c>
      <c r="H17">
        <v>14.74</v>
      </c>
      <c r="I17">
        <f t="shared" si="1"/>
        <v>0</v>
      </c>
      <c r="J17">
        <v>26240</v>
      </c>
      <c r="K17">
        <v>26240</v>
      </c>
      <c r="L17">
        <f t="shared" si="2"/>
        <v>0</v>
      </c>
    </row>
    <row r="18" spans="1:12" x14ac:dyDescent="0.3">
      <c r="A18" s="1" t="s">
        <v>371</v>
      </c>
      <c r="B18" s="1" t="s">
        <v>39</v>
      </c>
      <c r="C18" s="187" t="s">
        <v>242</v>
      </c>
      <c r="D18" s="4">
        <v>1780</v>
      </c>
      <c r="E18" s="4">
        <v>1780</v>
      </c>
      <c r="F18" s="242">
        <f t="shared" si="0"/>
        <v>0</v>
      </c>
      <c r="G18">
        <v>14.96</v>
      </c>
      <c r="H18">
        <v>14.96</v>
      </c>
      <c r="I18">
        <f t="shared" si="1"/>
        <v>0</v>
      </c>
      <c r="J18">
        <v>26631</v>
      </c>
      <c r="K18">
        <v>26634</v>
      </c>
      <c r="L18">
        <f t="shared" si="2"/>
        <v>-3</v>
      </c>
    </row>
    <row r="19" spans="1:12" x14ac:dyDescent="0.3">
      <c r="A19" s="1" t="s">
        <v>49</v>
      </c>
      <c r="B19" s="1" t="s">
        <v>51</v>
      </c>
      <c r="C19" s="186" t="s">
        <v>248</v>
      </c>
      <c r="D19" s="4">
        <v>1780</v>
      </c>
      <c r="E19" s="4">
        <v>1780</v>
      </c>
      <c r="F19" s="242">
        <f t="shared" si="0"/>
        <v>0</v>
      </c>
      <c r="G19">
        <v>7.05</v>
      </c>
      <c r="H19">
        <v>7.05</v>
      </c>
      <c r="I19">
        <f t="shared" si="1"/>
        <v>0</v>
      </c>
      <c r="J19">
        <v>12544</v>
      </c>
      <c r="K19">
        <v>12544</v>
      </c>
      <c r="L19">
        <f t="shared" si="2"/>
        <v>0</v>
      </c>
    </row>
    <row r="20" spans="1:12" x14ac:dyDescent="0.3">
      <c r="A20" s="1" t="s">
        <v>49</v>
      </c>
      <c r="B20" s="1" t="s">
        <v>71</v>
      </c>
      <c r="C20" s="186" t="s">
        <v>244</v>
      </c>
      <c r="D20" s="4">
        <v>1780.2</v>
      </c>
      <c r="E20" s="4">
        <v>1780</v>
      </c>
      <c r="F20" s="242">
        <f t="shared" si="0"/>
        <v>0.20000000000004547</v>
      </c>
      <c r="G20">
        <v>15</v>
      </c>
      <c r="H20">
        <v>15</v>
      </c>
      <c r="I20">
        <f t="shared" si="1"/>
        <v>0</v>
      </c>
      <c r="J20">
        <v>26703</v>
      </c>
      <c r="K20">
        <v>26703</v>
      </c>
      <c r="L20">
        <f t="shared" si="2"/>
        <v>0</v>
      </c>
    </row>
    <row r="21" spans="1:12" x14ac:dyDescent="0.3">
      <c r="A21" s="1" t="s">
        <v>49</v>
      </c>
      <c r="B21" s="1" t="s">
        <v>72</v>
      </c>
      <c r="C21" s="186" t="s">
        <v>244</v>
      </c>
      <c r="D21" s="4">
        <v>1780.2</v>
      </c>
      <c r="E21" s="4">
        <v>1780</v>
      </c>
      <c r="F21" s="242">
        <f t="shared" si="0"/>
        <v>0.20000000000004547</v>
      </c>
      <c r="G21">
        <v>14.99</v>
      </c>
      <c r="H21">
        <v>14.99</v>
      </c>
      <c r="I21">
        <f t="shared" si="1"/>
        <v>0</v>
      </c>
      <c r="J21">
        <v>26688</v>
      </c>
      <c r="K21">
        <v>26688</v>
      </c>
      <c r="L21">
        <f t="shared" si="2"/>
        <v>0</v>
      </c>
    </row>
    <row r="22" spans="1:12" x14ac:dyDescent="0.3">
      <c r="A22" s="1" t="s">
        <v>49</v>
      </c>
      <c r="B22" s="1" t="s">
        <v>73</v>
      </c>
      <c r="C22" s="186" t="s">
        <v>244</v>
      </c>
      <c r="D22" s="4">
        <v>1779.3333333333333</v>
      </c>
      <c r="E22" s="4">
        <v>1780</v>
      </c>
      <c r="F22" s="242">
        <f t="shared" si="0"/>
        <v>-0.66666666666674246</v>
      </c>
      <c r="G22">
        <v>15</v>
      </c>
      <c r="H22">
        <v>14.99</v>
      </c>
      <c r="I22">
        <f t="shared" si="1"/>
        <v>9.9999999999997868E-3</v>
      </c>
      <c r="J22" s="243">
        <v>26690</v>
      </c>
      <c r="K22">
        <v>26675</v>
      </c>
      <c r="L22">
        <f t="shared" si="2"/>
        <v>15</v>
      </c>
    </row>
    <row r="23" spans="1:12" x14ac:dyDescent="0.3">
      <c r="A23" s="1" t="s">
        <v>49</v>
      </c>
      <c r="B23" s="1" t="s">
        <v>81</v>
      </c>
      <c r="C23" s="186" t="s">
        <v>247</v>
      </c>
      <c r="D23" s="4">
        <v>1780</v>
      </c>
      <c r="E23" s="4">
        <v>1780</v>
      </c>
      <c r="F23" s="242">
        <f t="shared" si="0"/>
        <v>0</v>
      </c>
      <c r="G23">
        <v>14.77</v>
      </c>
      <c r="H23">
        <v>14.77</v>
      </c>
      <c r="I23">
        <f t="shared" si="1"/>
        <v>0</v>
      </c>
      <c r="J23">
        <v>26289</v>
      </c>
      <c r="K23">
        <v>26289</v>
      </c>
      <c r="L23">
        <f t="shared" si="2"/>
        <v>0</v>
      </c>
    </row>
    <row r="24" spans="1:12" x14ac:dyDescent="0.3">
      <c r="A24" s="1" t="s">
        <v>49</v>
      </c>
      <c r="B24" s="1" t="s">
        <v>82</v>
      </c>
      <c r="C24" s="186" t="s">
        <v>247</v>
      </c>
      <c r="D24" s="4">
        <v>1780</v>
      </c>
      <c r="E24" s="4">
        <v>1780</v>
      </c>
      <c r="F24" s="242">
        <f t="shared" si="0"/>
        <v>0</v>
      </c>
      <c r="G24">
        <v>14.75</v>
      </c>
      <c r="H24">
        <v>14.75</v>
      </c>
      <c r="I24">
        <f t="shared" si="1"/>
        <v>0</v>
      </c>
      <c r="J24">
        <v>26253</v>
      </c>
      <c r="K24">
        <v>26253</v>
      </c>
      <c r="L24">
        <f t="shared" si="2"/>
        <v>0</v>
      </c>
    </row>
    <row r="25" spans="1:12" x14ac:dyDescent="0.3">
      <c r="A25" s="1" t="s">
        <v>49</v>
      </c>
      <c r="B25" s="1" t="s">
        <v>51</v>
      </c>
      <c r="C25" s="186" t="s">
        <v>247</v>
      </c>
      <c r="D25" s="4">
        <v>1780</v>
      </c>
      <c r="E25" s="4">
        <v>1780</v>
      </c>
      <c r="F25" s="242">
        <f t="shared" si="0"/>
        <v>0</v>
      </c>
      <c r="G25">
        <v>6.91</v>
      </c>
      <c r="H25">
        <v>6.91</v>
      </c>
      <c r="I25">
        <f t="shared" si="1"/>
        <v>0</v>
      </c>
      <c r="J25">
        <v>12306</v>
      </c>
      <c r="K25">
        <v>12306</v>
      </c>
      <c r="L25">
        <f t="shared" si="2"/>
        <v>0</v>
      </c>
    </row>
    <row r="26" spans="1:12" x14ac:dyDescent="0.3">
      <c r="A26" s="1" t="s">
        <v>53</v>
      </c>
      <c r="B26" s="1" t="s">
        <v>52</v>
      </c>
      <c r="C26" s="186" t="s">
        <v>248</v>
      </c>
      <c r="D26" s="4">
        <v>1905</v>
      </c>
      <c r="E26" s="4">
        <v>1905</v>
      </c>
      <c r="F26" s="242">
        <f t="shared" si="0"/>
        <v>0</v>
      </c>
      <c r="G26">
        <v>2.29</v>
      </c>
      <c r="H26">
        <v>2.29</v>
      </c>
      <c r="I26">
        <f t="shared" si="1"/>
        <v>0</v>
      </c>
      <c r="J26">
        <v>4367</v>
      </c>
      <c r="K26">
        <v>4367</v>
      </c>
      <c r="L26">
        <f t="shared" si="2"/>
        <v>0</v>
      </c>
    </row>
    <row r="27" spans="1:12" x14ac:dyDescent="0.3">
      <c r="A27" s="1" t="s">
        <v>53</v>
      </c>
      <c r="B27" s="1" t="s">
        <v>54</v>
      </c>
      <c r="C27" s="186" t="s">
        <v>248</v>
      </c>
      <c r="D27" s="4">
        <v>1905</v>
      </c>
      <c r="E27" s="4">
        <v>1905</v>
      </c>
      <c r="F27" s="242">
        <f t="shared" si="0"/>
        <v>0</v>
      </c>
      <c r="G27">
        <v>13.61</v>
      </c>
      <c r="H27">
        <v>13.61</v>
      </c>
      <c r="I27">
        <f t="shared" si="1"/>
        <v>0</v>
      </c>
      <c r="J27">
        <v>25923</v>
      </c>
      <c r="K27">
        <v>25923</v>
      </c>
      <c r="L27">
        <f t="shared" si="2"/>
        <v>0</v>
      </c>
    </row>
    <row r="28" spans="1:12" x14ac:dyDescent="0.3">
      <c r="A28" s="1" t="s">
        <v>53</v>
      </c>
      <c r="B28" s="1" t="s">
        <v>55</v>
      </c>
      <c r="C28" s="186" t="s">
        <v>248</v>
      </c>
      <c r="D28" s="4">
        <v>1905</v>
      </c>
      <c r="E28" s="4">
        <v>1905</v>
      </c>
      <c r="F28" s="242">
        <f t="shared" si="0"/>
        <v>0</v>
      </c>
      <c r="G28">
        <v>9.73</v>
      </c>
      <c r="H28">
        <v>9.0299999999999994</v>
      </c>
      <c r="I28">
        <f t="shared" si="1"/>
        <v>0.70000000000000107</v>
      </c>
      <c r="J28" s="246">
        <v>18533</v>
      </c>
      <c r="K28" s="245">
        <v>17201</v>
      </c>
      <c r="L28">
        <f t="shared" si="2"/>
        <v>1332</v>
      </c>
    </row>
    <row r="29" spans="1:12" x14ac:dyDescent="0.3">
      <c r="A29" s="1" t="s">
        <v>53</v>
      </c>
      <c r="B29" s="1" t="s">
        <v>56</v>
      </c>
      <c r="C29" s="186" t="s">
        <v>248</v>
      </c>
      <c r="D29" s="4">
        <v>1905</v>
      </c>
      <c r="E29" s="4">
        <v>1905</v>
      </c>
      <c r="F29" s="242">
        <f t="shared" si="0"/>
        <v>0</v>
      </c>
      <c r="G29">
        <v>13.81</v>
      </c>
      <c r="H29">
        <v>13.58</v>
      </c>
      <c r="I29">
        <f t="shared" si="1"/>
        <v>0.23000000000000043</v>
      </c>
      <c r="J29">
        <v>26303</v>
      </c>
      <c r="K29">
        <v>25868</v>
      </c>
      <c r="L29">
        <f t="shared" si="2"/>
        <v>435</v>
      </c>
    </row>
    <row r="30" spans="1:12" x14ac:dyDescent="0.3">
      <c r="A30" s="1" t="s">
        <v>53</v>
      </c>
      <c r="B30" s="1" t="s">
        <v>57</v>
      </c>
      <c r="C30" s="186" t="s">
        <v>248</v>
      </c>
      <c r="D30" s="4">
        <v>1905</v>
      </c>
      <c r="E30" s="4">
        <v>1905</v>
      </c>
      <c r="F30" s="242">
        <f t="shared" si="0"/>
        <v>0</v>
      </c>
      <c r="G30">
        <v>14.15</v>
      </c>
      <c r="H30">
        <v>14.16</v>
      </c>
      <c r="I30">
        <f t="shared" si="1"/>
        <v>-9.9999999999997868E-3</v>
      </c>
      <c r="J30">
        <v>26965</v>
      </c>
      <c r="K30">
        <v>26967</v>
      </c>
      <c r="L30">
        <f t="shared" si="2"/>
        <v>-2</v>
      </c>
    </row>
    <row r="31" spans="1:12" x14ac:dyDescent="0.3">
      <c r="A31" s="1" t="s">
        <v>53</v>
      </c>
      <c r="B31" s="1" t="s">
        <v>58</v>
      </c>
      <c r="C31" s="186" t="s">
        <v>248</v>
      </c>
      <c r="D31" s="4">
        <v>1905</v>
      </c>
      <c r="E31" s="4">
        <v>1905</v>
      </c>
      <c r="F31" s="242">
        <f t="shared" si="0"/>
        <v>0</v>
      </c>
      <c r="G31">
        <v>6.85</v>
      </c>
      <c r="H31" s="244">
        <v>5.94</v>
      </c>
      <c r="I31">
        <f t="shared" si="1"/>
        <v>0.90999999999999925</v>
      </c>
      <c r="J31">
        <v>13055</v>
      </c>
      <c r="K31" s="244">
        <v>11308</v>
      </c>
      <c r="L31">
        <f t="shared" si="2"/>
        <v>1747</v>
      </c>
    </row>
    <row r="32" spans="1:12" x14ac:dyDescent="0.3">
      <c r="A32" s="1" t="s">
        <v>53</v>
      </c>
      <c r="B32" s="1" t="s">
        <v>130</v>
      </c>
      <c r="C32" s="186" t="s">
        <v>246</v>
      </c>
      <c r="D32" s="4">
        <v>1780</v>
      </c>
      <c r="E32" s="4">
        <v>1780</v>
      </c>
      <c r="F32" s="242">
        <f t="shared" si="0"/>
        <v>0</v>
      </c>
      <c r="G32">
        <v>10.65</v>
      </c>
      <c r="H32">
        <v>10.65</v>
      </c>
      <c r="I32">
        <f t="shared" si="1"/>
        <v>0</v>
      </c>
      <c r="J32">
        <v>18959</v>
      </c>
      <c r="K32">
        <v>18959</v>
      </c>
      <c r="L32">
        <f t="shared" si="2"/>
        <v>0</v>
      </c>
    </row>
    <row r="33" spans="1:12" x14ac:dyDescent="0.3">
      <c r="A33" s="1" t="s">
        <v>53</v>
      </c>
      <c r="B33" s="1" t="s">
        <v>63</v>
      </c>
      <c r="C33" s="186" t="s">
        <v>246</v>
      </c>
      <c r="D33" s="4">
        <v>1780</v>
      </c>
      <c r="E33" s="4">
        <v>1780</v>
      </c>
      <c r="F33" s="242">
        <f t="shared" si="0"/>
        <v>0</v>
      </c>
      <c r="G33">
        <v>14.45</v>
      </c>
      <c r="H33">
        <v>14.45</v>
      </c>
      <c r="I33">
        <f t="shared" si="1"/>
        <v>0</v>
      </c>
      <c r="J33">
        <v>25720</v>
      </c>
      <c r="K33">
        <v>25720</v>
      </c>
      <c r="L33">
        <f t="shared" si="2"/>
        <v>0</v>
      </c>
    </row>
    <row r="34" spans="1:12" x14ac:dyDescent="0.3">
      <c r="A34" s="1" t="s">
        <v>53</v>
      </c>
      <c r="B34" s="1" t="s">
        <v>64</v>
      </c>
      <c r="C34" s="186" t="s">
        <v>246</v>
      </c>
      <c r="D34" s="4">
        <v>1780</v>
      </c>
      <c r="E34" s="4">
        <v>1780</v>
      </c>
      <c r="F34" s="242">
        <f t="shared" si="0"/>
        <v>0</v>
      </c>
      <c r="G34">
        <v>13.64</v>
      </c>
      <c r="H34">
        <v>13.64</v>
      </c>
      <c r="I34">
        <f t="shared" si="1"/>
        <v>0</v>
      </c>
      <c r="J34">
        <v>24277</v>
      </c>
      <c r="K34">
        <v>24277</v>
      </c>
      <c r="L34">
        <f t="shared" si="2"/>
        <v>0</v>
      </c>
    </row>
    <row r="35" spans="1:12" x14ac:dyDescent="0.3">
      <c r="A35" s="1" t="s">
        <v>53</v>
      </c>
      <c r="B35" s="1" t="s">
        <v>90</v>
      </c>
      <c r="C35" s="186" t="s">
        <v>245</v>
      </c>
      <c r="D35" s="4">
        <v>1905</v>
      </c>
      <c r="E35" s="4">
        <v>1914</v>
      </c>
      <c r="F35" s="242">
        <f t="shared" si="0"/>
        <v>-9</v>
      </c>
      <c r="G35">
        <v>11.75</v>
      </c>
      <c r="H35">
        <v>11.76</v>
      </c>
      <c r="I35">
        <f t="shared" si="1"/>
        <v>-9.9999999999997868E-3</v>
      </c>
      <c r="J35">
        <v>22389</v>
      </c>
      <c r="K35">
        <v>22395</v>
      </c>
      <c r="L35">
        <f t="shared" si="2"/>
        <v>-6</v>
      </c>
    </row>
    <row r="36" spans="1:12" x14ac:dyDescent="0.3">
      <c r="A36" s="1" t="s">
        <v>53</v>
      </c>
      <c r="B36" s="1" t="s">
        <v>92</v>
      </c>
      <c r="C36" s="186" t="s">
        <v>245</v>
      </c>
      <c r="D36" s="4">
        <v>1905</v>
      </c>
      <c r="E36" s="4">
        <v>1914</v>
      </c>
      <c r="F36" s="242">
        <f t="shared" si="0"/>
        <v>-9</v>
      </c>
      <c r="G36">
        <v>14.89</v>
      </c>
      <c r="H36">
        <v>14.89</v>
      </c>
      <c r="I36">
        <f t="shared" si="1"/>
        <v>0</v>
      </c>
      <c r="J36">
        <v>28356</v>
      </c>
      <c r="K36">
        <v>28356</v>
      </c>
      <c r="L36">
        <f t="shared" si="2"/>
        <v>0</v>
      </c>
    </row>
    <row r="37" spans="1:12" x14ac:dyDescent="0.3">
      <c r="A37" s="1" t="s">
        <v>53</v>
      </c>
      <c r="B37" s="1" t="s">
        <v>80</v>
      </c>
      <c r="C37" s="186" t="s">
        <v>245</v>
      </c>
      <c r="D37" s="4">
        <v>1780</v>
      </c>
      <c r="E37" s="4">
        <v>1780</v>
      </c>
      <c r="F37" s="242">
        <f t="shared" si="0"/>
        <v>0</v>
      </c>
      <c r="G37">
        <v>10.7</v>
      </c>
      <c r="H37">
        <v>10.7</v>
      </c>
      <c r="I37">
        <f t="shared" si="1"/>
        <v>0</v>
      </c>
      <c r="J37">
        <v>19038</v>
      </c>
      <c r="K37">
        <v>19039</v>
      </c>
      <c r="L37">
        <f t="shared" si="2"/>
        <v>-1</v>
      </c>
    </row>
    <row r="38" spans="1:12" x14ac:dyDescent="0.3">
      <c r="A38" s="1" t="s">
        <v>28</v>
      </c>
      <c r="B38" s="1" t="s">
        <v>48</v>
      </c>
      <c r="C38" s="186" t="s">
        <v>245</v>
      </c>
      <c r="D38" s="6">
        <v>1905</v>
      </c>
      <c r="E38" s="4">
        <v>1905</v>
      </c>
      <c r="F38" s="242">
        <f t="shared" si="0"/>
        <v>0</v>
      </c>
      <c r="G38">
        <v>18.32</v>
      </c>
      <c r="H38">
        <v>18.32</v>
      </c>
      <c r="I38">
        <f t="shared" si="1"/>
        <v>0</v>
      </c>
      <c r="J38">
        <v>34907</v>
      </c>
      <c r="K38">
        <v>34897</v>
      </c>
      <c r="L38">
        <f t="shared" si="2"/>
        <v>10</v>
      </c>
    </row>
    <row r="39" spans="1:12" x14ac:dyDescent="0.3">
      <c r="A39" s="1" t="s">
        <v>28</v>
      </c>
      <c r="B39" s="1" t="s">
        <v>50</v>
      </c>
      <c r="C39" s="186" t="s">
        <v>245</v>
      </c>
      <c r="D39" s="6">
        <v>1905</v>
      </c>
      <c r="E39" s="4">
        <v>1905</v>
      </c>
      <c r="F39" s="242">
        <f t="shared" si="0"/>
        <v>0</v>
      </c>
      <c r="G39">
        <v>16.53</v>
      </c>
      <c r="H39">
        <v>16.46</v>
      </c>
      <c r="I39">
        <f t="shared" si="1"/>
        <v>7.0000000000000284E-2</v>
      </c>
      <c r="J39">
        <v>31495</v>
      </c>
      <c r="K39">
        <v>31357</v>
      </c>
      <c r="L39">
        <f t="shared" si="2"/>
        <v>138</v>
      </c>
    </row>
    <row r="40" spans="1:12" x14ac:dyDescent="0.3">
      <c r="A40" s="1" t="s">
        <v>28</v>
      </c>
      <c r="B40" s="1" t="s">
        <v>96</v>
      </c>
      <c r="C40" s="186" t="s">
        <v>245</v>
      </c>
      <c r="D40" s="4">
        <v>1905</v>
      </c>
      <c r="E40" s="4">
        <v>1905</v>
      </c>
      <c r="F40" s="242">
        <f t="shared" si="0"/>
        <v>0</v>
      </c>
      <c r="G40">
        <v>12.07</v>
      </c>
      <c r="H40">
        <v>12.07</v>
      </c>
      <c r="I40">
        <f t="shared" si="1"/>
        <v>0</v>
      </c>
      <c r="J40">
        <v>22984</v>
      </c>
      <c r="K40">
        <v>22986</v>
      </c>
      <c r="L40">
        <f t="shared" si="2"/>
        <v>-2</v>
      </c>
    </row>
    <row r="41" spans="1:12" x14ac:dyDescent="0.3">
      <c r="A41" s="1" t="s">
        <v>28</v>
      </c>
      <c r="B41" s="1" t="s">
        <v>97</v>
      </c>
      <c r="C41" s="186" t="s">
        <v>245</v>
      </c>
      <c r="D41" s="4">
        <v>1905</v>
      </c>
      <c r="E41" s="4">
        <v>1905</v>
      </c>
      <c r="F41" s="242">
        <f t="shared" si="0"/>
        <v>0</v>
      </c>
      <c r="G41">
        <v>16.93</v>
      </c>
      <c r="H41">
        <v>16.93</v>
      </c>
      <c r="I41">
        <f t="shared" si="1"/>
        <v>0</v>
      </c>
      <c r="J41">
        <v>32261</v>
      </c>
      <c r="K41">
        <v>32260</v>
      </c>
      <c r="L41">
        <f t="shared" si="2"/>
        <v>1</v>
      </c>
    </row>
    <row r="42" spans="1:12" x14ac:dyDescent="0.3">
      <c r="A42" s="1" t="s">
        <v>28</v>
      </c>
      <c r="B42" s="1" t="s">
        <v>98</v>
      </c>
      <c r="C42" s="186" t="s">
        <v>245</v>
      </c>
      <c r="D42" s="4">
        <v>1905</v>
      </c>
      <c r="E42" s="4">
        <v>1905</v>
      </c>
      <c r="F42" s="242">
        <f t="shared" si="0"/>
        <v>0</v>
      </c>
      <c r="G42">
        <v>7.51</v>
      </c>
      <c r="H42">
        <v>7.52</v>
      </c>
      <c r="I42">
        <f t="shared" si="1"/>
        <v>-9.9999999999997868E-3</v>
      </c>
      <c r="J42">
        <v>14314</v>
      </c>
      <c r="K42">
        <v>14317</v>
      </c>
      <c r="L42">
        <f t="shared" si="2"/>
        <v>-3</v>
      </c>
    </row>
    <row r="43" spans="1:12" x14ac:dyDescent="0.3">
      <c r="A43" s="1" t="s">
        <v>372</v>
      </c>
      <c r="B43" s="1" t="s">
        <v>6</v>
      </c>
      <c r="C43" s="187" t="s">
        <v>242</v>
      </c>
      <c r="D43" s="4">
        <v>1780</v>
      </c>
      <c r="E43" s="4">
        <v>1780</v>
      </c>
      <c r="F43" s="242">
        <f t="shared" si="0"/>
        <v>0</v>
      </c>
      <c r="G43">
        <v>15.06</v>
      </c>
      <c r="H43">
        <v>15.06</v>
      </c>
      <c r="I43">
        <f t="shared" si="1"/>
        <v>0</v>
      </c>
      <c r="J43">
        <v>26809</v>
      </c>
      <c r="K43">
        <v>26808</v>
      </c>
      <c r="L43">
        <f t="shared" si="2"/>
        <v>1</v>
      </c>
    </row>
    <row r="44" spans="1:12" x14ac:dyDescent="0.3">
      <c r="A44" s="1" t="s">
        <v>372</v>
      </c>
      <c r="B44" s="1" t="s">
        <v>11</v>
      </c>
      <c r="C44" s="187" t="s">
        <v>242</v>
      </c>
      <c r="D44" s="4">
        <v>2133.3778371161548</v>
      </c>
      <c r="E44" s="4">
        <v>2132</v>
      </c>
      <c r="F44" s="242">
        <f t="shared" si="0"/>
        <v>1.3778371161547511</v>
      </c>
      <c r="G44" s="21">
        <v>10</v>
      </c>
      <c r="H44" s="21">
        <v>10</v>
      </c>
      <c r="I44">
        <f t="shared" si="1"/>
        <v>0</v>
      </c>
      <c r="J44">
        <v>21328</v>
      </c>
      <c r="K44">
        <v>21328</v>
      </c>
      <c r="L44">
        <f t="shared" si="2"/>
        <v>0</v>
      </c>
    </row>
    <row r="45" spans="1:12" x14ac:dyDescent="0.3">
      <c r="A45" s="1" t="s">
        <v>372</v>
      </c>
      <c r="B45" s="1" t="s">
        <v>13</v>
      </c>
      <c r="C45" s="187" t="s">
        <v>242</v>
      </c>
      <c r="D45" s="4">
        <v>2132.2829131652661</v>
      </c>
      <c r="E45" s="4">
        <v>2132</v>
      </c>
      <c r="F45" s="242">
        <f t="shared" si="0"/>
        <v>0.28291316526610899</v>
      </c>
      <c r="G45">
        <v>14.28</v>
      </c>
      <c r="H45">
        <v>13.53</v>
      </c>
      <c r="I45">
        <f t="shared" si="1"/>
        <v>0.75</v>
      </c>
      <c r="J45">
        <v>30449</v>
      </c>
      <c r="K45">
        <v>28841</v>
      </c>
      <c r="L45">
        <f t="shared" si="2"/>
        <v>1608</v>
      </c>
    </row>
    <row r="46" spans="1:12" x14ac:dyDescent="0.3">
      <c r="A46" s="1" t="s">
        <v>372</v>
      </c>
      <c r="B46" s="1" t="s">
        <v>14</v>
      </c>
      <c r="C46" s="187" t="s">
        <v>242</v>
      </c>
      <c r="D46" s="4">
        <v>2132</v>
      </c>
      <c r="E46" s="4">
        <v>2132</v>
      </c>
      <c r="F46" s="242">
        <f t="shared" si="0"/>
        <v>0</v>
      </c>
      <c r="G46">
        <v>14.76</v>
      </c>
      <c r="H46">
        <v>14.76</v>
      </c>
      <c r="I46">
        <f t="shared" si="1"/>
        <v>0</v>
      </c>
      <c r="J46">
        <v>31475</v>
      </c>
      <c r="K46">
        <v>31475</v>
      </c>
      <c r="L46">
        <f t="shared" si="2"/>
        <v>0</v>
      </c>
    </row>
    <row r="47" spans="1:12" x14ac:dyDescent="0.3">
      <c r="A47" s="1" t="s">
        <v>372</v>
      </c>
      <c r="B47" s="1" t="s">
        <v>15</v>
      </c>
      <c r="C47" s="187" t="s">
        <v>242</v>
      </c>
      <c r="D47" s="4">
        <v>2131.9191919191921</v>
      </c>
      <c r="E47" s="4">
        <v>2132</v>
      </c>
      <c r="F47" s="242">
        <f t="shared" si="0"/>
        <v>-8.0808080807855731E-2</v>
      </c>
      <c r="G47">
        <v>14.85</v>
      </c>
      <c r="H47">
        <v>14.33</v>
      </c>
      <c r="I47">
        <f t="shared" si="1"/>
        <v>0.51999999999999957</v>
      </c>
      <c r="J47">
        <v>31659</v>
      </c>
      <c r="K47">
        <v>30551</v>
      </c>
      <c r="L47">
        <f t="shared" si="2"/>
        <v>1108</v>
      </c>
    </row>
    <row r="48" spans="1:12" x14ac:dyDescent="0.3">
      <c r="A48" s="1" t="s">
        <v>372</v>
      </c>
      <c r="B48" s="1" t="s">
        <v>16</v>
      </c>
      <c r="C48" s="187" t="s">
        <v>242</v>
      </c>
      <c r="D48" s="4">
        <v>2070</v>
      </c>
      <c r="E48" s="4">
        <v>2070</v>
      </c>
      <c r="F48" s="242">
        <f t="shared" si="0"/>
        <v>0</v>
      </c>
      <c r="G48">
        <v>14.21</v>
      </c>
      <c r="H48">
        <v>14.26</v>
      </c>
      <c r="I48">
        <f t="shared" si="1"/>
        <v>-4.9999999999998934E-2</v>
      </c>
      <c r="J48">
        <v>29423</v>
      </c>
      <c r="K48">
        <v>29508</v>
      </c>
      <c r="L48">
        <f t="shared" si="2"/>
        <v>-85</v>
      </c>
    </row>
    <row r="49" spans="1:12" x14ac:dyDescent="0.3">
      <c r="A49" s="1" t="s">
        <v>372</v>
      </c>
      <c r="B49" s="1" t="s">
        <v>18</v>
      </c>
      <c r="C49" s="187" t="s">
        <v>242</v>
      </c>
      <c r="D49" s="4">
        <v>2070</v>
      </c>
      <c r="E49" s="4">
        <v>2070</v>
      </c>
      <c r="F49" s="242">
        <f t="shared" si="0"/>
        <v>0</v>
      </c>
      <c r="G49">
        <v>14.99</v>
      </c>
      <c r="H49">
        <v>14.99</v>
      </c>
      <c r="I49">
        <f t="shared" si="1"/>
        <v>0</v>
      </c>
      <c r="J49">
        <v>31038</v>
      </c>
      <c r="K49">
        <v>31038</v>
      </c>
      <c r="L49">
        <f t="shared" si="2"/>
        <v>0</v>
      </c>
    </row>
    <row r="50" spans="1:12" x14ac:dyDescent="0.3">
      <c r="A50" s="1" t="s">
        <v>372</v>
      </c>
      <c r="B50" s="1" t="s">
        <v>19</v>
      </c>
      <c r="C50" s="187" t="s">
        <v>242</v>
      </c>
      <c r="D50" s="4">
        <v>2070</v>
      </c>
      <c r="E50" s="4">
        <v>2070</v>
      </c>
      <c r="F50" s="242">
        <f t="shared" si="0"/>
        <v>0</v>
      </c>
      <c r="G50">
        <v>12.8</v>
      </c>
      <c r="H50">
        <v>12.8</v>
      </c>
      <c r="I50">
        <f t="shared" si="1"/>
        <v>0</v>
      </c>
      <c r="J50">
        <v>26486</v>
      </c>
      <c r="K50">
        <v>26486</v>
      </c>
      <c r="L50">
        <f t="shared" si="2"/>
        <v>0</v>
      </c>
    </row>
    <row r="51" spans="1:12" x14ac:dyDescent="0.3">
      <c r="A51" s="1" t="s">
        <v>372</v>
      </c>
      <c r="B51" s="1" t="s">
        <v>44</v>
      </c>
      <c r="C51" s="187" t="s">
        <v>242</v>
      </c>
      <c r="D51" s="4">
        <v>1780</v>
      </c>
      <c r="E51" s="4">
        <v>1780</v>
      </c>
      <c r="F51" s="242">
        <f t="shared" si="0"/>
        <v>0</v>
      </c>
      <c r="G51">
        <v>14.69</v>
      </c>
      <c r="H51">
        <v>14.69</v>
      </c>
      <c r="I51">
        <f t="shared" si="1"/>
        <v>0</v>
      </c>
      <c r="J51">
        <v>26147</v>
      </c>
      <c r="K51">
        <v>26147</v>
      </c>
      <c r="L51">
        <f t="shared" si="2"/>
        <v>0</v>
      </c>
    </row>
    <row r="52" spans="1:12" x14ac:dyDescent="0.3">
      <c r="A52" s="1" t="s">
        <v>372</v>
      </c>
      <c r="B52" s="1" t="s">
        <v>59</v>
      </c>
      <c r="C52" s="186" t="s">
        <v>246</v>
      </c>
      <c r="D52" s="4">
        <v>1905</v>
      </c>
      <c r="E52" s="4">
        <v>1905</v>
      </c>
      <c r="F52" s="242">
        <f t="shared" si="0"/>
        <v>0</v>
      </c>
      <c r="G52">
        <v>7.21</v>
      </c>
      <c r="H52">
        <v>7.21</v>
      </c>
      <c r="I52">
        <f t="shared" si="1"/>
        <v>0</v>
      </c>
      <c r="J52">
        <v>13740</v>
      </c>
      <c r="K52">
        <v>13740</v>
      </c>
      <c r="L52">
        <f t="shared" si="2"/>
        <v>0</v>
      </c>
    </row>
    <row r="53" spans="1:12" x14ac:dyDescent="0.3">
      <c r="A53" s="1" t="s">
        <v>372</v>
      </c>
      <c r="B53" s="1" t="s">
        <v>60</v>
      </c>
      <c r="C53" s="186" t="s">
        <v>246</v>
      </c>
      <c r="D53" s="4">
        <v>1905</v>
      </c>
      <c r="E53" s="4">
        <v>1905</v>
      </c>
      <c r="F53" s="242">
        <f t="shared" si="0"/>
        <v>0</v>
      </c>
      <c r="G53">
        <v>3.77</v>
      </c>
      <c r="H53">
        <v>3.77</v>
      </c>
      <c r="I53">
        <f t="shared" si="1"/>
        <v>0</v>
      </c>
      <c r="J53">
        <v>7176</v>
      </c>
      <c r="K53">
        <v>7176</v>
      </c>
      <c r="L53">
        <f t="shared" si="2"/>
        <v>0</v>
      </c>
    </row>
    <row r="54" spans="1:12" x14ac:dyDescent="0.3">
      <c r="A54" s="1" t="s">
        <v>136</v>
      </c>
      <c r="B54" s="1" t="s">
        <v>45</v>
      </c>
      <c r="C54" s="186" t="s">
        <v>243</v>
      </c>
      <c r="D54" s="4">
        <v>1905</v>
      </c>
      <c r="E54" s="4">
        <v>1905</v>
      </c>
      <c r="F54" s="242">
        <f t="shared" si="0"/>
        <v>0</v>
      </c>
      <c r="G54">
        <v>8.36</v>
      </c>
      <c r="H54">
        <v>8.36</v>
      </c>
      <c r="I54">
        <f t="shared" si="1"/>
        <v>0</v>
      </c>
      <c r="J54">
        <v>15921</v>
      </c>
      <c r="K54">
        <v>15921</v>
      </c>
      <c r="L54">
        <f t="shared" si="2"/>
        <v>0</v>
      </c>
    </row>
    <row r="55" spans="1:12" x14ac:dyDescent="0.3">
      <c r="A55" s="1" t="s">
        <v>136</v>
      </c>
      <c r="B55" s="1" t="s">
        <v>47</v>
      </c>
      <c r="C55" s="186" t="s">
        <v>243</v>
      </c>
      <c r="D55" s="4">
        <v>1905</v>
      </c>
      <c r="E55" s="4">
        <v>1905</v>
      </c>
      <c r="F55" s="242">
        <f t="shared" si="0"/>
        <v>0</v>
      </c>
      <c r="G55">
        <v>8.99</v>
      </c>
      <c r="H55">
        <v>8.99</v>
      </c>
      <c r="I55">
        <f t="shared" si="1"/>
        <v>0</v>
      </c>
      <c r="J55">
        <v>17128</v>
      </c>
      <c r="K55">
        <v>17129</v>
      </c>
      <c r="L55">
        <f t="shared" si="2"/>
        <v>-1</v>
      </c>
    </row>
    <row r="56" spans="1:12" x14ac:dyDescent="0.3">
      <c r="A56" s="1" t="s">
        <v>136</v>
      </c>
      <c r="B56" s="1" t="s">
        <v>85</v>
      </c>
      <c r="C56" s="186" t="s">
        <v>247</v>
      </c>
      <c r="D56" s="4">
        <v>1632</v>
      </c>
      <c r="E56" s="4">
        <v>1632</v>
      </c>
      <c r="F56" s="242">
        <f t="shared" si="0"/>
        <v>0</v>
      </c>
      <c r="G56">
        <v>15.17</v>
      </c>
      <c r="H56">
        <v>15.17</v>
      </c>
      <c r="I56">
        <f t="shared" si="1"/>
        <v>0</v>
      </c>
      <c r="J56">
        <v>24753</v>
      </c>
      <c r="K56">
        <v>24753</v>
      </c>
      <c r="L56">
        <f t="shared" si="2"/>
        <v>0</v>
      </c>
    </row>
    <row r="57" spans="1:12" x14ac:dyDescent="0.3">
      <c r="A57" s="1" t="s">
        <v>136</v>
      </c>
      <c r="B57" s="1" t="s">
        <v>86</v>
      </c>
      <c r="C57" s="186" t="s">
        <v>247</v>
      </c>
      <c r="D57" s="4">
        <v>1632</v>
      </c>
      <c r="E57" s="4">
        <v>1632</v>
      </c>
      <c r="F57" s="242">
        <f t="shared" si="0"/>
        <v>0</v>
      </c>
      <c r="G57">
        <v>13.75</v>
      </c>
      <c r="H57">
        <v>13.75</v>
      </c>
      <c r="I57">
        <f t="shared" si="1"/>
        <v>0</v>
      </c>
      <c r="J57">
        <v>22441</v>
      </c>
      <c r="K57">
        <v>22441</v>
      </c>
      <c r="L57">
        <f t="shared" si="2"/>
        <v>0</v>
      </c>
    </row>
    <row r="58" spans="1:12" x14ac:dyDescent="0.3">
      <c r="A58" s="1" t="s">
        <v>136</v>
      </c>
      <c r="B58" s="1" t="s">
        <v>87</v>
      </c>
      <c r="C58" s="186" t="s">
        <v>247</v>
      </c>
      <c r="D58" s="4">
        <v>1587</v>
      </c>
      <c r="E58" s="4">
        <v>1632</v>
      </c>
      <c r="F58" s="242">
        <f t="shared" si="0"/>
        <v>-45</v>
      </c>
      <c r="G58">
        <v>6.4</v>
      </c>
      <c r="H58">
        <v>6.22</v>
      </c>
      <c r="I58">
        <f t="shared" si="1"/>
        <v>0.1800000000000006</v>
      </c>
      <c r="J58">
        <v>10150</v>
      </c>
      <c r="K58">
        <v>9870</v>
      </c>
      <c r="L58">
        <f t="shared" si="2"/>
        <v>280</v>
      </c>
    </row>
    <row r="59" spans="1:12" x14ac:dyDescent="0.3">
      <c r="A59" s="1" t="s">
        <v>136</v>
      </c>
      <c r="B59" s="1" t="s">
        <v>99</v>
      </c>
      <c r="C59" s="186" t="s">
        <v>245</v>
      </c>
      <c r="D59" s="6">
        <v>1754</v>
      </c>
      <c r="E59" s="4">
        <v>1754</v>
      </c>
      <c r="F59" s="242">
        <f t="shared" si="0"/>
        <v>0</v>
      </c>
      <c r="G59">
        <v>19.46</v>
      </c>
      <c r="H59">
        <v>19.73</v>
      </c>
      <c r="I59">
        <f t="shared" si="1"/>
        <v>-0.26999999999999957</v>
      </c>
      <c r="J59">
        <v>34130</v>
      </c>
      <c r="K59">
        <v>34601</v>
      </c>
      <c r="L59">
        <f t="shared" si="2"/>
        <v>-471</v>
      </c>
    </row>
    <row r="60" spans="1:12" x14ac:dyDescent="0.3">
      <c r="A60" s="1" t="s">
        <v>136</v>
      </c>
      <c r="B60" s="1" t="s">
        <v>100</v>
      </c>
      <c r="C60" s="186" t="s">
        <v>245</v>
      </c>
      <c r="D60" s="6">
        <v>1754</v>
      </c>
      <c r="E60" s="4">
        <v>1754</v>
      </c>
      <c r="F60" s="242">
        <f t="shared" si="0"/>
        <v>0</v>
      </c>
      <c r="G60">
        <v>6.72</v>
      </c>
      <c r="H60">
        <v>6.72</v>
      </c>
      <c r="I60">
        <f t="shared" si="1"/>
        <v>0</v>
      </c>
      <c r="J60">
        <v>11780</v>
      </c>
      <c r="K60">
        <v>11781</v>
      </c>
      <c r="L60">
        <f t="shared" si="2"/>
        <v>-1</v>
      </c>
    </row>
    <row r="61" spans="1:12" x14ac:dyDescent="0.3">
      <c r="A61" s="1" t="s">
        <v>153</v>
      </c>
      <c r="B61" s="1" t="s">
        <v>20</v>
      </c>
      <c r="C61" s="187" t="s">
        <v>244</v>
      </c>
      <c r="D61" s="4">
        <v>1905</v>
      </c>
      <c r="E61" s="4">
        <v>1849</v>
      </c>
      <c r="F61" s="242">
        <f t="shared" si="0"/>
        <v>56</v>
      </c>
      <c r="G61">
        <v>12.61</v>
      </c>
      <c r="H61">
        <v>12.56</v>
      </c>
      <c r="I61">
        <f t="shared" si="1"/>
        <v>4.9999999999998934E-2</v>
      </c>
      <c r="J61">
        <v>24025</v>
      </c>
      <c r="K61">
        <v>23920</v>
      </c>
      <c r="L61">
        <f t="shared" si="2"/>
        <v>105</v>
      </c>
    </row>
    <row r="62" spans="1:12" x14ac:dyDescent="0.3">
      <c r="A62" s="1" t="s">
        <v>153</v>
      </c>
      <c r="B62" s="1" t="s">
        <v>21</v>
      </c>
      <c r="C62" s="187" t="s">
        <v>244</v>
      </c>
      <c r="D62" s="4">
        <v>1905</v>
      </c>
      <c r="E62" s="4">
        <v>1892</v>
      </c>
      <c r="F62" s="242">
        <f t="shared" si="0"/>
        <v>13</v>
      </c>
      <c r="G62">
        <v>10.83</v>
      </c>
      <c r="H62">
        <v>10.83</v>
      </c>
      <c r="I62">
        <f t="shared" si="1"/>
        <v>0</v>
      </c>
      <c r="J62">
        <v>20637</v>
      </c>
      <c r="K62">
        <v>20637</v>
      </c>
      <c r="L62">
        <f t="shared" si="2"/>
        <v>0</v>
      </c>
    </row>
    <row r="63" spans="1:12" x14ac:dyDescent="0.3">
      <c r="A63" s="1" t="s">
        <v>371</v>
      </c>
      <c r="B63" s="1" t="s">
        <v>22</v>
      </c>
      <c r="C63" s="187" t="s">
        <v>242</v>
      </c>
      <c r="D63" s="4">
        <v>2132</v>
      </c>
      <c r="E63" s="4">
        <v>2132</v>
      </c>
      <c r="F63" s="242">
        <f t="shared" si="0"/>
        <v>0</v>
      </c>
      <c r="G63">
        <v>14.38</v>
      </c>
      <c r="H63">
        <v>14.53</v>
      </c>
      <c r="I63">
        <f t="shared" si="1"/>
        <v>-0.14999999999999858</v>
      </c>
      <c r="J63">
        <v>30654</v>
      </c>
      <c r="K63">
        <v>30981</v>
      </c>
      <c r="L63">
        <f t="shared" si="2"/>
        <v>-327</v>
      </c>
    </row>
    <row r="64" spans="1:12" x14ac:dyDescent="0.3">
      <c r="A64" s="1" t="s">
        <v>49</v>
      </c>
      <c r="B64" s="1" t="s">
        <v>93</v>
      </c>
      <c r="C64" s="186" t="s">
        <v>245</v>
      </c>
      <c r="D64" s="4">
        <v>1905</v>
      </c>
      <c r="E64" s="4">
        <v>1905</v>
      </c>
      <c r="F64" s="242">
        <f t="shared" si="0"/>
        <v>0</v>
      </c>
      <c r="G64">
        <v>14.9</v>
      </c>
      <c r="H64">
        <v>14.9</v>
      </c>
      <c r="I64">
        <f t="shared" si="1"/>
        <v>0</v>
      </c>
      <c r="J64">
        <v>28376</v>
      </c>
      <c r="K64">
        <v>28376</v>
      </c>
      <c r="L64">
        <f t="shared" si="2"/>
        <v>0</v>
      </c>
    </row>
    <row r="65" spans="1:12" x14ac:dyDescent="0.3">
      <c r="A65" s="1" t="s">
        <v>49</v>
      </c>
      <c r="B65" s="1" t="s">
        <v>94</v>
      </c>
      <c r="C65" s="186" t="s">
        <v>245</v>
      </c>
      <c r="D65" s="4">
        <v>1905</v>
      </c>
      <c r="E65" s="4">
        <v>1905</v>
      </c>
      <c r="F65" s="242">
        <f t="shared" si="0"/>
        <v>0</v>
      </c>
      <c r="G65">
        <v>14.9</v>
      </c>
      <c r="H65">
        <v>14.9</v>
      </c>
      <c r="I65">
        <f t="shared" si="1"/>
        <v>0</v>
      </c>
      <c r="J65">
        <v>28376</v>
      </c>
      <c r="K65">
        <v>28376</v>
      </c>
      <c r="L65">
        <f t="shared" si="2"/>
        <v>0</v>
      </c>
    </row>
    <row r="66" spans="1:12" x14ac:dyDescent="0.3">
      <c r="A66" s="1" t="s">
        <v>49</v>
      </c>
      <c r="B66" s="1" t="s">
        <v>95</v>
      </c>
      <c r="C66" s="186" t="s">
        <v>245</v>
      </c>
      <c r="D66" s="4">
        <v>1905</v>
      </c>
      <c r="E66" s="4">
        <v>1905</v>
      </c>
      <c r="F66" s="242">
        <f t="shared" si="0"/>
        <v>0</v>
      </c>
      <c r="G66">
        <v>14.9</v>
      </c>
      <c r="H66">
        <v>14.9</v>
      </c>
      <c r="I66">
        <f t="shared" si="1"/>
        <v>0</v>
      </c>
      <c r="J66">
        <v>28380</v>
      </c>
      <c r="K66">
        <v>28380</v>
      </c>
      <c r="L66">
        <f t="shared" si="2"/>
        <v>0</v>
      </c>
    </row>
    <row r="67" spans="1:12" x14ac:dyDescent="0.3">
      <c r="A67" s="1" t="s">
        <v>28</v>
      </c>
      <c r="B67" s="1" t="s">
        <v>26</v>
      </c>
      <c r="C67" s="187" t="s">
        <v>242</v>
      </c>
      <c r="D67" s="4">
        <v>1905</v>
      </c>
      <c r="E67" s="4">
        <v>1905</v>
      </c>
      <c r="F67" s="242">
        <f t="shared" ref="F67:F79" si="3">D67-E67</f>
        <v>0</v>
      </c>
      <c r="G67">
        <v>5.92</v>
      </c>
      <c r="H67">
        <v>12.63</v>
      </c>
      <c r="I67">
        <f t="shared" ref="I67:I79" si="4">G67-H67</f>
        <v>-6.7100000000000009</v>
      </c>
      <c r="J67">
        <v>11286</v>
      </c>
      <c r="K67">
        <v>24054</v>
      </c>
      <c r="L67">
        <f t="shared" ref="L67:L79" si="5">J67-K67</f>
        <v>-12768</v>
      </c>
    </row>
    <row r="68" spans="1:12" x14ac:dyDescent="0.3">
      <c r="A68" s="1" t="s">
        <v>28</v>
      </c>
      <c r="B68" s="1" t="s">
        <v>29</v>
      </c>
      <c r="C68" s="187" t="s">
        <v>242</v>
      </c>
      <c r="D68" s="4">
        <v>1905</v>
      </c>
      <c r="E68" s="4">
        <v>1905</v>
      </c>
      <c r="F68" s="242">
        <f t="shared" si="3"/>
        <v>0</v>
      </c>
      <c r="G68">
        <v>8.7899999999999991</v>
      </c>
      <c r="H68">
        <v>11.78</v>
      </c>
      <c r="I68">
        <f t="shared" si="4"/>
        <v>-2.99</v>
      </c>
      <c r="J68">
        <v>16740</v>
      </c>
      <c r="K68">
        <v>22435</v>
      </c>
      <c r="L68">
        <f t="shared" si="5"/>
        <v>-5695</v>
      </c>
    </row>
    <row r="69" spans="1:12" x14ac:dyDescent="0.3">
      <c r="A69" s="1" t="s">
        <v>28</v>
      </c>
      <c r="B69" s="1" t="s">
        <v>30</v>
      </c>
      <c r="C69" s="187" t="s">
        <v>242</v>
      </c>
      <c r="D69" s="4">
        <v>1953</v>
      </c>
      <c r="E69" s="4">
        <v>1953</v>
      </c>
      <c r="F69" s="242">
        <f t="shared" si="3"/>
        <v>0</v>
      </c>
      <c r="G69">
        <v>16.190000000000001</v>
      </c>
      <c r="H69">
        <v>16.190000000000001</v>
      </c>
      <c r="I69">
        <f t="shared" si="4"/>
        <v>0</v>
      </c>
      <c r="J69">
        <v>31620</v>
      </c>
      <c r="K69">
        <v>31624</v>
      </c>
      <c r="L69">
        <f t="shared" si="5"/>
        <v>-4</v>
      </c>
    </row>
    <row r="70" spans="1:12" x14ac:dyDescent="0.3">
      <c r="A70" s="1" t="s">
        <v>34</v>
      </c>
      <c r="B70" s="1" t="s">
        <v>31</v>
      </c>
      <c r="C70" s="187" t="s">
        <v>242</v>
      </c>
      <c r="D70" s="4">
        <v>1905.1398337112623</v>
      </c>
      <c r="E70" s="4">
        <v>1905</v>
      </c>
      <c r="F70" s="242">
        <f t="shared" si="3"/>
        <v>0.13983371126232669</v>
      </c>
      <c r="G70">
        <v>9.81</v>
      </c>
      <c r="H70">
        <v>13.23</v>
      </c>
      <c r="I70">
        <f t="shared" si="4"/>
        <v>-3.42</v>
      </c>
      <c r="J70">
        <v>18687</v>
      </c>
      <c r="K70">
        <v>25206</v>
      </c>
      <c r="L70">
        <f t="shared" si="5"/>
        <v>-6519</v>
      </c>
    </row>
    <row r="71" spans="1:12" x14ac:dyDescent="0.3">
      <c r="A71" s="1" t="s">
        <v>34</v>
      </c>
      <c r="B71" s="1" t="s">
        <v>32</v>
      </c>
      <c r="C71" s="187" t="s">
        <v>242</v>
      </c>
      <c r="D71" s="4">
        <v>1953</v>
      </c>
      <c r="E71" s="4">
        <v>1955</v>
      </c>
      <c r="F71" s="242">
        <f t="shared" si="3"/>
        <v>-2</v>
      </c>
      <c r="G71">
        <v>13.45</v>
      </c>
      <c r="H71">
        <v>13.43</v>
      </c>
      <c r="I71">
        <f t="shared" si="4"/>
        <v>1.9999999999999574E-2</v>
      </c>
      <c r="J71">
        <v>26271</v>
      </c>
      <c r="K71">
        <v>26232</v>
      </c>
      <c r="L71">
        <f t="shared" si="5"/>
        <v>39</v>
      </c>
    </row>
    <row r="72" spans="1:12" x14ac:dyDescent="0.3">
      <c r="A72" s="1" t="s">
        <v>34</v>
      </c>
      <c r="B72" s="1" t="s">
        <v>40</v>
      </c>
      <c r="C72" s="187" t="s">
        <v>242</v>
      </c>
      <c r="D72" s="4">
        <v>1780</v>
      </c>
      <c r="E72" s="4">
        <v>1780</v>
      </c>
      <c r="F72" s="242">
        <f t="shared" si="3"/>
        <v>0</v>
      </c>
      <c r="G72">
        <v>13.49</v>
      </c>
      <c r="H72">
        <v>13.73</v>
      </c>
      <c r="I72">
        <f t="shared" si="4"/>
        <v>-0.24000000000000021</v>
      </c>
      <c r="J72">
        <v>24008</v>
      </c>
      <c r="K72">
        <v>24434</v>
      </c>
      <c r="L72">
        <f t="shared" si="5"/>
        <v>-426</v>
      </c>
    </row>
    <row r="73" spans="1:12" x14ac:dyDescent="0.3">
      <c r="A73" s="1" t="s">
        <v>34</v>
      </c>
      <c r="B73" s="1" t="s">
        <v>41</v>
      </c>
      <c r="C73" s="187" t="s">
        <v>242</v>
      </c>
      <c r="D73" s="4">
        <v>1780</v>
      </c>
      <c r="E73" s="4">
        <v>1780</v>
      </c>
      <c r="F73" s="242">
        <f t="shared" si="3"/>
        <v>0</v>
      </c>
      <c r="G73">
        <v>11.18</v>
      </c>
      <c r="H73">
        <v>11.47</v>
      </c>
      <c r="I73">
        <f t="shared" si="4"/>
        <v>-0.29000000000000092</v>
      </c>
      <c r="J73">
        <v>19894</v>
      </c>
      <c r="K73">
        <v>20418</v>
      </c>
      <c r="L73">
        <f t="shared" si="5"/>
        <v>-524</v>
      </c>
    </row>
    <row r="74" spans="1:12" x14ac:dyDescent="0.3">
      <c r="A74" s="1" t="s">
        <v>34</v>
      </c>
      <c r="B74" s="1" t="s">
        <v>42</v>
      </c>
      <c r="C74" s="187" t="s">
        <v>242</v>
      </c>
      <c r="D74" s="4">
        <v>1780</v>
      </c>
      <c r="E74" s="4">
        <v>1780</v>
      </c>
      <c r="F74" s="242">
        <f t="shared" si="3"/>
        <v>0</v>
      </c>
      <c r="G74">
        <v>15</v>
      </c>
      <c r="H74">
        <v>15</v>
      </c>
      <c r="I74">
        <f t="shared" si="4"/>
        <v>0</v>
      </c>
      <c r="J74">
        <v>26703</v>
      </c>
      <c r="K74">
        <v>26703</v>
      </c>
      <c r="L74">
        <f t="shared" si="5"/>
        <v>0</v>
      </c>
    </row>
    <row r="75" spans="1:12" x14ac:dyDescent="0.3">
      <c r="A75" s="1" t="s">
        <v>34</v>
      </c>
      <c r="B75" s="1" t="s">
        <v>43</v>
      </c>
      <c r="C75" s="187" t="s">
        <v>242</v>
      </c>
      <c r="D75" s="4">
        <v>1780</v>
      </c>
      <c r="E75" s="4">
        <v>1780</v>
      </c>
      <c r="F75" s="242">
        <f t="shared" si="3"/>
        <v>0</v>
      </c>
      <c r="G75">
        <v>15</v>
      </c>
      <c r="H75">
        <v>15</v>
      </c>
      <c r="I75">
        <f t="shared" si="4"/>
        <v>0</v>
      </c>
      <c r="J75">
        <v>26703</v>
      </c>
      <c r="K75">
        <v>26703</v>
      </c>
      <c r="L75">
        <f t="shared" si="5"/>
        <v>0</v>
      </c>
    </row>
    <row r="76" spans="1:12" x14ac:dyDescent="0.3">
      <c r="A76" s="1" t="s">
        <v>34</v>
      </c>
      <c r="B76" s="1" t="s">
        <v>65</v>
      </c>
      <c r="C76" s="186" t="s">
        <v>246</v>
      </c>
      <c r="D76" s="4">
        <v>1838</v>
      </c>
      <c r="E76" s="4">
        <v>1719.4359756097563</v>
      </c>
      <c r="F76" s="242">
        <f t="shared" si="3"/>
        <v>118.56402439024373</v>
      </c>
      <c r="G76">
        <v>12.27</v>
      </c>
      <c r="H76">
        <v>12.33</v>
      </c>
      <c r="I76">
        <f t="shared" si="4"/>
        <v>-6.0000000000000497E-2</v>
      </c>
      <c r="J76">
        <v>22559</v>
      </c>
      <c r="K76">
        <v>22659</v>
      </c>
      <c r="L76">
        <f t="shared" si="5"/>
        <v>-100</v>
      </c>
    </row>
    <row r="77" spans="1:12" x14ac:dyDescent="0.3">
      <c r="A77" s="1" t="s">
        <v>34</v>
      </c>
      <c r="B77" s="1" t="s">
        <v>66</v>
      </c>
      <c r="C77" s="186" t="s">
        <v>246</v>
      </c>
      <c r="D77" s="4">
        <v>1838</v>
      </c>
      <c r="E77" s="4">
        <v>1838.7883556254917</v>
      </c>
      <c r="F77" s="242">
        <f t="shared" si="3"/>
        <v>-0.7883556254917039</v>
      </c>
      <c r="G77">
        <v>12.72</v>
      </c>
      <c r="H77">
        <v>12.72</v>
      </c>
      <c r="I77">
        <f t="shared" si="4"/>
        <v>0</v>
      </c>
      <c r="J77">
        <v>23371</v>
      </c>
      <c r="K77">
        <v>23375</v>
      </c>
      <c r="L77">
        <f t="shared" si="5"/>
        <v>-4</v>
      </c>
    </row>
    <row r="78" spans="1:12" x14ac:dyDescent="0.3">
      <c r="A78" s="1" t="s">
        <v>34</v>
      </c>
      <c r="B78" s="1" t="s">
        <v>88</v>
      </c>
      <c r="C78" s="186" t="s">
        <v>245</v>
      </c>
      <c r="D78" s="4">
        <v>1838</v>
      </c>
      <c r="E78" s="4">
        <v>1838</v>
      </c>
      <c r="F78" s="242">
        <f t="shared" si="3"/>
        <v>0</v>
      </c>
      <c r="G78">
        <v>15.43</v>
      </c>
      <c r="H78">
        <v>15.46</v>
      </c>
      <c r="I78">
        <f t="shared" si="4"/>
        <v>-3.0000000000001137E-2</v>
      </c>
      <c r="J78">
        <v>28361</v>
      </c>
      <c r="K78">
        <v>28416</v>
      </c>
      <c r="L78">
        <f t="shared" si="5"/>
        <v>-55</v>
      </c>
    </row>
    <row r="79" spans="1:12" x14ac:dyDescent="0.3">
      <c r="A79" s="1" t="s">
        <v>34</v>
      </c>
      <c r="B79" s="79" t="s">
        <v>89</v>
      </c>
      <c r="C79" s="194" t="s">
        <v>245</v>
      </c>
      <c r="D79" s="101">
        <v>1838</v>
      </c>
      <c r="E79" s="4">
        <v>1838</v>
      </c>
      <c r="F79" s="242">
        <f t="shared" si="3"/>
        <v>0</v>
      </c>
      <c r="G79">
        <v>11.39</v>
      </c>
      <c r="H79">
        <v>11.39</v>
      </c>
      <c r="I79">
        <f t="shared" si="4"/>
        <v>0</v>
      </c>
      <c r="J79">
        <v>20939</v>
      </c>
      <c r="K79">
        <v>20932</v>
      </c>
      <c r="L79">
        <f t="shared" si="5"/>
        <v>7</v>
      </c>
    </row>
  </sheetData>
  <autoFilter ref="A1:L79" xr:uid="{00000000-0009-0000-0000-000019000000}"/>
  <conditionalFormatting sqref="L10:L79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{7832F8D5-F2F1-4EC3-BAD9-9761BD033020}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832F8D5-F2F1-4EC3-BAD9-9761BD03302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L10:L79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43"/>
  <dimension ref="A1:A2"/>
  <sheetViews>
    <sheetView workbookViewId="0">
      <selection activeCell="A3" sqref="A3"/>
    </sheetView>
  </sheetViews>
  <sheetFormatPr baseColWidth="10" defaultRowHeight="14.4" x14ac:dyDescent="0.3"/>
  <sheetData>
    <row r="1" spans="1:1" x14ac:dyDescent="0.3">
      <c r="A1" t="s">
        <v>472</v>
      </c>
    </row>
    <row r="2" spans="1:1" x14ac:dyDescent="0.3">
      <c r="A2" t="s">
        <v>473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39"/>
  <dimension ref="A1:H59"/>
  <sheetViews>
    <sheetView zoomScale="70" zoomScaleNormal="70" workbookViewId="0">
      <pane ySplit="1" topLeftCell="A47" activePane="bottomLeft" state="frozen"/>
      <selection pane="bottomLeft" activeCell="E18" sqref="E18"/>
    </sheetView>
  </sheetViews>
  <sheetFormatPr baseColWidth="10" defaultRowHeight="14.4" x14ac:dyDescent="0.3"/>
  <cols>
    <col min="1" max="2" width="27.21875" bestFit="1" customWidth="1"/>
    <col min="3" max="3" width="19" customWidth="1"/>
    <col min="4" max="4" width="11.77734375" customWidth="1"/>
    <col min="5" max="5" width="41.5546875" bestFit="1" customWidth="1"/>
    <col min="6" max="7" width="30.44140625" bestFit="1" customWidth="1"/>
    <col min="8" max="8" width="17.77734375" bestFit="1" customWidth="1"/>
  </cols>
  <sheetData>
    <row r="1" spans="1:8" ht="15.6" x14ac:dyDescent="0.3">
      <c r="A1" s="212" t="s">
        <v>456</v>
      </c>
      <c r="B1" s="212" t="s">
        <v>212</v>
      </c>
      <c r="C1" s="213" t="s">
        <v>262</v>
      </c>
      <c r="D1" s="213" t="s">
        <v>443</v>
      </c>
      <c r="E1" s="213" t="s">
        <v>259</v>
      </c>
      <c r="F1" s="213" t="s">
        <v>260</v>
      </c>
      <c r="G1" s="213" t="s">
        <v>261</v>
      </c>
      <c r="H1" s="220" t="s">
        <v>455</v>
      </c>
    </row>
    <row r="2" spans="1:8" x14ac:dyDescent="0.3">
      <c r="A2" s="221" t="s">
        <v>372</v>
      </c>
      <c r="B2" s="221" t="s">
        <v>289</v>
      </c>
      <c r="C2" s="99">
        <v>35580</v>
      </c>
      <c r="D2" s="1">
        <v>930668076</v>
      </c>
      <c r="E2" s="1" t="s">
        <v>290</v>
      </c>
      <c r="F2" s="1" t="s">
        <v>268</v>
      </c>
      <c r="G2" s="1" t="s">
        <v>291</v>
      </c>
      <c r="H2" s="1" t="s">
        <v>451</v>
      </c>
    </row>
    <row r="3" spans="1:8" x14ac:dyDescent="0.3">
      <c r="A3" s="221" t="s">
        <v>372</v>
      </c>
      <c r="B3" s="221" t="s">
        <v>202</v>
      </c>
      <c r="C3" s="1" t="s">
        <v>421</v>
      </c>
      <c r="D3" s="1" t="s">
        <v>421</v>
      </c>
      <c r="E3" s="1" t="s">
        <v>421</v>
      </c>
      <c r="F3" s="1" t="s">
        <v>421</v>
      </c>
      <c r="G3" s="1" t="s">
        <v>441</v>
      </c>
      <c r="H3" s="1" t="s">
        <v>441</v>
      </c>
    </row>
    <row r="4" spans="1:8" x14ac:dyDescent="0.3">
      <c r="A4" s="221" t="s">
        <v>49</v>
      </c>
      <c r="B4" s="221" t="s">
        <v>409</v>
      </c>
      <c r="C4" s="99" t="s">
        <v>421</v>
      </c>
      <c r="D4" s="1" t="s">
        <v>421</v>
      </c>
      <c r="E4" s="1" t="s">
        <v>421</v>
      </c>
      <c r="F4" s="1" t="s">
        <v>421</v>
      </c>
      <c r="G4" s="1" t="s">
        <v>441</v>
      </c>
      <c r="H4" s="1" t="s">
        <v>441</v>
      </c>
    </row>
    <row r="5" spans="1:8" x14ac:dyDescent="0.3">
      <c r="A5" s="221" t="s">
        <v>153</v>
      </c>
      <c r="B5" s="221" t="s">
        <v>298</v>
      </c>
      <c r="C5" s="99">
        <v>35663</v>
      </c>
      <c r="D5" s="1">
        <v>951800391</v>
      </c>
      <c r="E5" s="1" t="s">
        <v>299</v>
      </c>
      <c r="F5" s="1" t="s">
        <v>268</v>
      </c>
      <c r="G5" s="1" t="s">
        <v>269</v>
      </c>
      <c r="H5" s="1" t="s">
        <v>450</v>
      </c>
    </row>
    <row r="6" spans="1:8" x14ac:dyDescent="0.3">
      <c r="A6" s="221" t="s">
        <v>34</v>
      </c>
      <c r="B6" s="221" t="s">
        <v>171</v>
      </c>
      <c r="C6" s="99">
        <v>36199</v>
      </c>
      <c r="D6" s="1">
        <v>915218460</v>
      </c>
      <c r="E6" s="1" t="s">
        <v>267</v>
      </c>
      <c r="F6" s="1" t="s">
        <v>268</v>
      </c>
      <c r="G6" s="1" t="s">
        <v>269</v>
      </c>
      <c r="H6" s="1" t="s">
        <v>450</v>
      </c>
    </row>
    <row r="7" spans="1:8" x14ac:dyDescent="0.3">
      <c r="A7" s="221" t="s">
        <v>49</v>
      </c>
      <c r="B7" s="221" t="s">
        <v>407</v>
      </c>
      <c r="C7" s="99" t="s">
        <v>421</v>
      </c>
      <c r="D7" s="1" t="s">
        <v>421</v>
      </c>
      <c r="E7" s="1" t="s">
        <v>421</v>
      </c>
      <c r="F7" s="1" t="s">
        <v>421</v>
      </c>
      <c r="G7" s="1" t="s">
        <v>441</v>
      </c>
      <c r="H7" s="1"/>
    </row>
    <row r="8" spans="1:8" x14ac:dyDescent="0.3">
      <c r="A8" s="221" t="s">
        <v>371</v>
      </c>
      <c r="B8" s="221" t="s">
        <v>292</v>
      </c>
      <c r="C8" s="99">
        <v>31842</v>
      </c>
      <c r="D8" s="1">
        <v>962638155</v>
      </c>
      <c r="E8" s="1" t="s">
        <v>293</v>
      </c>
      <c r="F8" s="1" t="s">
        <v>275</v>
      </c>
      <c r="G8" s="1" t="s">
        <v>441</v>
      </c>
      <c r="H8" s="1" t="s">
        <v>451</v>
      </c>
    </row>
    <row r="9" spans="1:8" x14ac:dyDescent="0.3">
      <c r="A9" s="221" t="s">
        <v>34</v>
      </c>
      <c r="B9" s="221" t="s">
        <v>425</v>
      </c>
      <c r="C9" s="99">
        <v>33385</v>
      </c>
      <c r="D9" s="1">
        <v>944451931</v>
      </c>
      <c r="E9" s="1" t="s">
        <v>439</v>
      </c>
      <c r="F9" s="1" t="s">
        <v>301</v>
      </c>
      <c r="G9" s="1" t="s">
        <v>330</v>
      </c>
      <c r="H9" s="1" t="s">
        <v>451</v>
      </c>
    </row>
    <row r="10" spans="1:8" x14ac:dyDescent="0.3">
      <c r="A10" s="221" t="s">
        <v>136</v>
      </c>
      <c r="B10" s="221" t="s">
        <v>442</v>
      </c>
      <c r="C10" s="99">
        <v>32070</v>
      </c>
      <c r="D10" s="1">
        <v>990917172</v>
      </c>
      <c r="E10" s="1" t="s">
        <v>335</v>
      </c>
      <c r="F10" s="1" t="s">
        <v>275</v>
      </c>
      <c r="G10" s="1" t="s">
        <v>447</v>
      </c>
      <c r="H10" s="1" t="s">
        <v>451</v>
      </c>
    </row>
    <row r="11" spans="1:8" x14ac:dyDescent="0.3">
      <c r="A11" s="221" t="s">
        <v>415</v>
      </c>
      <c r="B11" s="221" t="s">
        <v>402</v>
      </c>
      <c r="C11" s="99" t="s">
        <v>421</v>
      </c>
      <c r="D11" s="1" t="s">
        <v>421</v>
      </c>
      <c r="E11" s="1" t="s">
        <v>421</v>
      </c>
      <c r="F11" s="1" t="s">
        <v>421</v>
      </c>
      <c r="G11" s="1" t="s">
        <v>441</v>
      </c>
      <c r="H11" s="1"/>
    </row>
    <row r="12" spans="1:8" x14ac:dyDescent="0.3">
      <c r="A12" s="221" t="s">
        <v>372</v>
      </c>
      <c r="B12" s="221" t="s">
        <v>423</v>
      </c>
      <c r="C12" s="99">
        <v>34881</v>
      </c>
      <c r="D12" s="1">
        <v>986189597</v>
      </c>
      <c r="E12" s="1" t="s">
        <v>433</v>
      </c>
      <c r="F12" s="1" t="s">
        <v>268</v>
      </c>
      <c r="G12" s="1" t="s">
        <v>445</v>
      </c>
      <c r="H12" s="1" t="s">
        <v>451</v>
      </c>
    </row>
    <row r="13" spans="1:8" x14ac:dyDescent="0.3">
      <c r="A13" s="221" t="s">
        <v>53</v>
      </c>
      <c r="B13" s="221" t="s">
        <v>311</v>
      </c>
      <c r="C13" s="99">
        <v>30592</v>
      </c>
      <c r="D13" s="1">
        <v>961627685</v>
      </c>
      <c r="E13" s="1" t="s">
        <v>312</v>
      </c>
      <c r="F13" s="1" t="s">
        <v>268</v>
      </c>
      <c r="G13" s="1" t="s">
        <v>313</v>
      </c>
      <c r="H13" s="1" t="s">
        <v>452</v>
      </c>
    </row>
    <row r="14" spans="1:8" x14ac:dyDescent="0.3">
      <c r="A14" s="221" t="s">
        <v>372</v>
      </c>
      <c r="B14" s="221" t="s">
        <v>204</v>
      </c>
      <c r="C14" s="99">
        <v>31134</v>
      </c>
      <c r="D14" s="1">
        <v>923879182</v>
      </c>
      <c r="E14" s="1" t="s">
        <v>432</v>
      </c>
      <c r="F14" s="1" t="s">
        <v>275</v>
      </c>
      <c r="G14" s="1" t="s">
        <v>441</v>
      </c>
      <c r="H14" s="1" t="s">
        <v>453</v>
      </c>
    </row>
    <row r="15" spans="1:8" x14ac:dyDescent="0.3">
      <c r="A15" s="221" t="s">
        <v>371</v>
      </c>
      <c r="B15" s="221" t="s">
        <v>404</v>
      </c>
      <c r="C15" s="99" t="s">
        <v>421</v>
      </c>
      <c r="D15" s="1" t="s">
        <v>421</v>
      </c>
      <c r="E15" s="1" t="s">
        <v>421</v>
      </c>
      <c r="F15" s="1" t="s">
        <v>421</v>
      </c>
      <c r="G15" s="1" t="s">
        <v>441</v>
      </c>
      <c r="H15" s="1"/>
    </row>
    <row r="16" spans="1:8" x14ac:dyDescent="0.3">
      <c r="A16" s="221" t="s">
        <v>28</v>
      </c>
      <c r="B16" s="222" t="s">
        <v>208</v>
      </c>
      <c r="C16" s="99">
        <v>33034</v>
      </c>
      <c r="D16" s="1">
        <v>957630946</v>
      </c>
      <c r="E16" s="1" t="s">
        <v>315</v>
      </c>
      <c r="F16" s="1" t="s">
        <v>275</v>
      </c>
      <c r="G16" s="1" t="s">
        <v>441</v>
      </c>
      <c r="H16" s="1" t="s">
        <v>451</v>
      </c>
    </row>
    <row r="17" spans="1:8" x14ac:dyDescent="0.3">
      <c r="A17" s="221" t="s">
        <v>49</v>
      </c>
      <c r="B17" s="221" t="s">
        <v>176</v>
      </c>
      <c r="C17" s="99">
        <v>27983</v>
      </c>
      <c r="D17" s="1">
        <v>960488740</v>
      </c>
      <c r="E17" s="1" t="s">
        <v>430</v>
      </c>
      <c r="F17" s="1" t="s">
        <v>275</v>
      </c>
      <c r="G17" s="1" t="s">
        <v>441</v>
      </c>
      <c r="H17" s="1" t="s">
        <v>451</v>
      </c>
    </row>
    <row r="18" spans="1:8" x14ac:dyDescent="0.3">
      <c r="A18" s="221" t="s">
        <v>371</v>
      </c>
      <c r="B18" s="221" t="s">
        <v>197</v>
      </c>
      <c r="C18" s="99">
        <v>30930</v>
      </c>
      <c r="D18" s="1">
        <v>947657425</v>
      </c>
      <c r="E18" s="1" t="s">
        <v>278</v>
      </c>
      <c r="F18" s="1" t="s">
        <v>275</v>
      </c>
      <c r="G18" s="1" t="s">
        <v>441</v>
      </c>
      <c r="H18" s="1" t="s">
        <v>454</v>
      </c>
    </row>
    <row r="19" spans="1:8" x14ac:dyDescent="0.3">
      <c r="A19" s="221" t="s">
        <v>49</v>
      </c>
      <c r="B19" s="221" t="s">
        <v>406</v>
      </c>
      <c r="C19" s="99" t="s">
        <v>421</v>
      </c>
      <c r="D19" s="1" t="s">
        <v>421</v>
      </c>
      <c r="E19" s="1" t="s">
        <v>421</v>
      </c>
      <c r="F19" s="1" t="s">
        <v>421</v>
      </c>
      <c r="G19" s="1" t="s">
        <v>441</v>
      </c>
      <c r="H19" s="1"/>
    </row>
    <row r="20" spans="1:8" x14ac:dyDescent="0.3">
      <c r="A20" s="221" t="s">
        <v>53</v>
      </c>
      <c r="B20" s="221" t="s">
        <v>207</v>
      </c>
      <c r="C20" s="99">
        <v>45006</v>
      </c>
      <c r="D20" s="1">
        <v>923562901</v>
      </c>
      <c r="E20" s="1" t="s">
        <v>264</v>
      </c>
      <c r="F20" s="1" t="s">
        <v>265</v>
      </c>
      <c r="G20" s="1" t="s">
        <v>266</v>
      </c>
      <c r="H20" s="1" t="s">
        <v>451</v>
      </c>
    </row>
    <row r="21" spans="1:8" x14ac:dyDescent="0.3">
      <c r="A21" s="221" t="s">
        <v>136</v>
      </c>
      <c r="B21" s="221" t="s">
        <v>401</v>
      </c>
      <c r="C21" s="99">
        <v>28441</v>
      </c>
      <c r="D21" s="1">
        <v>964565731</v>
      </c>
      <c r="E21" s="1" t="s">
        <v>435</v>
      </c>
      <c r="F21" s="1" t="s">
        <v>275</v>
      </c>
      <c r="G21" s="1" t="s">
        <v>441</v>
      </c>
      <c r="H21" s="1" t="s">
        <v>457</v>
      </c>
    </row>
    <row r="22" spans="1:8" x14ac:dyDescent="0.3">
      <c r="A22" s="221" t="s">
        <v>371</v>
      </c>
      <c r="B22" s="221" t="s">
        <v>294</v>
      </c>
      <c r="C22" s="99">
        <v>32665</v>
      </c>
      <c r="D22" s="1">
        <v>957943066</v>
      </c>
      <c r="E22" s="1" t="s">
        <v>295</v>
      </c>
      <c r="F22" s="1" t="s">
        <v>275</v>
      </c>
      <c r="G22" s="1" t="s">
        <v>441</v>
      </c>
      <c r="H22" s="1" t="s">
        <v>457</v>
      </c>
    </row>
    <row r="23" spans="1:8" x14ac:dyDescent="0.3">
      <c r="A23" s="221" t="s">
        <v>28</v>
      </c>
      <c r="B23" s="222" t="s">
        <v>327</v>
      </c>
      <c r="C23" s="99">
        <v>35710</v>
      </c>
      <c r="D23" s="1">
        <v>918035466</v>
      </c>
      <c r="E23" s="1" t="s">
        <v>328</v>
      </c>
      <c r="F23" s="1" t="s">
        <v>268</v>
      </c>
      <c r="G23" s="1" t="s">
        <v>272</v>
      </c>
      <c r="H23" s="1" t="s">
        <v>450</v>
      </c>
    </row>
    <row r="24" spans="1:8" x14ac:dyDescent="0.3">
      <c r="A24" s="221" t="s">
        <v>28</v>
      </c>
      <c r="B24" s="222" t="s">
        <v>333</v>
      </c>
      <c r="C24" s="99">
        <v>36463</v>
      </c>
      <c r="D24" s="1">
        <v>935187967</v>
      </c>
      <c r="E24" s="1" t="s">
        <v>324</v>
      </c>
      <c r="F24" s="1" t="s">
        <v>275</v>
      </c>
      <c r="G24" s="1" t="s">
        <v>441</v>
      </c>
      <c r="H24" s="1" t="s">
        <v>444</v>
      </c>
    </row>
    <row r="25" spans="1:8" x14ac:dyDescent="0.3">
      <c r="A25" s="221" t="s">
        <v>53</v>
      </c>
      <c r="B25" s="221" t="s">
        <v>287</v>
      </c>
      <c r="C25" s="99">
        <v>35119</v>
      </c>
      <c r="D25" s="1">
        <v>971732870</v>
      </c>
      <c r="E25" s="1" t="s">
        <v>288</v>
      </c>
      <c r="F25" s="1" t="s">
        <v>268</v>
      </c>
      <c r="G25" s="1" t="s">
        <v>269</v>
      </c>
      <c r="H25" s="1" t="s">
        <v>451</v>
      </c>
    </row>
    <row r="26" spans="1:8" x14ac:dyDescent="0.3">
      <c r="A26" s="221" t="s">
        <v>372</v>
      </c>
      <c r="B26" s="221" t="s">
        <v>203</v>
      </c>
      <c r="C26" s="1" t="s">
        <v>421</v>
      </c>
      <c r="D26" s="1" t="s">
        <v>421</v>
      </c>
      <c r="E26" s="1" t="s">
        <v>278</v>
      </c>
      <c r="F26" s="1" t="s">
        <v>421</v>
      </c>
      <c r="G26" s="1" t="s">
        <v>441</v>
      </c>
      <c r="H26" s="1" t="s">
        <v>454</v>
      </c>
    </row>
    <row r="27" spans="1:8" x14ac:dyDescent="0.3">
      <c r="A27" s="221" t="s">
        <v>372</v>
      </c>
      <c r="B27" s="221" t="s">
        <v>205</v>
      </c>
      <c r="C27" s="1" t="s">
        <v>421</v>
      </c>
      <c r="D27" s="1" t="s">
        <v>421</v>
      </c>
      <c r="E27" s="1" t="s">
        <v>458</v>
      </c>
      <c r="F27" s="1" t="s">
        <v>421</v>
      </c>
      <c r="G27" s="1" t="s">
        <v>441</v>
      </c>
      <c r="H27" s="1" t="s">
        <v>451</v>
      </c>
    </row>
    <row r="28" spans="1:8" x14ac:dyDescent="0.3">
      <c r="A28" s="221" t="s">
        <v>372</v>
      </c>
      <c r="B28" s="221" t="s">
        <v>303</v>
      </c>
      <c r="C28" s="99">
        <v>28288</v>
      </c>
      <c r="D28" s="1">
        <v>947296806</v>
      </c>
      <c r="E28" s="1" t="s">
        <v>304</v>
      </c>
      <c r="F28" s="1" t="s">
        <v>275</v>
      </c>
      <c r="G28" s="1" t="s">
        <v>441</v>
      </c>
      <c r="H28" s="1" t="s">
        <v>457</v>
      </c>
    </row>
    <row r="29" spans="1:8" x14ac:dyDescent="0.3">
      <c r="A29" s="221" t="s">
        <v>34</v>
      </c>
      <c r="B29" s="221" t="s">
        <v>270</v>
      </c>
      <c r="C29" s="99">
        <v>33562</v>
      </c>
      <c r="D29" s="1">
        <v>965358037</v>
      </c>
      <c r="E29" s="1" t="s">
        <v>271</v>
      </c>
      <c r="F29" s="1" t="s">
        <v>268</v>
      </c>
      <c r="G29" s="1" t="s">
        <v>272</v>
      </c>
      <c r="H29" s="1" t="s">
        <v>450</v>
      </c>
    </row>
    <row r="30" spans="1:8" x14ac:dyDescent="0.3">
      <c r="A30" s="221" t="s">
        <v>49</v>
      </c>
      <c r="B30" s="221" t="s">
        <v>408</v>
      </c>
      <c r="C30" s="99">
        <v>29843</v>
      </c>
      <c r="D30" s="1">
        <v>922101107</v>
      </c>
      <c r="E30" s="1" t="s">
        <v>437</v>
      </c>
      <c r="F30" s="1" t="s">
        <v>275</v>
      </c>
      <c r="G30" s="1" t="s">
        <v>441</v>
      </c>
      <c r="H30" s="1" t="s">
        <v>454</v>
      </c>
    </row>
    <row r="31" spans="1:8" x14ac:dyDescent="0.3">
      <c r="A31" s="221" t="s">
        <v>372</v>
      </c>
      <c r="B31" s="221" t="s">
        <v>206</v>
      </c>
      <c r="C31" s="99">
        <v>33157</v>
      </c>
      <c r="D31" s="1">
        <v>949903628</v>
      </c>
      <c r="E31" s="1" t="s">
        <v>297</v>
      </c>
      <c r="F31" s="1" t="s">
        <v>275</v>
      </c>
      <c r="G31" s="1" t="s">
        <v>441</v>
      </c>
      <c r="H31" s="1" t="s">
        <v>454</v>
      </c>
    </row>
    <row r="32" spans="1:8" x14ac:dyDescent="0.3">
      <c r="A32" s="221" t="s">
        <v>53</v>
      </c>
      <c r="B32" s="221" t="s">
        <v>273</v>
      </c>
      <c r="C32" s="99">
        <v>32011</v>
      </c>
      <c r="D32" s="1">
        <v>970624242</v>
      </c>
      <c r="E32" s="1" t="s">
        <v>274</v>
      </c>
      <c r="F32" s="1" t="s">
        <v>275</v>
      </c>
      <c r="G32" s="1" t="s">
        <v>441</v>
      </c>
      <c r="H32" s="1" t="s">
        <v>461</v>
      </c>
    </row>
    <row r="33" spans="1:8" x14ac:dyDescent="0.3">
      <c r="A33" s="221" t="s">
        <v>153</v>
      </c>
      <c r="B33" s="221" t="s">
        <v>309</v>
      </c>
      <c r="C33" s="99">
        <v>33079</v>
      </c>
      <c r="D33" s="1">
        <v>943941266</v>
      </c>
      <c r="E33" s="1" t="s">
        <v>310</v>
      </c>
      <c r="F33" s="1" t="s">
        <v>275</v>
      </c>
      <c r="G33" s="1" t="s">
        <v>441</v>
      </c>
      <c r="H33" s="1" t="s">
        <v>453</v>
      </c>
    </row>
    <row r="34" spans="1:8" x14ac:dyDescent="0.3">
      <c r="A34" s="221" t="s">
        <v>49</v>
      </c>
      <c r="B34" s="221" t="s">
        <v>405</v>
      </c>
      <c r="C34" s="99" t="s">
        <v>421</v>
      </c>
      <c r="D34" s="1" t="s">
        <v>421</v>
      </c>
      <c r="E34" s="1" t="s">
        <v>421</v>
      </c>
      <c r="F34" s="1" t="s">
        <v>421</v>
      </c>
      <c r="G34" s="1" t="s">
        <v>441</v>
      </c>
      <c r="H34" s="1"/>
    </row>
    <row r="35" spans="1:8" x14ac:dyDescent="0.3">
      <c r="A35" s="221" t="e">
        <v>#N/A</v>
      </c>
      <c r="B35" s="221" t="s">
        <v>420</v>
      </c>
      <c r="C35" s="99">
        <v>32345</v>
      </c>
      <c r="D35" s="1">
        <v>924229867</v>
      </c>
      <c r="E35" s="1" t="s">
        <v>427</v>
      </c>
      <c r="F35" s="1" t="s">
        <v>275</v>
      </c>
      <c r="G35" s="1" t="s">
        <v>441</v>
      </c>
      <c r="H35" s="1" t="s">
        <v>453</v>
      </c>
    </row>
    <row r="36" spans="1:8" x14ac:dyDescent="0.3">
      <c r="A36" s="221" t="s">
        <v>153</v>
      </c>
      <c r="B36" s="221" t="s">
        <v>200</v>
      </c>
      <c r="C36" s="99">
        <v>31153</v>
      </c>
      <c r="D36" s="1">
        <v>976412072</v>
      </c>
      <c r="E36" s="1" t="s">
        <v>279</v>
      </c>
      <c r="F36" s="1" t="s">
        <v>280</v>
      </c>
      <c r="G36" s="1" t="s">
        <v>281</v>
      </c>
      <c r="H36" s="1" t="s">
        <v>453</v>
      </c>
    </row>
    <row r="37" spans="1:8" x14ac:dyDescent="0.3">
      <c r="A37" s="221" t="s">
        <v>53</v>
      </c>
      <c r="B37" s="221" t="s">
        <v>282</v>
      </c>
      <c r="C37" s="99">
        <v>34934</v>
      </c>
      <c r="D37" s="1">
        <v>939826510</v>
      </c>
      <c r="E37" s="1" t="s">
        <v>283</v>
      </c>
      <c r="F37" s="1" t="s">
        <v>268</v>
      </c>
      <c r="G37" s="1" t="s">
        <v>284</v>
      </c>
      <c r="H37" s="1" t="s">
        <v>451</v>
      </c>
    </row>
    <row r="38" spans="1:8" x14ac:dyDescent="0.3">
      <c r="A38" s="221" t="s">
        <v>153</v>
      </c>
      <c r="B38" s="221" t="s">
        <v>419</v>
      </c>
      <c r="C38" s="99">
        <v>34631</v>
      </c>
      <c r="D38" s="1">
        <v>988291254</v>
      </c>
      <c r="E38" s="1" t="s">
        <v>300</v>
      </c>
      <c r="F38" s="1" t="s">
        <v>301</v>
      </c>
      <c r="G38" s="1" t="s">
        <v>302</v>
      </c>
      <c r="H38" s="1" t="s">
        <v>450</v>
      </c>
    </row>
    <row r="39" spans="1:8" x14ac:dyDescent="0.3">
      <c r="A39" s="221" t="s">
        <v>136</v>
      </c>
      <c r="B39" s="221" t="s">
        <v>424</v>
      </c>
      <c r="C39" s="99">
        <v>34587</v>
      </c>
      <c r="D39" s="1">
        <v>912494688</v>
      </c>
      <c r="E39" s="1" t="s">
        <v>434</v>
      </c>
      <c r="F39" s="1" t="s">
        <v>301</v>
      </c>
      <c r="G39" s="1" t="s">
        <v>446</v>
      </c>
      <c r="H39" s="1" t="s">
        <v>461</v>
      </c>
    </row>
    <row r="40" spans="1:8" x14ac:dyDescent="0.3">
      <c r="A40" s="221" t="s">
        <v>34</v>
      </c>
      <c r="B40" s="221" t="s">
        <v>276</v>
      </c>
      <c r="C40" s="99">
        <v>30229</v>
      </c>
      <c r="D40" s="1">
        <v>962939551</v>
      </c>
      <c r="E40" s="1" t="s">
        <v>277</v>
      </c>
      <c r="F40" s="1" t="s">
        <v>275</v>
      </c>
      <c r="G40" s="1" t="s">
        <v>448</v>
      </c>
      <c r="H40" s="1" t="s">
        <v>453</v>
      </c>
    </row>
    <row r="41" spans="1:8" x14ac:dyDescent="0.3">
      <c r="A41" s="221" t="s">
        <v>371</v>
      </c>
      <c r="B41" s="221" t="s">
        <v>403</v>
      </c>
      <c r="C41" s="99">
        <v>32022</v>
      </c>
      <c r="D41" s="1">
        <v>954262739</v>
      </c>
      <c r="E41" s="1" t="s">
        <v>428</v>
      </c>
      <c r="F41" s="1" t="s">
        <v>275</v>
      </c>
      <c r="G41" s="1" t="s">
        <v>441</v>
      </c>
      <c r="H41" s="1" t="s">
        <v>453</v>
      </c>
    </row>
    <row r="42" spans="1:8" x14ac:dyDescent="0.3">
      <c r="A42" s="221" t="s">
        <v>34</v>
      </c>
      <c r="B42" s="221" t="s">
        <v>173</v>
      </c>
      <c r="C42" s="99">
        <v>32228</v>
      </c>
      <c r="D42" s="1">
        <v>966986285</v>
      </c>
      <c r="E42" s="1" t="s">
        <v>296</v>
      </c>
      <c r="F42" s="1" t="s">
        <v>275</v>
      </c>
      <c r="G42" s="1" t="s">
        <v>441</v>
      </c>
      <c r="H42" s="1" t="s">
        <v>316</v>
      </c>
    </row>
    <row r="43" spans="1:8" x14ac:dyDescent="0.3">
      <c r="A43" s="221" t="s">
        <v>49</v>
      </c>
      <c r="B43" s="221" t="s">
        <v>410</v>
      </c>
      <c r="C43" s="99">
        <v>35537</v>
      </c>
      <c r="D43" s="1">
        <v>971282709</v>
      </c>
      <c r="E43" s="1" t="s">
        <v>438</v>
      </c>
      <c r="F43" s="1" t="s">
        <v>268</v>
      </c>
      <c r="G43" s="1" t="s">
        <v>269</v>
      </c>
      <c r="H43" s="1" t="s">
        <v>451</v>
      </c>
    </row>
    <row r="44" spans="1:8" x14ac:dyDescent="0.3">
      <c r="A44" s="221" t="s">
        <v>28</v>
      </c>
      <c r="B44" s="222" t="s">
        <v>319</v>
      </c>
      <c r="C44" s="99">
        <v>30729</v>
      </c>
      <c r="D44" s="1">
        <v>934101481</v>
      </c>
      <c r="E44" s="1" t="s">
        <v>431</v>
      </c>
      <c r="F44" s="1" t="s">
        <v>275</v>
      </c>
      <c r="G44" s="1" t="s">
        <v>441</v>
      </c>
      <c r="H44" s="1" t="s">
        <v>450</v>
      </c>
    </row>
    <row r="45" spans="1:8" x14ac:dyDescent="0.3">
      <c r="A45" s="221" t="s">
        <v>153</v>
      </c>
      <c r="B45" s="221" t="s">
        <v>400</v>
      </c>
      <c r="C45" s="99" t="s">
        <v>441</v>
      </c>
      <c r="D45" s="1" t="s">
        <v>441</v>
      </c>
      <c r="E45" s="1" t="s">
        <v>441</v>
      </c>
      <c r="F45" s="1" t="s">
        <v>441</v>
      </c>
      <c r="G45" s="1" t="s">
        <v>441</v>
      </c>
      <c r="H45" s="1"/>
    </row>
    <row r="46" spans="1:8" x14ac:dyDescent="0.3">
      <c r="A46" s="221" t="s">
        <v>49</v>
      </c>
      <c r="B46" s="221" t="s">
        <v>422</v>
      </c>
      <c r="C46" s="99">
        <v>35485</v>
      </c>
      <c r="D46" s="1">
        <v>927501356</v>
      </c>
      <c r="E46" s="1" t="s">
        <v>306</v>
      </c>
      <c r="F46" s="1" t="s">
        <v>275</v>
      </c>
      <c r="G46" s="1" t="s">
        <v>441</v>
      </c>
      <c r="H46" s="1" t="s">
        <v>462</v>
      </c>
    </row>
    <row r="47" spans="1:8" x14ac:dyDescent="0.3">
      <c r="A47" s="221" t="s">
        <v>49</v>
      </c>
      <c r="B47" s="221" t="s">
        <v>325</v>
      </c>
      <c r="C47" s="99">
        <v>31656</v>
      </c>
      <c r="D47" s="1">
        <v>957800460</v>
      </c>
      <c r="E47" s="1" t="s">
        <v>429</v>
      </c>
      <c r="F47" s="1" t="s">
        <v>275</v>
      </c>
      <c r="G47" s="1" t="s">
        <v>441</v>
      </c>
      <c r="H47" s="1"/>
    </row>
    <row r="48" spans="1:8" x14ac:dyDescent="0.3">
      <c r="A48" s="221" t="s">
        <v>153</v>
      </c>
      <c r="B48" s="221" t="s">
        <v>199</v>
      </c>
      <c r="C48" s="99">
        <v>30984</v>
      </c>
      <c r="D48" s="1">
        <v>965699885</v>
      </c>
      <c r="E48" s="1" t="s">
        <v>305</v>
      </c>
      <c r="F48" s="1" t="s">
        <v>275</v>
      </c>
      <c r="G48" s="1" t="s">
        <v>441</v>
      </c>
      <c r="H48" s="1" t="s">
        <v>444</v>
      </c>
    </row>
    <row r="49" spans="1:8" x14ac:dyDescent="0.3">
      <c r="A49" s="221" t="s">
        <v>371</v>
      </c>
      <c r="B49" s="221" t="s">
        <v>187</v>
      </c>
      <c r="C49" s="99">
        <v>31339</v>
      </c>
      <c r="D49" s="1">
        <v>937032300</v>
      </c>
      <c r="E49" s="1" t="s">
        <v>436</v>
      </c>
      <c r="F49" s="1" t="s">
        <v>275</v>
      </c>
      <c r="G49" s="1" t="s">
        <v>448</v>
      </c>
      <c r="H49" s="1"/>
    </row>
    <row r="50" spans="1:8" x14ac:dyDescent="0.3">
      <c r="A50" s="221" t="s">
        <v>371</v>
      </c>
      <c r="B50" s="221" t="s">
        <v>314</v>
      </c>
      <c r="C50" s="99">
        <v>31082</v>
      </c>
      <c r="D50" s="1">
        <v>951464092</v>
      </c>
      <c r="E50" s="1" t="s">
        <v>315</v>
      </c>
      <c r="F50" s="1" t="s">
        <v>275</v>
      </c>
      <c r="G50" s="1" t="s">
        <v>441</v>
      </c>
      <c r="H50" s="1"/>
    </row>
    <row r="51" spans="1:8" x14ac:dyDescent="0.3">
      <c r="A51" s="221" t="s">
        <v>153</v>
      </c>
      <c r="B51" s="221" t="s">
        <v>307</v>
      </c>
      <c r="C51" s="99">
        <v>34269</v>
      </c>
      <c r="D51" s="1">
        <v>934012411</v>
      </c>
      <c r="E51" s="1" t="s">
        <v>308</v>
      </c>
      <c r="F51" s="1" t="s">
        <v>275</v>
      </c>
      <c r="G51" s="1" t="s">
        <v>441</v>
      </c>
      <c r="H51" s="1"/>
    </row>
    <row r="52" spans="1:8" x14ac:dyDescent="0.3">
      <c r="A52" s="221" t="s">
        <v>53</v>
      </c>
      <c r="B52" s="221" t="s">
        <v>285</v>
      </c>
      <c r="C52" s="99">
        <v>36183</v>
      </c>
      <c r="D52" s="1">
        <v>937078700</v>
      </c>
      <c r="E52" s="1" t="s">
        <v>286</v>
      </c>
      <c r="F52" s="1" t="s">
        <v>268</v>
      </c>
      <c r="G52" s="1" t="s">
        <v>269</v>
      </c>
      <c r="H52" s="1"/>
    </row>
    <row r="53" spans="1:8" x14ac:dyDescent="0.3">
      <c r="A53" s="221" t="s">
        <v>34</v>
      </c>
      <c r="B53" s="221" t="s">
        <v>426</v>
      </c>
      <c r="C53" s="99">
        <v>34846</v>
      </c>
      <c r="D53" s="1">
        <v>969198968</v>
      </c>
      <c r="E53" s="1" t="s">
        <v>440</v>
      </c>
      <c r="F53" s="1" t="s">
        <v>268</v>
      </c>
      <c r="G53" s="1" t="s">
        <v>449</v>
      </c>
      <c r="H53" s="1"/>
    </row>
    <row r="54" spans="1:8" x14ac:dyDescent="0.3">
      <c r="A54" s="235" t="s">
        <v>153</v>
      </c>
      <c r="B54" s="236" t="s">
        <v>478</v>
      </c>
      <c r="C54" s="237">
        <v>32084</v>
      </c>
      <c r="D54" s="79">
        <v>901892663</v>
      </c>
      <c r="E54" s="79" t="s">
        <v>474</v>
      </c>
      <c r="F54" s="1" t="s">
        <v>268</v>
      </c>
      <c r="G54" s="79" t="s">
        <v>475</v>
      </c>
      <c r="H54" s="79"/>
    </row>
    <row r="55" spans="1:8" x14ac:dyDescent="0.3">
      <c r="A55" s="229" t="s">
        <v>371</v>
      </c>
      <c r="B55" s="236" t="s">
        <v>476</v>
      </c>
      <c r="C55" s="237"/>
      <c r="D55" s="79"/>
      <c r="E55" s="79"/>
      <c r="F55" s="1" t="s">
        <v>268</v>
      </c>
      <c r="G55" s="79"/>
      <c r="H55" s="79"/>
    </row>
    <row r="56" spans="1:8" x14ac:dyDescent="0.3">
      <c r="A56" s="229" t="s">
        <v>136</v>
      </c>
      <c r="B56" s="236" t="s">
        <v>477</v>
      </c>
      <c r="C56" s="237"/>
      <c r="D56" s="79"/>
      <c r="E56" s="79"/>
      <c r="F56" s="1" t="s">
        <v>268</v>
      </c>
      <c r="G56" s="79"/>
      <c r="H56" s="79"/>
    </row>
    <row r="57" spans="1:8" x14ac:dyDescent="0.3">
      <c r="A57" s="229" t="s">
        <v>136</v>
      </c>
      <c r="B57" s="236" t="s">
        <v>479</v>
      </c>
      <c r="C57" s="237"/>
      <c r="D57" s="79"/>
      <c r="E57" s="79"/>
      <c r="F57" s="1" t="s">
        <v>268</v>
      </c>
      <c r="G57" s="79"/>
      <c r="H57" s="79"/>
    </row>
    <row r="58" spans="1:8" x14ac:dyDescent="0.3">
      <c r="B58" s="236" t="s">
        <v>480</v>
      </c>
      <c r="C58" s="237"/>
      <c r="D58" s="79"/>
      <c r="E58" s="79"/>
      <c r="F58" s="1" t="s">
        <v>268</v>
      </c>
      <c r="G58" s="79"/>
      <c r="H58" s="79"/>
    </row>
    <row r="59" spans="1:8" x14ac:dyDescent="0.3">
      <c r="B59" s="236"/>
      <c r="C59" s="237"/>
      <c r="D59" s="79"/>
      <c r="E59" s="79"/>
      <c r="F59" s="79"/>
      <c r="G59" s="79"/>
      <c r="H59" s="79"/>
    </row>
  </sheetData>
  <autoFilter ref="A1:A57" xr:uid="{00000000-0009-0000-0000-00001B000000}"/>
  <pageMargins left="0.7" right="0.7" top="0.75" bottom="0.75" header="0.3" footer="0.3"/>
  <tableParts count="1">
    <tablePart r:id="rId1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10"/>
  <dimension ref="B1:J71"/>
  <sheetViews>
    <sheetView topLeftCell="B1" workbookViewId="0">
      <selection activeCell="K19" sqref="K19"/>
    </sheetView>
  </sheetViews>
  <sheetFormatPr baseColWidth="10" defaultRowHeight="14.4" x14ac:dyDescent="0.3"/>
  <cols>
    <col min="3" max="3" width="15.88671875" customWidth="1"/>
    <col min="9" max="9" width="12" customWidth="1"/>
    <col min="10" max="10" width="18.21875" bestFit="1" customWidth="1"/>
    <col min="11" max="11" width="14.109375" customWidth="1"/>
    <col min="12" max="12" width="12.77734375" customWidth="1"/>
    <col min="13" max="13" width="24.21875" bestFit="1" customWidth="1"/>
    <col min="14" max="14" width="18.21875" bestFit="1" customWidth="1"/>
    <col min="15" max="15" width="14.109375" bestFit="1" customWidth="1"/>
  </cols>
  <sheetData>
    <row r="1" spans="2:10" ht="31.2" x14ac:dyDescent="0.3">
      <c r="B1" s="213" t="s">
        <v>632</v>
      </c>
      <c r="C1" s="212" t="s">
        <v>115</v>
      </c>
      <c r="D1" s="212" t="s">
        <v>628</v>
      </c>
      <c r="E1" s="213" t="s">
        <v>629</v>
      </c>
      <c r="G1" t="s">
        <v>631</v>
      </c>
      <c r="H1" t="s">
        <v>634</v>
      </c>
      <c r="I1" t="s">
        <v>636</v>
      </c>
    </row>
    <row r="2" spans="2:10" x14ac:dyDescent="0.3">
      <c r="B2" s="292" t="s">
        <v>486</v>
      </c>
      <c r="C2" s="187" t="s">
        <v>67</v>
      </c>
      <c r="D2" s="81">
        <v>43302</v>
      </c>
      <c r="E2" t="str">
        <f>IF(LEN(Primera_plantacion[[#This Row],[1ra plantacion]])&gt;0,"x","")</f>
        <v>x</v>
      </c>
      <c r="G2" s="293" t="s">
        <v>487</v>
      </c>
      <c r="H2" s="291" t="s">
        <v>635</v>
      </c>
      <c r="I2" s="291">
        <v>1</v>
      </c>
    </row>
    <row r="3" spans="2:10" x14ac:dyDescent="0.3">
      <c r="B3" s="292" t="s">
        <v>486</v>
      </c>
      <c r="C3" s="187" t="s">
        <v>68</v>
      </c>
      <c r="D3" s="81">
        <v>43306</v>
      </c>
      <c r="E3" t="str">
        <f>IF(LEN(Primera_plantacion[[#This Row],[1ra plantacion]])&gt;0,"x","")</f>
        <v>x</v>
      </c>
      <c r="G3" s="293" t="s">
        <v>486</v>
      </c>
      <c r="H3" s="291" t="s">
        <v>635</v>
      </c>
      <c r="I3" s="291">
        <v>1</v>
      </c>
    </row>
    <row r="4" spans="2:10" x14ac:dyDescent="0.3">
      <c r="B4" s="292" t="s">
        <v>486</v>
      </c>
      <c r="C4" s="187" t="s">
        <v>69</v>
      </c>
      <c r="D4" s="81">
        <v>43308</v>
      </c>
      <c r="E4" t="str">
        <f>IF(LEN(Primera_plantacion[[#This Row],[1ra plantacion]])&gt;0,"x","")</f>
        <v>x</v>
      </c>
      <c r="G4" s="293" t="s">
        <v>488</v>
      </c>
      <c r="H4" s="291" t="s">
        <v>635</v>
      </c>
      <c r="I4" s="291">
        <v>1</v>
      </c>
    </row>
    <row r="5" spans="2:10" x14ac:dyDescent="0.3">
      <c r="B5" s="292" t="s">
        <v>486</v>
      </c>
      <c r="C5" s="187" t="s">
        <v>70</v>
      </c>
      <c r="D5" s="81">
        <v>43346</v>
      </c>
      <c r="E5" t="str">
        <f>IF(LEN(Primera_plantacion[[#This Row],[1ra plantacion]])&gt;0,"x","")</f>
        <v>x</v>
      </c>
      <c r="G5" s="293" t="s">
        <v>490</v>
      </c>
      <c r="H5" s="291" t="s">
        <v>635</v>
      </c>
      <c r="I5" s="291">
        <v>1</v>
      </c>
    </row>
    <row r="6" spans="2:10" x14ac:dyDescent="0.3">
      <c r="B6" s="292" t="s">
        <v>486</v>
      </c>
      <c r="C6" s="187" t="s">
        <v>74</v>
      </c>
      <c r="D6" s="81">
        <v>42552</v>
      </c>
      <c r="E6" t="str">
        <f>IF(LEN(Primera_plantacion[[#This Row],[1ra plantacion]])&gt;0,"x","")</f>
        <v>x</v>
      </c>
      <c r="G6" s="293" t="s">
        <v>489</v>
      </c>
      <c r="H6" s="291" t="s">
        <v>635</v>
      </c>
      <c r="I6" s="291">
        <v>1</v>
      </c>
    </row>
    <row r="7" spans="2:10" x14ac:dyDescent="0.3">
      <c r="B7" s="292" t="s">
        <v>486</v>
      </c>
      <c r="C7" s="187" t="s">
        <v>75</v>
      </c>
      <c r="D7" s="81">
        <v>42552</v>
      </c>
      <c r="E7" t="str">
        <f>IF(LEN(Primera_plantacion[[#This Row],[1ra plantacion]])&gt;0,"x","")</f>
        <v>x</v>
      </c>
    </row>
    <row r="8" spans="2:10" x14ac:dyDescent="0.3">
      <c r="B8" s="292" t="s">
        <v>486</v>
      </c>
      <c r="C8" s="187" t="s">
        <v>76</v>
      </c>
      <c r="D8" s="81">
        <v>42552</v>
      </c>
      <c r="E8" t="str">
        <f>IF(LEN(Primera_plantacion[[#This Row],[1ra plantacion]])&gt;0,"x","")</f>
        <v>x</v>
      </c>
    </row>
    <row r="9" spans="2:10" x14ac:dyDescent="0.3">
      <c r="B9" s="292" t="s">
        <v>486</v>
      </c>
      <c r="C9" s="187" t="s">
        <v>77</v>
      </c>
      <c r="D9" s="81">
        <v>40513</v>
      </c>
      <c r="E9" t="str">
        <f>IF(LEN(Primera_plantacion[[#This Row],[1ra plantacion]])&gt;0,"x","")</f>
        <v>x</v>
      </c>
      <c r="G9" s="19" t="s">
        <v>629</v>
      </c>
      <c r="H9" t="s" vm="1">
        <v>630</v>
      </c>
    </row>
    <row r="10" spans="2:10" x14ac:dyDescent="0.3">
      <c r="B10" s="292" t="s">
        <v>487</v>
      </c>
      <c r="C10" s="187" t="s">
        <v>23</v>
      </c>
      <c r="D10" s="81">
        <v>39345</v>
      </c>
      <c r="E10" t="str">
        <f>IF(LEN(Primera_plantacion[[#This Row],[1ra plantacion]])&gt;0,"x","")</f>
        <v>x</v>
      </c>
    </row>
    <row r="11" spans="2:10" x14ac:dyDescent="0.3">
      <c r="B11" s="292" t="s">
        <v>487</v>
      </c>
      <c r="C11" s="187" t="s">
        <v>24</v>
      </c>
      <c r="D11" s="81">
        <v>39342</v>
      </c>
      <c r="E11" t="str">
        <f>IF(LEN(Primera_plantacion[[#This Row],[1ra plantacion]])&gt;0,"x","")</f>
        <v>x</v>
      </c>
      <c r="G11" s="19" t="s">
        <v>631</v>
      </c>
      <c r="H11" s="19" t="s">
        <v>634</v>
      </c>
      <c r="I11" s="19" t="s">
        <v>636</v>
      </c>
      <c r="J11" t="s">
        <v>633</v>
      </c>
    </row>
    <row r="12" spans="2:10" x14ac:dyDescent="0.3">
      <c r="B12" s="292" t="s">
        <v>487</v>
      </c>
      <c r="C12" s="187" t="s">
        <v>25</v>
      </c>
      <c r="D12" s="81">
        <v>39353</v>
      </c>
      <c r="E12" t="str">
        <f>IF(LEN(Primera_plantacion[[#This Row],[1ra plantacion]])&gt;0,"x","")</f>
        <v>x</v>
      </c>
      <c r="G12" t="s">
        <v>487</v>
      </c>
      <c r="H12" t="s">
        <v>635</v>
      </c>
      <c r="I12" t="s">
        <v>637</v>
      </c>
      <c r="J12" s="294">
        <v>12.90054794520548</v>
      </c>
    </row>
    <row r="13" spans="2:10" x14ac:dyDescent="0.3">
      <c r="B13" s="292" t="s">
        <v>486</v>
      </c>
      <c r="C13" s="289" t="s">
        <v>33</v>
      </c>
      <c r="D13" s="81">
        <v>39701</v>
      </c>
      <c r="E13" t="str">
        <f>IF(LEN(Primera_plantacion[[#This Row],[1ra plantacion]])&gt;0,"x","")</f>
        <v>x</v>
      </c>
      <c r="G13" t="s">
        <v>486</v>
      </c>
      <c r="H13" t="s">
        <v>635</v>
      </c>
      <c r="I13" t="s">
        <v>637</v>
      </c>
      <c r="J13" s="294">
        <v>13.078214759169246</v>
      </c>
    </row>
    <row r="14" spans="2:10" x14ac:dyDescent="0.3">
      <c r="B14" s="292" t="s">
        <v>486</v>
      </c>
      <c r="C14" s="289" t="s">
        <v>35</v>
      </c>
      <c r="D14" s="81">
        <v>39699</v>
      </c>
      <c r="E14" t="str">
        <f>IF(LEN(Primera_plantacion[[#This Row],[1ra plantacion]])&gt;0,"x","")</f>
        <v>x</v>
      </c>
      <c r="G14" t="s">
        <v>488</v>
      </c>
      <c r="H14" t="s">
        <v>635</v>
      </c>
      <c r="I14" t="s">
        <v>637</v>
      </c>
      <c r="J14" s="294">
        <v>7.5649315068493141</v>
      </c>
    </row>
    <row r="15" spans="2:10" x14ac:dyDescent="0.3">
      <c r="B15" s="292" t="s">
        <v>486</v>
      </c>
      <c r="C15" s="187" t="s">
        <v>36</v>
      </c>
      <c r="D15" s="81">
        <v>39695</v>
      </c>
      <c r="E15" t="str">
        <f>IF(LEN(Primera_plantacion[[#This Row],[1ra plantacion]])&gt;0,"x","")</f>
        <v>x</v>
      </c>
      <c r="G15" t="s">
        <v>490</v>
      </c>
      <c r="H15" t="s">
        <v>635</v>
      </c>
      <c r="I15" t="s">
        <v>637</v>
      </c>
      <c r="J15" s="294">
        <v>11.492759295499022</v>
      </c>
    </row>
    <row r="16" spans="2:10" x14ac:dyDescent="0.3">
      <c r="B16" s="292" t="s">
        <v>486</v>
      </c>
      <c r="C16" s="187" t="s">
        <v>37</v>
      </c>
      <c r="D16" s="81">
        <v>39736</v>
      </c>
      <c r="E16" t="str">
        <f>IF(LEN(Primera_plantacion[[#This Row],[1ra plantacion]])&gt;0,"x","")</f>
        <v>x</v>
      </c>
      <c r="G16" t="s">
        <v>489</v>
      </c>
      <c r="H16" t="s">
        <v>635</v>
      </c>
      <c r="I16" t="s">
        <v>637</v>
      </c>
      <c r="J16" s="294">
        <v>9.8774951076320932</v>
      </c>
    </row>
    <row r="17" spans="2:10" x14ac:dyDescent="0.3">
      <c r="B17" s="292" t="s">
        <v>486</v>
      </c>
      <c r="C17" s="187" t="s">
        <v>38</v>
      </c>
      <c r="D17" s="81">
        <v>39722</v>
      </c>
      <c r="E17" t="str">
        <f>IF(LEN(Primera_plantacion[[#This Row],[1ra plantacion]])&gt;0,"x","")</f>
        <v>x</v>
      </c>
      <c r="G17" t="s">
        <v>126</v>
      </c>
      <c r="J17" s="294">
        <v>12.155029354207436</v>
      </c>
    </row>
    <row r="18" spans="2:10" x14ac:dyDescent="0.3">
      <c r="B18" s="292" t="s">
        <v>486</v>
      </c>
      <c r="C18" s="187" t="s">
        <v>39</v>
      </c>
      <c r="D18" s="81">
        <v>39717</v>
      </c>
      <c r="E18" t="str">
        <f>IF(LEN(Primera_plantacion[[#This Row],[1ra plantacion]])&gt;0,"x","")</f>
        <v>x</v>
      </c>
    </row>
    <row r="19" spans="2:10" x14ac:dyDescent="0.3">
      <c r="B19" s="292" t="s">
        <v>487</v>
      </c>
      <c r="C19" s="187" t="s">
        <v>51</v>
      </c>
      <c r="D19" s="81">
        <v>41143</v>
      </c>
      <c r="E19" t="str">
        <f>IF(LEN(Primera_plantacion[[#This Row],[1ra plantacion]])&gt;0,"x","")</f>
        <v>x</v>
      </c>
    </row>
    <row r="20" spans="2:10" x14ac:dyDescent="0.3">
      <c r="B20" s="292" t="s">
        <v>487</v>
      </c>
      <c r="C20" s="187" t="s">
        <v>71</v>
      </c>
      <c r="D20" s="81">
        <v>40179</v>
      </c>
      <c r="E20" t="str">
        <f>IF(LEN(Primera_plantacion[[#This Row],[1ra plantacion]])&gt;0,"x","")</f>
        <v>x</v>
      </c>
    </row>
    <row r="21" spans="2:10" x14ac:dyDescent="0.3">
      <c r="B21" s="292" t="s">
        <v>487</v>
      </c>
      <c r="C21" s="187" t="s">
        <v>72</v>
      </c>
      <c r="D21" s="81">
        <v>41153</v>
      </c>
      <c r="E21" t="str">
        <f>IF(LEN(Primera_plantacion[[#This Row],[1ra plantacion]])&gt;0,"x","")</f>
        <v>x</v>
      </c>
    </row>
    <row r="22" spans="2:10" x14ac:dyDescent="0.3">
      <c r="B22" s="292" t="s">
        <v>487</v>
      </c>
      <c r="C22" s="187" t="s">
        <v>73</v>
      </c>
      <c r="D22" s="81">
        <v>41221</v>
      </c>
      <c r="E22" t="str">
        <f>IF(LEN(Primera_plantacion[[#This Row],[1ra plantacion]])&gt;0,"x","")</f>
        <v>x</v>
      </c>
    </row>
    <row r="23" spans="2:10" x14ac:dyDescent="0.3">
      <c r="B23" s="292" t="s">
        <v>487</v>
      </c>
      <c r="C23" s="187" t="s">
        <v>81</v>
      </c>
      <c r="D23" s="81">
        <v>41501</v>
      </c>
      <c r="E23" t="str">
        <f>IF(LEN(Primera_plantacion[[#This Row],[1ra plantacion]])&gt;0,"x","")</f>
        <v>x</v>
      </c>
    </row>
    <row r="24" spans="2:10" x14ac:dyDescent="0.3">
      <c r="B24" s="292" t="s">
        <v>487</v>
      </c>
      <c r="C24" s="187" t="s">
        <v>82</v>
      </c>
      <c r="D24" s="81">
        <v>41150</v>
      </c>
      <c r="E24" t="str">
        <f>IF(LEN(Primera_plantacion[[#This Row],[1ra plantacion]])&gt;0,"x","")</f>
        <v>x</v>
      </c>
    </row>
    <row r="25" spans="2:10" x14ac:dyDescent="0.3">
      <c r="B25" s="292" t="s">
        <v>486</v>
      </c>
      <c r="C25" s="187" t="s">
        <v>52</v>
      </c>
      <c r="D25" s="81">
        <v>43332</v>
      </c>
      <c r="E25" t="str">
        <f>IF(LEN(Primera_plantacion[[#This Row],[1ra plantacion]])&gt;0,"x","")</f>
        <v>x</v>
      </c>
    </row>
    <row r="26" spans="2:10" x14ac:dyDescent="0.3">
      <c r="B26" s="292" t="s">
        <v>486</v>
      </c>
      <c r="C26" s="187" t="s">
        <v>54</v>
      </c>
      <c r="D26" s="81">
        <v>42937</v>
      </c>
      <c r="E26" t="str">
        <f>IF(LEN(Primera_plantacion[[#This Row],[1ra plantacion]])&gt;0,"x","")</f>
        <v>x</v>
      </c>
    </row>
    <row r="27" spans="2:10" x14ac:dyDescent="0.3">
      <c r="B27" s="292" t="s">
        <v>486</v>
      </c>
      <c r="C27" s="187" t="s">
        <v>55</v>
      </c>
      <c r="D27" s="81">
        <v>42933</v>
      </c>
      <c r="E27" t="str">
        <f>IF(LEN(Primera_plantacion[[#This Row],[1ra plantacion]])&gt;0,"x","")</f>
        <v>x</v>
      </c>
    </row>
    <row r="28" spans="2:10" x14ac:dyDescent="0.3">
      <c r="B28" s="292" t="s">
        <v>486</v>
      </c>
      <c r="C28" s="187" t="s">
        <v>56</v>
      </c>
      <c r="D28" s="81">
        <v>42671</v>
      </c>
      <c r="E28" t="str">
        <f>IF(LEN(Primera_plantacion[[#This Row],[1ra plantacion]])&gt;0,"x","")</f>
        <v>x</v>
      </c>
    </row>
    <row r="29" spans="2:10" x14ac:dyDescent="0.3">
      <c r="B29" s="292" t="s">
        <v>486</v>
      </c>
      <c r="C29" s="289" t="s">
        <v>57</v>
      </c>
      <c r="D29" s="81">
        <v>42668</v>
      </c>
      <c r="E29" t="str">
        <f>IF(LEN(Primera_plantacion[[#This Row],[1ra plantacion]])&gt;0,"x","")</f>
        <v>x</v>
      </c>
    </row>
    <row r="30" spans="2:10" x14ac:dyDescent="0.3">
      <c r="B30" s="292" t="s">
        <v>486</v>
      </c>
      <c r="C30" s="289" t="s">
        <v>58</v>
      </c>
      <c r="D30" s="81">
        <v>42665</v>
      </c>
      <c r="E30" t="str">
        <f>IF(LEN(Primera_plantacion[[#This Row],[1ra plantacion]])&gt;0,"x","")</f>
        <v>x</v>
      </c>
    </row>
    <row r="31" spans="2:10" x14ac:dyDescent="0.3">
      <c r="B31" s="292" t="s">
        <v>486</v>
      </c>
      <c r="C31" s="289" t="s">
        <v>130</v>
      </c>
      <c r="D31" s="81">
        <v>41074</v>
      </c>
      <c r="E31" t="str">
        <f>IF(LEN(Primera_plantacion[[#This Row],[1ra plantacion]])&gt;0,"x","")</f>
        <v>x</v>
      </c>
    </row>
    <row r="32" spans="2:10" x14ac:dyDescent="0.3">
      <c r="B32" s="292" t="s">
        <v>486</v>
      </c>
      <c r="C32" s="289" t="s">
        <v>63</v>
      </c>
      <c r="D32" s="81">
        <v>41061</v>
      </c>
      <c r="E32" t="str">
        <f>IF(LEN(Primera_plantacion[[#This Row],[1ra plantacion]])&gt;0,"x","")</f>
        <v>x</v>
      </c>
    </row>
    <row r="33" spans="2:5" x14ac:dyDescent="0.3">
      <c r="B33" s="292" t="s">
        <v>486</v>
      </c>
      <c r="C33" s="187" t="s">
        <v>64</v>
      </c>
      <c r="D33" s="81">
        <v>41509</v>
      </c>
      <c r="E33" t="str">
        <f>IF(LEN(Primera_plantacion[[#This Row],[1ra plantacion]])&gt;0,"x","")</f>
        <v>x</v>
      </c>
    </row>
    <row r="34" spans="2:5" x14ac:dyDescent="0.3">
      <c r="B34" s="292" t="s">
        <v>486</v>
      </c>
      <c r="C34" s="187" t="s">
        <v>78</v>
      </c>
      <c r="D34" s="81">
        <v>41214</v>
      </c>
      <c r="E34" t="str">
        <f>IF(LEN(Primera_plantacion[[#This Row],[1ra plantacion]])&gt;0,"x","")</f>
        <v>x</v>
      </c>
    </row>
    <row r="35" spans="2:5" x14ac:dyDescent="0.3">
      <c r="B35" s="292" t="s">
        <v>486</v>
      </c>
      <c r="C35" s="289" t="s">
        <v>90</v>
      </c>
      <c r="D35" s="81">
        <v>41061</v>
      </c>
      <c r="E35" t="str">
        <f>IF(LEN(Primera_plantacion[[#This Row],[1ra plantacion]])&gt;0,"x","")</f>
        <v>x</v>
      </c>
    </row>
    <row r="36" spans="2:5" x14ac:dyDescent="0.3">
      <c r="B36" s="292" t="s">
        <v>486</v>
      </c>
      <c r="C36" s="289" t="s">
        <v>92</v>
      </c>
      <c r="D36" s="81">
        <v>40057</v>
      </c>
      <c r="E36" t="str">
        <f>IF(LEN(Primera_plantacion[[#This Row],[1ra plantacion]])&gt;0,"x","")</f>
        <v>x</v>
      </c>
    </row>
    <row r="37" spans="2:5" x14ac:dyDescent="0.3">
      <c r="B37" s="292" t="s">
        <v>486</v>
      </c>
      <c r="C37" s="187" t="s">
        <v>80</v>
      </c>
      <c r="D37" s="81">
        <v>41091</v>
      </c>
      <c r="E37" t="str">
        <f>IF(LEN(Primera_plantacion[[#This Row],[1ra plantacion]])&gt;0,"x","")</f>
        <v>x</v>
      </c>
    </row>
    <row r="38" spans="2:5" x14ac:dyDescent="0.3">
      <c r="B38" s="292" t="s">
        <v>488</v>
      </c>
      <c r="C38" s="187" t="s">
        <v>48</v>
      </c>
      <c r="D38" s="81">
        <v>41157</v>
      </c>
      <c r="E38" t="str">
        <f>IF(LEN(Primera_plantacion[[#This Row],[1ra plantacion]])&gt;0,"x","")</f>
        <v>x</v>
      </c>
    </row>
    <row r="39" spans="2:5" x14ac:dyDescent="0.3">
      <c r="B39" s="292" t="s">
        <v>488</v>
      </c>
      <c r="C39" s="187" t="s">
        <v>50</v>
      </c>
      <c r="D39" s="81">
        <v>41163</v>
      </c>
      <c r="E39" t="str">
        <f>IF(LEN(Primera_plantacion[[#This Row],[1ra plantacion]])&gt;0,"x","")</f>
        <v>x</v>
      </c>
    </row>
    <row r="40" spans="2:5" x14ac:dyDescent="0.3">
      <c r="B40" s="292" t="s">
        <v>488</v>
      </c>
      <c r="C40" s="187" t="s">
        <v>96</v>
      </c>
      <c r="D40" s="81">
        <v>44806</v>
      </c>
      <c r="E40" t="str">
        <f>IF(LEN(Primera_plantacion[[#This Row],[1ra plantacion]])&gt;0,"x","")</f>
        <v>x</v>
      </c>
    </row>
    <row r="41" spans="2:5" x14ac:dyDescent="0.3">
      <c r="B41" s="292" t="s">
        <v>488</v>
      </c>
      <c r="C41" s="187" t="s">
        <v>97</v>
      </c>
      <c r="D41" s="81">
        <v>44800</v>
      </c>
      <c r="E41" t="str">
        <f>IF(LEN(Primera_plantacion[[#This Row],[1ra plantacion]])&gt;0,"x","")</f>
        <v>x</v>
      </c>
    </row>
    <row r="42" spans="2:5" x14ac:dyDescent="0.3">
      <c r="B42" s="292" t="s">
        <v>488</v>
      </c>
      <c r="C42" s="187" t="s">
        <v>98</v>
      </c>
      <c r="D42" s="81">
        <v>44798</v>
      </c>
      <c r="E42" t="str">
        <f>IF(LEN(Primera_plantacion[[#This Row],[1ra plantacion]])&gt;0,"x","")</f>
        <v>x</v>
      </c>
    </row>
    <row r="43" spans="2:5" x14ac:dyDescent="0.3">
      <c r="B43" s="292" t="s">
        <v>487</v>
      </c>
      <c r="C43" s="187" t="s">
        <v>16</v>
      </c>
      <c r="D43" s="81">
        <v>39350</v>
      </c>
      <c r="E43" t="str">
        <f>IF(LEN(Primera_plantacion[[#This Row],[1ra plantacion]])&gt;0,"x","")</f>
        <v>x</v>
      </c>
    </row>
    <row r="44" spans="2:5" x14ac:dyDescent="0.3">
      <c r="B44" s="292" t="s">
        <v>487</v>
      </c>
      <c r="C44" s="187" t="s">
        <v>18</v>
      </c>
      <c r="D44" s="81">
        <v>39661</v>
      </c>
      <c r="E44" t="str">
        <f>IF(LEN(Primera_plantacion[[#This Row],[1ra plantacion]])&gt;0,"x","")</f>
        <v>x</v>
      </c>
    </row>
    <row r="45" spans="2:5" x14ac:dyDescent="0.3">
      <c r="B45" s="292" t="s">
        <v>487</v>
      </c>
      <c r="C45" s="187" t="s">
        <v>19</v>
      </c>
      <c r="D45" s="81">
        <v>41136</v>
      </c>
      <c r="E45" t="str">
        <f>IF(LEN(Primera_plantacion[[#This Row],[1ra plantacion]])&gt;0,"x","")</f>
        <v>x</v>
      </c>
    </row>
    <row r="46" spans="2:5" x14ac:dyDescent="0.3">
      <c r="B46" s="292" t="s">
        <v>487</v>
      </c>
      <c r="C46" s="187" t="s">
        <v>44</v>
      </c>
      <c r="D46" s="81">
        <v>41513</v>
      </c>
      <c r="E46" t="str">
        <f>IF(LEN(Primera_plantacion[[#This Row],[1ra plantacion]])&gt;0,"x","")</f>
        <v>x</v>
      </c>
    </row>
    <row r="47" spans="2:5" x14ac:dyDescent="0.3">
      <c r="B47" s="292" t="s">
        <v>487</v>
      </c>
      <c r="C47" s="187" t="s">
        <v>59</v>
      </c>
      <c r="D47" s="81">
        <v>43442</v>
      </c>
      <c r="E47" t="str">
        <f>IF(LEN(Primera_plantacion[[#This Row],[1ra plantacion]])&gt;0,"x","")</f>
        <v>x</v>
      </c>
    </row>
    <row r="48" spans="2:5" x14ac:dyDescent="0.3">
      <c r="B48" s="292" t="s">
        <v>487</v>
      </c>
      <c r="C48" s="187" t="s">
        <v>60</v>
      </c>
      <c r="D48" s="81">
        <v>43444</v>
      </c>
      <c r="E48" t="str">
        <f>IF(LEN(Primera_plantacion[[#This Row],[1ra plantacion]])&gt;0,"x","")</f>
        <v>x</v>
      </c>
    </row>
    <row r="49" spans="2:5" x14ac:dyDescent="0.3">
      <c r="B49" s="292" t="s">
        <v>489</v>
      </c>
      <c r="C49" s="187" t="s">
        <v>45</v>
      </c>
      <c r="D49" s="81">
        <v>41456</v>
      </c>
      <c r="E49" t="str">
        <f>IF(LEN(Primera_plantacion[[#This Row],[1ra plantacion]])&gt;0,"x","")</f>
        <v>x</v>
      </c>
    </row>
    <row r="50" spans="2:5" x14ac:dyDescent="0.3">
      <c r="B50" s="292" t="s">
        <v>489</v>
      </c>
      <c r="C50" s="187" t="s">
        <v>47</v>
      </c>
      <c r="D50" s="81">
        <v>41456</v>
      </c>
      <c r="E50" t="str">
        <f>IF(LEN(Primera_plantacion[[#This Row],[1ra plantacion]])&gt;0,"x","")</f>
        <v>x</v>
      </c>
    </row>
    <row r="51" spans="2:5" x14ac:dyDescent="0.3">
      <c r="B51" s="292" t="s">
        <v>489</v>
      </c>
      <c r="C51" s="187" t="s">
        <v>83</v>
      </c>
      <c r="D51" s="81">
        <v>41164</v>
      </c>
      <c r="E51" t="str">
        <f>IF(LEN(Primera_plantacion[[#This Row],[1ra plantacion]])&gt;0,"x","")</f>
        <v>x</v>
      </c>
    </row>
    <row r="52" spans="2:5" x14ac:dyDescent="0.3">
      <c r="B52" s="292" t="s">
        <v>489</v>
      </c>
      <c r="C52" s="187" t="s">
        <v>84</v>
      </c>
      <c r="D52" s="81">
        <v>41166</v>
      </c>
      <c r="E52" t="str">
        <f>IF(LEN(Primera_plantacion[[#This Row],[1ra plantacion]])&gt;0,"x","")</f>
        <v>x</v>
      </c>
    </row>
    <row r="53" spans="2:5" x14ac:dyDescent="0.3">
      <c r="B53" s="292" t="s">
        <v>489</v>
      </c>
      <c r="C53" s="289" t="s">
        <v>86</v>
      </c>
      <c r="D53" s="81">
        <v>42642</v>
      </c>
      <c r="E53" t="str">
        <f>IF(LEN(Primera_plantacion[[#This Row],[1ra plantacion]])&gt;0,"x","")</f>
        <v>x</v>
      </c>
    </row>
    <row r="54" spans="2:5" x14ac:dyDescent="0.3">
      <c r="B54" s="292" t="s">
        <v>489</v>
      </c>
      <c r="C54" s="187" t="s">
        <v>99</v>
      </c>
      <c r="D54" s="81">
        <v>44809</v>
      </c>
      <c r="E54" t="str">
        <f>IF(LEN(Primera_plantacion[[#This Row],[1ra plantacion]])&gt;0,"x","")</f>
        <v>x</v>
      </c>
    </row>
    <row r="55" spans="2:5" x14ac:dyDescent="0.3">
      <c r="B55" s="292" t="s">
        <v>489</v>
      </c>
      <c r="C55" s="187" t="s">
        <v>100</v>
      </c>
      <c r="D55" s="81">
        <v>44812</v>
      </c>
      <c r="E55" t="str">
        <f>IF(LEN(Primera_plantacion[[#This Row],[1ra plantacion]])&gt;0,"x","")</f>
        <v>x</v>
      </c>
    </row>
    <row r="56" spans="2:5" x14ac:dyDescent="0.3">
      <c r="B56" s="292" t="s">
        <v>487</v>
      </c>
      <c r="C56" s="187" t="s">
        <v>20</v>
      </c>
      <c r="D56" s="81">
        <v>45839</v>
      </c>
      <c r="E56" t="str">
        <f>IF(LEN(Primera_plantacion[[#This Row],[1ra plantacion]])&gt;0,"x","")</f>
        <v>x</v>
      </c>
    </row>
    <row r="57" spans="2:5" x14ac:dyDescent="0.3">
      <c r="B57" s="292" t="s">
        <v>487</v>
      </c>
      <c r="C57" s="187" t="s">
        <v>21</v>
      </c>
      <c r="D57" s="81">
        <v>45839</v>
      </c>
      <c r="E57" t="str">
        <f>IF(LEN(Primera_plantacion[[#This Row],[1ra plantacion]])&gt;0,"x","")</f>
        <v>x</v>
      </c>
    </row>
    <row r="58" spans="2:5" x14ac:dyDescent="0.3">
      <c r="B58" s="292" t="s">
        <v>487</v>
      </c>
      <c r="C58" s="187" t="s">
        <v>93</v>
      </c>
      <c r="D58" s="81">
        <v>41117</v>
      </c>
      <c r="E58" t="str">
        <f>IF(LEN(Primera_plantacion[[#This Row],[1ra plantacion]])&gt;0,"x","")</f>
        <v>x</v>
      </c>
    </row>
    <row r="59" spans="2:5" x14ac:dyDescent="0.3">
      <c r="B59" s="292" t="s">
        <v>487</v>
      </c>
      <c r="C59" s="187" t="s">
        <v>94</v>
      </c>
      <c r="D59" s="81">
        <v>41113</v>
      </c>
      <c r="E59" t="str">
        <f>IF(LEN(Primera_plantacion[[#This Row],[1ra plantacion]])&gt;0,"x","")</f>
        <v>x</v>
      </c>
    </row>
    <row r="60" spans="2:5" x14ac:dyDescent="0.3">
      <c r="B60" s="292" t="s">
        <v>487</v>
      </c>
      <c r="C60" s="187" t="s">
        <v>95</v>
      </c>
      <c r="D60" s="81">
        <v>41105</v>
      </c>
      <c r="E60" t="str">
        <f>IF(LEN(Primera_plantacion[[#This Row],[1ra plantacion]])&gt;0,"x","")</f>
        <v>x</v>
      </c>
    </row>
    <row r="61" spans="2:5" x14ac:dyDescent="0.3">
      <c r="B61" s="292" t="s">
        <v>490</v>
      </c>
      <c r="C61" s="187" t="s">
        <v>30</v>
      </c>
      <c r="D61" s="81">
        <v>43302</v>
      </c>
      <c r="E61" t="str">
        <f>IF(LEN(Primera_plantacion[[#This Row],[1ra plantacion]])&gt;0,"x","")</f>
        <v>x</v>
      </c>
    </row>
    <row r="62" spans="2:5" x14ac:dyDescent="0.3">
      <c r="B62" s="292" t="s">
        <v>490</v>
      </c>
      <c r="C62" s="187" t="s">
        <v>31</v>
      </c>
      <c r="D62" s="81">
        <v>42695</v>
      </c>
      <c r="E62" t="str">
        <f>IF(LEN(Primera_plantacion[[#This Row],[1ra plantacion]])&gt;0,"x","")</f>
        <v>x</v>
      </c>
    </row>
    <row r="63" spans="2:5" x14ac:dyDescent="0.3">
      <c r="B63" s="292" t="s">
        <v>490</v>
      </c>
      <c r="C63" s="187" t="s">
        <v>32</v>
      </c>
      <c r="D63" s="81">
        <v>41500</v>
      </c>
      <c r="E63" t="str">
        <f>IF(LEN(Primera_plantacion[[#This Row],[1ra plantacion]])&gt;0,"x","")</f>
        <v>x</v>
      </c>
    </row>
    <row r="64" spans="2:5" x14ac:dyDescent="0.3">
      <c r="B64" s="292" t="s">
        <v>486</v>
      </c>
      <c r="C64" s="187" t="s">
        <v>40</v>
      </c>
      <c r="D64" s="81">
        <v>39338</v>
      </c>
      <c r="E64" t="str">
        <f>IF(LEN(Primera_plantacion[[#This Row],[1ra plantacion]])&gt;0,"x","")</f>
        <v>x</v>
      </c>
    </row>
    <row r="65" spans="2:5" x14ac:dyDescent="0.3">
      <c r="B65" s="292" t="s">
        <v>486</v>
      </c>
      <c r="C65" s="187" t="s">
        <v>41</v>
      </c>
      <c r="D65" s="81">
        <v>39328</v>
      </c>
      <c r="E65" t="str">
        <f>IF(LEN(Primera_plantacion[[#This Row],[1ra plantacion]])&gt;0,"x","")</f>
        <v>x</v>
      </c>
    </row>
    <row r="66" spans="2:5" x14ac:dyDescent="0.3">
      <c r="B66" s="292" t="s">
        <v>486</v>
      </c>
      <c r="C66" s="187" t="s">
        <v>42</v>
      </c>
      <c r="D66" s="81">
        <v>39335</v>
      </c>
      <c r="E66" t="str">
        <f>IF(LEN(Primera_plantacion[[#This Row],[1ra plantacion]])&gt;0,"x","")</f>
        <v>x</v>
      </c>
    </row>
    <row r="67" spans="2:5" x14ac:dyDescent="0.3">
      <c r="B67" s="292" t="s">
        <v>486</v>
      </c>
      <c r="C67" s="187" t="s">
        <v>43</v>
      </c>
      <c r="D67" s="81">
        <v>39331</v>
      </c>
      <c r="E67" t="str">
        <f>IF(LEN(Primera_plantacion[[#This Row],[1ra plantacion]])&gt;0,"x","")</f>
        <v>x</v>
      </c>
    </row>
    <row r="68" spans="2:5" x14ac:dyDescent="0.3">
      <c r="B68" s="292" t="s">
        <v>490</v>
      </c>
      <c r="C68" s="187" t="s">
        <v>65</v>
      </c>
      <c r="D68" s="81">
        <v>41480</v>
      </c>
      <c r="E68" t="str">
        <f>IF(LEN(Primera_plantacion[[#This Row],[1ra plantacion]])&gt;0,"x","")</f>
        <v>x</v>
      </c>
    </row>
    <row r="69" spans="2:5" x14ac:dyDescent="0.3">
      <c r="B69" s="292" t="s">
        <v>490</v>
      </c>
      <c r="C69" s="187" t="s">
        <v>66</v>
      </c>
      <c r="D69" s="81">
        <v>41456</v>
      </c>
      <c r="E69" t="str">
        <f>IF(LEN(Primera_plantacion[[#This Row],[1ra plantacion]])&gt;0,"x","")</f>
        <v>x</v>
      </c>
    </row>
    <row r="70" spans="2:5" x14ac:dyDescent="0.3">
      <c r="B70" s="292" t="s">
        <v>490</v>
      </c>
      <c r="C70" s="187" t="s">
        <v>88</v>
      </c>
      <c r="D70" s="81">
        <v>41489</v>
      </c>
      <c r="E70" t="str">
        <f>IF(LEN(Primera_plantacion[[#This Row],[1ra plantacion]])&gt;0,"x","")</f>
        <v>x</v>
      </c>
    </row>
    <row r="71" spans="2:5" x14ac:dyDescent="0.3">
      <c r="B71" s="292" t="s">
        <v>490</v>
      </c>
      <c r="C71" s="290" t="s">
        <v>89</v>
      </c>
      <c r="D71" s="81">
        <v>41456</v>
      </c>
      <c r="E71" t="str">
        <f>IF(LEN(Primera_plantacion[[#This Row],[1ra plantacion]])&gt;0,"x","")</f>
        <v>x</v>
      </c>
    </row>
  </sheetData>
  <conditionalFormatting sqref="B72:B1048576 B1:C1 C2:C71">
    <cfRule type="duplicateValues" dxfId="2" priority="2"/>
  </conditionalFormatting>
  <conditionalFormatting sqref="D1">
    <cfRule type="duplicateValues" dxfId="1" priority="1"/>
  </conditionalFormatting>
  <pageMargins left="0.7" right="0.7" top="0.75" bottom="0.75" header="0.3" footer="0.3"/>
  <tableParts count="2">
    <tablePart r:id="rId2"/>
    <tablePart r:id="rId3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5"/>
  <dimension ref="B4:D21"/>
  <sheetViews>
    <sheetView topLeftCell="B1" workbookViewId="0">
      <selection activeCell="E22" sqref="E22"/>
    </sheetView>
  </sheetViews>
  <sheetFormatPr baseColWidth="10" defaultRowHeight="14.4" x14ac:dyDescent="0.3"/>
  <cols>
    <col min="2" max="2" width="17.21875" bestFit="1" customWidth="1"/>
    <col min="3" max="3" width="12.33203125" bestFit="1" customWidth="1"/>
    <col min="4" max="5" width="20.33203125" bestFit="1" customWidth="1"/>
    <col min="6" max="6" width="7.21875" bestFit="1" customWidth="1"/>
    <col min="7" max="7" width="16.88671875" bestFit="1" customWidth="1"/>
    <col min="8" max="8" width="15.21875" bestFit="1" customWidth="1"/>
    <col min="9" max="9" width="13.44140625" bestFit="1" customWidth="1"/>
    <col min="10" max="10" width="13.33203125" bestFit="1" customWidth="1"/>
    <col min="11" max="11" width="9" bestFit="1" customWidth="1"/>
    <col min="12" max="12" width="8.88671875" bestFit="1" customWidth="1"/>
  </cols>
  <sheetData>
    <row r="4" spans="2:4" x14ac:dyDescent="0.3">
      <c r="B4" s="295"/>
      <c r="C4" s="296"/>
      <c r="D4" s="297"/>
    </row>
    <row r="5" spans="2:4" x14ac:dyDescent="0.3">
      <c r="B5" s="298"/>
      <c r="C5" s="299"/>
      <c r="D5" s="300"/>
    </row>
    <row r="6" spans="2:4" x14ac:dyDescent="0.3">
      <c r="B6" s="298"/>
      <c r="C6" s="299"/>
      <c r="D6" s="300"/>
    </row>
    <row r="7" spans="2:4" x14ac:dyDescent="0.3">
      <c r="B7" s="298"/>
      <c r="C7" s="299"/>
      <c r="D7" s="300"/>
    </row>
    <row r="8" spans="2:4" x14ac:dyDescent="0.3">
      <c r="B8" s="298"/>
      <c r="C8" s="299"/>
      <c r="D8" s="300"/>
    </row>
    <row r="9" spans="2:4" x14ac:dyDescent="0.3">
      <c r="B9" s="298"/>
      <c r="C9" s="299"/>
      <c r="D9" s="300"/>
    </row>
    <row r="10" spans="2:4" x14ac:dyDescent="0.3">
      <c r="B10" s="298"/>
      <c r="C10" s="299"/>
      <c r="D10" s="300"/>
    </row>
    <row r="11" spans="2:4" x14ac:dyDescent="0.3">
      <c r="B11" s="298"/>
      <c r="C11" s="299"/>
      <c r="D11" s="300"/>
    </row>
    <row r="12" spans="2:4" x14ac:dyDescent="0.3">
      <c r="B12" s="298"/>
      <c r="C12" s="299"/>
      <c r="D12" s="300"/>
    </row>
    <row r="13" spans="2:4" x14ac:dyDescent="0.3">
      <c r="B13" s="298"/>
      <c r="C13" s="299"/>
      <c r="D13" s="300"/>
    </row>
    <row r="14" spans="2:4" x14ac:dyDescent="0.3">
      <c r="B14" s="298"/>
      <c r="C14" s="299"/>
      <c r="D14" s="300"/>
    </row>
    <row r="15" spans="2:4" x14ac:dyDescent="0.3">
      <c r="B15" s="298"/>
      <c r="C15" s="299"/>
      <c r="D15" s="300"/>
    </row>
    <row r="16" spans="2:4" x14ac:dyDescent="0.3">
      <c r="B16" s="298"/>
      <c r="C16" s="299"/>
      <c r="D16" s="300"/>
    </row>
    <row r="17" spans="2:4" x14ac:dyDescent="0.3">
      <c r="B17" s="298"/>
      <c r="C17" s="299"/>
      <c r="D17" s="300"/>
    </row>
    <row r="18" spans="2:4" x14ac:dyDescent="0.3">
      <c r="B18" s="298"/>
      <c r="C18" s="299"/>
      <c r="D18" s="300"/>
    </row>
    <row r="19" spans="2:4" x14ac:dyDescent="0.3">
      <c r="B19" s="298"/>
      <c r="C19" s="299"/>
      <c r="D19" s="300"/>
    </row>
    <row r="20" spans="2:4" x14ac:dyDescent="0.3">
      <c r="B20" s="298"/>
      <c r="C20" s="299"/>
      <c r="D20" s="300"/>
    </row>
    <row r="21" spans="2:4" x14ac:dyDescent="0.3">
      <c r="B21" s="301"/>
      <c r="C21" s="302"/>
      <c r="D21" s="30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7"/>
  <dimension ref="B3:J68"/>
  <sheetViews>
    <sheetView zoomScale="80" zoomScaleNormal="8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G12" sqref="G12"/>
    </sheetView>
  </sheetViews>
  <sheetFormatPr baseColWidth="10" defaultRowHeight="14.4" x14ac:dyDescent="0.3"/>
  <cols>
    <col min="2" max="2" width="11.77734375" bestFit="1" customWidth="1"/>
    <col min="3" max="3" width="21" bestFit="1" customWidth="1"/>
    <col min="4" max="5" width="11" bestFit="1" customWidth="1"/>
    <col min="6" max="6" width="11.77734375" customWidth="1"/>
    <col min="7" max="7" width="13.77734375" customWidth="1"/>
    <col min="8" max="8" width="14" bestFit="1" customWidth="1"/>
    <col min="9" max="9" width="12.6640625" customWidth="1"/>
    <col min="10" max="10" width="12.33203125" bestFit="1" customWidth="1"/>
  </cols>
  <sheetData>
    <row r="3" spans="2:10" x14ac:dyDescent="0.3">
      <c r="B3" s="19" t="s">
        <v>256</v>
      </c>
      <c r="C3" s="19" t="s">
        <v>114</v>
      </c>
      <c r="D3" s="19" t="s">
        <v>214</v>
      </c>
      <c r="E3" s="19" t="s">
        <v>614</v>
      </c>
      <c r="F3" s="19" t="s">
        <v>129</v>
      </c>
      <c r="G3" t="s">
        <v>622</v>
      </c>
      <c r="H3" t="s">
        <v>623</v>
      </c>
      <c r="I3" t="s">
        <v>621</v>
      </c>
      <c r="J3" t="s">
        <v>620</v>
      </c>
    </row>
    <row r="4" spans="2:10" x14ac:dyDescent="0.3">
      <c r="B4" t="s">
        <v>248</v>
      </c>
      <c r="C4" t="s">
        <v>108</v>
      </c>
      <c r="D4" t="s">
        <v>58</v>
      </c>
      <c r="E4" t="s">
        <v>603</v>
      </c>
      <c r="F4">
        <v>1905</v>
      </c>
      <c r="G4">
        <v>1.37</v>
      </c>
      <c r="H4">
        <v>1.46</v>
      </c>
      <c r="I4">
        <v>2782</v>
      </c>
      <c r="J4">
        <v>2607</v>
      </c>
    </row>
    <row r="5" spans="2:10" x14ac:dyDescent="0.3">
      <c r="B5" t="s">
        <v>248</v>
      </c>
      <c r="C5" t="s">
        <v>108</v>
      </c>
      <c r="D5" t="s">
        <v>58</v>
      </c>
      <c r="E5" t="s">
        <v>604</v>
      </c>
      <c r="F5">
        <v>1905</v>
      </c>
      <c r="G5">
        <v>1.67</v>
      </c>
      <c r="H5">
        <v>1.78</v>
      </c>
      <c r="I5">
        <v>3396</v>
      </c>
      <c r="J5">
        <v>3182</v>
      </c>
    </row>
    <row r="6" spans="2:10" x14ac:dyDescent="0.3">
      <c r="B6" t="s">
        <v>248</v>
      </c>
      <c r="C6" t="s">
        <v>108</v>
      </c>
      <c r="D6" t="s">
        <v>58</v>
      </c>
      <c r="E6" t="s">
        <v>605</v>
      </c>
      <c r="F6">
        <v>1905</v>
      </c>
      <c r="G6">
        <v>1.75</v>
      </c>
      <c r="H6">
        <v>1.83</v>
      </c>
      <c r="I6">
        <v>3487</v>
      </c>
      <c r="J6">
        <v>3339</v>
      </c>
    </row>
    <row r="7" spans="2:10" x14ac:dyDescent="0.3">
      <c r="B7" t="s">
        <v>248</v>
      </c>
      <c r="C7" t="s">
        <v>108</v>
      </c>
      <c r="D7" t="s">
        <v>58</v>
      </c>
      <c r="E7" t="s">
        <v>606</v>
      </c>
      <c r="F7">
        <v>1905</v>
      </c>
      <c r="G7">
        <v>1.76</v>
      </c>
      <c r="H7">
        <v>1.78</v>
      </c>
      <c r="I7">
        <v>3384</v>
      </c>
      <c r="J7">
        <v>3355</v>
      </c>
    </row>
    <row r="8" spans="2:10" x14ac:dyDescent="0.3">
      <c r="B8" t="s">
        <v>246</v>
      </c>
      <c r="C8" t="s">
        <v>109</v>
      </c>
      <c r="D8" t="s">
        <v>60</v>
      </c>
      <c r="E8" t="s">
        <v>605</v>
      </c>
      <c r="F8">
        <v>1905</v>
      </c>
      <c r="G8">
        <v>1.01</v>
      </c>
      <c r="H8">
        <v>1.05</v>
      </c>
      <c r="I8">
        <v>1997</v>
      </c>
      <c r="J8">
        <v>1921</v>
      </c>
    </row>
    <row r="9" spans="2:10" x14ac:dyDescent="0.3">
      <c r="B9" t="s">
        <v>246</v>
      </c>
      <c r="C9" t="s">
        <v>109</v>
      </c>
      <c r="D9" t="s">
        <v>60</v>
      </c>
      <c r="E9" t="s">
        <v>607</v>
      </c>
      <c r="F9">
        <v>1905</v>
      </c>
      <c r="G9">
        <v>2.62</v>
      </c>
      <c r="H9">
        <v>2.72</v>
      </c>
      <c r="I9">
        <v>5179</v>
      </c>
      <c r="J9">
        <v>4983</v>
      </c>
    </row>
    <row r="10" spans="2:10" x14ac:dyDescent="0.3">
      <c r="B10" t="s">
        <v>246</v>
      </c>
      <c r="C10" t="s">
        <v>109</v>
      </c>
      <c r="D10" t="s">
        <v>130</v>
      </c>
      <c r="E10" t="s">
        <v>603</v>
      </c>
      <c r="F10">
        <v>1780</v>
      </c>
      <c r="G10">
        <v>2.59</v>
      </c>
      <c r="H10">
        <v>2.62</v>
      </c>
      <c r="I10">
        <v>4664</v>
      </c>
      <c r="J10">
        <v>4615</v>
      </c>
    </row>
    <row r="11" spans="2:10" x14ac:dyDescent="0.3">
      <c r="B11" t="s">
        <v>246</v>
      </c>
      <c r="C11" t="s">
        <v>109</v>
      </c>
      <c r="D11" t="s">
        <v>130</v>
      </c>
      <c r="E11" t="s">
        <v>608</v>
      </c>
      <c r="F11">
        <v>1780</v>
      </c>
      <c r="G11">
        <v>0.95</v>
      </c>
      <c r="H11">
        <v>0.96</v>
      </c>
      <c r="I11">
        <v>1713</v>
      </c>
      <c r="J11">
        <v>1698</v>
      </c>
    </row>
    <row r="12" spans="2:10" x14ac:dyDescent="0.3">
      <c r="B12" t="s">
        <v>246</v>
      </c>
      <c r="C12" t="s">
        <v>109</v>
      </c>
      <c r="D12" t="s">
        <v>130</v>
      </c>
      <c r="E12" t="s">
        <v>604</v>
      </c>
      <c r="F12">
        <v>1780</v>
      </c>
      <c r="G12">
        <v>2.35</v>
      </c>
      <c r="H12">
        <v>2.38</v>
      </c>
      <c r="I12">
        <v>4240</v>
      </c>
      <c r="J12">
        <v>4188</v>
      </c>
    </row>
    <row r="13" spans="2:10" x14ac:dyDescent="0.3">
      <c r="B13" t="s">
        <v>246</v>
      </c>
      <c r="C13" t="s">
        <v>109</v>
      </c>
      <c r="D13" t="s">
        <v>130</v>
      </c>
      <c r="E13" t="s">
        <v>611</v>
      </c>
      <c r="F13">
        <v>1780</v>
      </c>
      <c r="G13">
        <v>0.96</v>
      </c>
      <c r="H13">
        <v>0.98</v>
      </c>
      <c r="I13">
        <v>1743</v>
      </c>
      <c r="J13">
        <v>1707</v>
      </c>
    </row>
    <row r="14" spans="2:10" x14ac:dyDescent="0.3">
      <c r="B14" t="s">
        <v>246</v>
      </c>
      <c r="C14" t="s">
        <v>109</v>
      </c>
      <c r="D14" t="s">
        <v>130</v>
      </c>
      <c r="E14" t="s">
        <v>605</v>
      </c>
      <c r="F14">
        <v>1780</v>
      </c>
      <c r="G14">
        <v>2.4900000000000002</v>
      </c>
      <c r="H14">
        <v>2.54</v>
      </c>
      <c r="I14">
        <v>4524</v>
      </c>
      <c r="J14">
        <v>4441</v>
      </c>
    </row>
    <row r="15" spans="2:10" x14ac:dyDescent="0.3">
      <c r="B15" t="s">
        <v>246</v>
      </c>
      <c r="C15" t="s">
        <v>109</v>
      </c>
      <c r="D15" t="s">
        <v>130</v>
      </c>
      <c r="E15" t="s">
        <v>607</v>
      </c>
      <c r="F15">
        <v>1780</v>
      </c>
      <c r="G15">
        <v>1.1599999999999999</v>
      </c>
      <c r="H15">
        <v>1.17</v>
      </c>
      <c r="I15">
        <v>2075</v>
      </c>
      <c r="J15">
        <v>2065</v>
      </c>
    </row>
    <row r="16" spans="2:10" x14ac:dyDescent="0.3">
      <c r="B16" t="s">
        <v>243</v>
      </c>
      <c r="C16" t="s">
        <v>117</v>
      </c>
      <c r="D16" t="s">
        <v>45</v>
      </c>
      <c r="E16" t="s">
        <v>603</v>
      </c>
      <c r="F16">
        <v>1905</v>
      </c>
      <c r="G16">
        <v>1.81</v>
      </c>
      <c r="H16">
        <v>1.85</v>
      </c>
      <c r="I16">
        <v>3520</v>
      </c>
      <c r="J16">
        <v>3452</v>
      </c>
    </row>
    <row r="17" spans="2:10" x14ac:dyDescent="0.3">
      <c r="B17" t="s">
        <v>243</v>
      </c>
      <c r="C17" t="s">
        <v>117</v>
      </c>
      <c r="D17" t="s">
        <v>45</v>
      </c>
      <c r="E17" t="s">
        <v>608</v>
      </c>
      <c r="F17">
        <v>1905</v>
      </c>
      <c r="G17">
        <v>0.9</v>
      </c>
      <c r="H17">
        <v>0.92</v>
      </c>
      <c r="I17">
        <v>1760</v>
      </c>
      <c r="J17">
        <v>1721</v>
      </c>
    </row>
    <row r="18" spans="2:10" x14ac:dyDescent="0.3">
      <c r="B18" t="s">
        <v>243</v>
      </c>
      <c r="C18" t="s">
        <v>117</v>
      </c>
      <c r="D18" t="s">
        <v>45</v>
      </c>
      <c r="E18" t="s">
        <v>609</v>
      </c>
      <c r="F18">
        <v>1905</v>
      </c>
      <c r="G18">
        <v>1.82</v>
      </c>
      <c r="H18">
        <v>1.85</v>
      </c>
      <c r="I18">
        <v>3520</v>
      </c>
      <c r="J18">
        <v>3474</v>
      </c>
    </row>
    <row r="19" spans="2:10" x14ac:dyDescent="0.3">
      <c r="B19" t="s">
        <v>243</v>
      </c>
      <c r="C19" t="s">
        <v>117</v>
      </c>
      <c r="D19" t="s">
        <v>45</v>
      </c>
      <c r="E19" t="s">
        <v>610</v>
      </c>
      <c r="F19">
        <v>1905</v>
      </c>
      <c r="G19">
        <v>0.85</v>
      </c>
      <c r="H19">
        <v>0.86</v>
      </c>
      <c r="I19">
        <v>1640</v>
      </c>
      <c r="J19">
        <v>1616</v>
      </c>
    </row>
    <row r="20" spans="2:10" x14ac:dyDescent="0.3">
      <c r="B20" t="s">
        <v>243</v>
      </c>
      <c r="C20" t="s">
        <v>117</v>
      </c>
      <c r="D20" t="s">
        <v>45</v>
      </c>
      <c r="E20" t="s">
        <v>604</v>
      </c>
      <c r="F20">
        <v>1905</v>
      </c>
      <c r="G20">
        <v>0.94</v>
      </c>
      <c r="H20">
        <v>0.97</v>
      </c>
      <c r="I20">
        <v>1848</v>
      </c>
      <c r="J20">
        <v>1795</v>
      </c>
    </row>
    <row r="21" spans="2:10" x14ac:dyDescent="0.3">
      <c r="B21" t="s">
        <v>243</v>
      </c>
      <c r="C21" t="s">
        <v>117</v>
      </c>
      <c r="D21" t="s">
        <v>45</v>
      </c>
      <c r="E21" t="s">
        <v>611</v>
      </c>
      <c r="F21">
        <v>1905</v>
      </c>
      <c r="G21">
        <v>0.48</v>
      </c>
      <c r="H21">
        <v>0.49</v>
      </c>
      <c r="I21">
        <v>924</v>
      </c>
      <c r="J21">
        <v>913</v>
      </c>
    </row>
    <row r="22" spans="2:10" x14ac:dyDescent="0.3">
      <c r="B22" t="s">
        <v>243</v>
      </c>
      <c r="C22" t="s">
        <v>117</v>
      </c>
      <c r="D22" t="s">
        <v>45</v>
      </c>
      <c r="E22" t="s">
        <v>612</v>
      </c>
      <c r="F22">
        <v>1905</v>
      </c>
      <c r="G22">
        <v>0.96</v>
      </c>
      <c r="H22">
        <v>0.97</v>
      </c>
      <c r="I22">
        <v>1848</v>
      </c>
      <c r="J22">
        <v>1827</v>
      </c>
    </row>
    <row r="23" spans="2:10" x14ac:dyDescent="0.3">
      <c r="B23" t="s">
        <v>243</v>
      </c>
      <c r="C23" t="s">
        <v>117</v>
      </c>
      <c r="D23" t="s">
        <v>45</v>
      </c>
      <c r="E23" t="s">
        <v>613</v>
      </c>
      <c r="F23">
        <v>1905</v>
      </c>
      <c r="G23">
        <v>0.45</v>
      </c>
      <c r="H23">
        <v>0.45</v>
      </c>
      <c r="I23">
        <v>861</v>
      </c>
      <c r="J23">
        <v>857</v>
      </c>
    </row>
    <row r="24" spans="2:10" x14ac:dyDescent="0.3">
      <c r="B24" t="s">
        <v>527</v>
      </c>
      <c r="C24" t="s">
        <v>418</v>
      </c>
      <c r="D24" t="s">
        <v>84</v>
      </c>
      <c r="E24" t="s">
        <v>603</v>
      </c>
      <c r="F24">
        <v>1905</v>
      </c>
      <c r="G24">
        <v>0.34</v>
      </c>
      <c r="H24">
        <v>0.38</v>
      </c>
      <c r="I24">
        <v>720</v>
      </c>
      <c r="J24">
        <v>648</v>
      </c>
    </row>
    <row r="25" spans="2:10" x14ac:dyDescent="0.3">
      <c r="B25" t="s">
        <v>527</v>
      </c>
      <c r="C25" t="s">
        <v>418</v>
      </c>
      <c r="D25" t="s">
        <v>84</v>
      </c>
      <c r="E25" t="s">
        <v>608</v>
      </c>
      <c r="F25">
        <v>1905</v>
      </c>
      <c r="G25">
        <v>0.78</v>
      </c>
      <c r="H25">
        <v>0.84</v>
      </c>
      <c r="I25">
        <v>1602</v>
      </c>
      <c r="J25">
        <v>1481</v>
      </c>
    </row>
    <row r="26" spans="2:10" x14ac:dyDescent="0.3">
      <c r="B26" t="s">
        <v>527</v>
      </c>
      <c r="C26" t="s">
        <v>418</v>
      </c>
      <c r="D26" t="s">
        <v>84</v>
      </c>
      <c r="E26" t="s">
        <v>609</v>
      </c>
      <c r="F26">
        <v>1905</v>
      </c>
      <c r="G26">
        <v>0.39</v>
      </c>
      <c r="H26">
        <v>0.4</v>
      </c>
      <c r="I26">
        <v>756</v>
      </c>
      <c r="J26">
        <v>738</v>
      </c>
    </row>
    <row r="27" spans="2:10" x14ac:dyDescent="0.3">
      <c r="B27" t="s">
        <v>527</v>
      </c>
      <c r="C27" t="s">
        <v>418</v>
      </c>
      <c r="D27" t="s">
        <v>84</v>
      </c>
      <c r="E27" t="s">
        <v>610</v>
      </c>
      <c r="F27">
        <v>1905</v>
      </c>
      <c r="G27">
        <v>0.77</v>
      </c>
      <c r="H27">
        <v>0.82</v>
      </c>
      <c r="I27">
        <v>1566</v>
      </c>
      <c r="J27">
        <v>1470</v>
      </c>
    </row>
    <row r="28" spans="2:10" x14ac:dyDescent="0.3">
      <c r="B28" t="s">
        <v>527</v>
      </c>
      <c r="C28" t="s">
        <v>418</v>
      </c>
      <c r="D28" t="s">
        <v>84</v>
      </c>
      <c r="E28" t="s">
        <v>604</v>
      </c>
      <c r="F28">
        <v>1905</v>
      </c>
      <c r="G28">
        <v>0.66</v>
      </c>
      <c r="H28">
        <v>0.74</v>
      </c>
      <c r="I28">
        <v>1417</v>
      </c>
      <c r="J28">
        <v>1254</v>
      </c>
    </row>
    <row r="29" spans="2:10" x14ac:dyDescent="0.3">
      <c r="B29" t="s">
        <v>527</v>
      </c>
      <c r="C29" t="s">
        <v>418</v>
      </c>
      <c r="D29" t="s">
        <v>84</v>
      </c>
      <c r="E29" t="s">
        <v>611</v>
      </c>
      <c r="F29">
        <v>1905</v>
      </c>
      <c r="G29">
        <v>1.57</v>
      </c>
      <c r="H29">
        <v>1.68</v>
      </c>
      <c r="I29">
        <v>3204</v>
      </c>
      <c r="J29">
        <v>2983</v>
      </c>
    </row>
    <row r="30" spans="2:10" x14ac:dyDescent="0.3">
      <c r="B30" t="s">
        <v>527</v>
      </c>
      <c r="C30" t="s">
        <v>418</v>
      </c>
      <c r="D30" t="s">
        <v>84</v>
      </c>
      <c r="E30" t="s">
        <v>612</v>
      </c>
      <c r="F30">
        <v>1905</v>
      </c>
      <c r="G30">
        <v>0.77</v>
      </c>
      <c r="H30">
        <v>0.79</v>
      </c>
      <c r="I30">
        <v>1512</v>
      </c>
      <c r="J30">
        <v>1467</v>
      </c>
    </row>
    <row r="31" spans="2:10" x14ac:dyDescent="0.3">
      <c r="B31" t="s">
        <v>527</v>
      </c>
      <c r="C31" t="s">
        <v>418</v>
      </c>
      <c r="D31" t="s">
        <v>84</v>
      </c>
      <c r="E31" t="s">
        <v>613</v>
      </c>
      <c r="F31">
        <v>1905</v>
      </c>
      <c r="G31">
        <v>1.55</v>
      </c>
      <c r="H31">
        <v>1.64</v>
      </c>
      <c r="I31">
        <v>3132</v>
      </c>
      <c r="J31">
        <v>2954</v>
      </c>
    </row>
    <row r="32" spans="2:10" x14ac:dyDescent="0.3">
      <c r="B32" t="s">
        <v>527</v>
      </c>
      <c r="C32" t="s">
        <v>418</v>
      </c>
      <c r="D32" t="s">
        <v>84</v>
      </c>
      <c r="E32" t="s">
        <v>605</v>
      </c>
      <c r="F32">
        <v>1905</v>
      </c>
      <c r="G32">
        <v>0.76</v>
      </c>
      <c r="H32">
        <v>0.78</v>
      </c>
      <c r="I32">
        <v>1480</v>
      </c>
      <c r="J32">
        <v>1444</v>
      </c>
    </row>
    <row r="33" spans="2:10" x14ac:dyDescent="0.3">
      <c r="B33" t="s">
        <v>527</v>
      </c>
      <c r="C33" t="s">
        <v>418</v>
      </c>
      <c r="D33" t="s">
        <v>84</v>
      </c>
      <c r="E33" t="s">
        <v>607</v>
      </c>
      <c r="F33">
        <v>1905</v>
      </c>
      <c r="G33">
        <v>1.68</v>
      </c>
      <c r="H33">
        <v>1.73</v>
      </c>
      <c r="I33">
        <v>3293</v>
      </c>
      <c r="J33">
        <v>3206</v>
      </c>
    </row>
    <row r="34" spans="2:10" x14ac:dyDescent="0.3">
      <c r="B34" t="s">
        <v>527</v>
      </c>
      <c r="C34" t="s">
        <v>418</v>
      </c>
      <c r="D34" t="s">
        <v>84</v>
      </c>
      <c r="E34" t="s">
        <v>615</v>
      </c>
      <c r="F34">
        <v>1905</v>
      </c>
      <c r="G34">
        <v>0.79</v>
      </c>
      <c r="H34">
        <v>0.82</v>
      </c>
      <c r="I34">
        <v>1554</v>
      </c>
      <c r="J34">
        <v>1496</v>
      </c>
    </row>
    <row r="35" spans="2:10" x14ac:dyDescent="0.3">
      <c r="B35" t="s">
        <v>527</v>
      </c>
      <c r="C35" t="s">
        <v>418</v>
      </c>
      <c r="D35" t="s">
        <v>84</v>
      </c>
      <c r="E35" t="s">
        <v>616</v>
      </c>
      <c r="F35">
        <v>1905</v>
      </c>
      <c r="G35">
        <v>1.62</v>
      </c>
      <c r="H35">
        <v>1.69</v>
      </c>
      <c r="I35">
        <v>3219</v>
      </c>
      <c r="J35">
        <v>3082</v>
      </c>
    </row>
    <row r="36" spans="2:10" x14ac:dyDescent="0.3">
      <c r="B36" t="s">
        <v>527</v>
      </c>
      <c r="C36" t="s">
        <v>418</v>
      </c>
      <c r="D36" t="s">
        <v>84</v>
      </c>
      <c r="E36" t="s">
        <v>606</v>
      </c>
      <c r="F36">
        <v>1905</v>
      </c>
      <c r="G36">
        <v>0.42</v>
      </c>
      <c r="H36">
        <v>0.42</v>
      </c>
      <c r="I36">
        <v>800</v>
      </c>
      <c r="J36">
        <v>791</v>
      </c>
    </row>
    <row r="37" spans="2:10" x14ac:dyDescent="0.3">
      <c r="B37" t="s">
        <v>527</v>
      </c>
      <c r="C37" t="s">
        <v>418</v>
      </c>
      <c r="D37" t="s">
        <v>84</v>
      </c>
      <c r="E37" t="s">
        <v>617</v>
      </c>
      <c r="F37">
        <v>1905</v>
      </c>
      <c r="G37">
        <v>0.92</v>
      </c>
      <c r="H37">
        <v>0.93</v>
      </c>
      <c r="I37">
        <v>1780</v>
      </c>
      <c r="J37">
        <v>1744</v>
      </c>
    </row>
    <row r="38" spans="2:10" x14ac:dyDescent="0.3">
      <c r="B38" t="s">
        <v>527</v>
      </c>
      <c r="C38" t="s">
        <v>418</v>
      </c>
      <c r="D38" t="s">
        <v>84</v>
      </c>
      <c r="E38" t="s">
        <v>618</v>
      </c>
      <c r="F38">
        <v>1905</v>
      </c>
      <c r="G38">
        <v>0.43</v>
      </c>
      <c r="H38">
        <v>0.44</v>
      </c>
      <c r="I38">
        <v>840</v>
      </c>
      <c r="J38">
        <v>811</v>
      </c>
    </row>
    <row r="39" spans="2:10" x14ac:dyDescent="0.3">
      <c r="B39" t="s">
        <v>527</v>
      </c>
      <c r="C39" t="s">
        <v>418</v>
      </c>
      <c r="D39" t="s">
        <v>84</v>
      </c>
      <c r="E39" t="s">
        <v>619</v>
      </c>
      <c r="F39">
        <v>1905</v>
      </c>
      <c r="G39">
        <v>0.87</v>
      </c>
      <c r="H39">
        <v>0.91</v>
      </c>
      <c r="I39">
        <v>1740</v>
      </c>
      <c r="J39">
        <v>1659</v>
      </c>
    </row>
    <row r="40" spans="2:10" x14ac:dyDescent="0.3">
      <c r="B40" t="s">
        <v>244</v>
      </c>
      <c r="C40" t="s">
        <v>599</v>
      </c>
      <c r="D40" t="s">
        <v>77</v>
      </c>
      <c r="E40" t="s">
        <v>603</v>
      </c>
      <c r="F40">
        <v>1905</v>
      </c>
      <c r="G40">
        <v>0.86</v>
      </c>
      <c r="H40">
        <v>1.63</v>
      </c>
      <c r="I40">
        <v>3100</v>
      </c>
      <c r="J40">
        <v>1647</v>
      </c>
    </row>
    <row r="41" spans="2:10" x14ac:dyDescent="0.3">
      <c r="B41" t="s">
        <v>244</v>
      </c>
      <c r="C41" t="s">
        <v>599</v>
      </c>
      <c r="D41" t="s">
        <v>77</v>
      </c>
      <c r="E41" t="s">
        <v>608</v>
      </c>
      <c r="F41">
        <v>1905</v>
      </c>
      <c r="G41">
        <v>1.48</v>
      </c>
      <c r="H41">
        <v>1.53</v>
      </c>
      <c r="I41">
        <v>2906</v>
      </c>
      <c r="J41">
        <v>2811</v>
      </c>
    </row>
    <row r="42" spans="2:10" x14ac:dyDescent="0.3">
      <c r="B42" t="s">
        <v>244</v>
      </c>
      <c r="C42" t="s">
        <v>599</v>
      </c>
      <c r="D42" t="s">
        <v>77</v>
      </c>
      <c r="E42" t="s">
        <v>604</v>
      </c>
      <c r="F42">
        <v>1905</v>
      </c>
      <c r="G42">
        <v>2.37</v>
      </c>
      <c r="H42">
        <v>2.5299999999999998</v>
      </c>
      <c r="I42">
        <v>4816</v>
      </c>
      <c r="J42">
        <v>4521</v>
      </c>
    </row>
    <row r="43" spans="2:10" x14ac:dyDescent="0.3">
      <c r="B43" t="s">
        <v>244</v>
      </c>
      <c r="C43" t="s">
        <v>599</v>
      </c>
      <c r="D43" t="s">
        <v>77</v>
      </c>
      <c r="E43" t="s">
        <v>611</v>
      </c>
      <c r="F43">
        <v>1905</v>
      </c>
      <c r="G43">
        <v>2.27</v>
      </c>
      <c r="H43">
        <v>2.44</v>
      </c>
      <c r="I43">
        <v>4644</v>
      </c>
      <c r="J43">
        <v>4324</v>
      </c>
    </row>
    <row r="44" spans="2:10" x14ac:dyDescent="0.3">
      <c r="B44" t="s">
        <v>244</v>
      </c>
      <c r="C44" t="s">
        <v>599</v>
      </c>
      <c r="D44" t="s">
        <v>77</v>
      </c>
      <c r="E44" t="s">
        <v>605</v>
      </c>
      <c r="F44">
        <v>1905</v>
      </c>
      <c r="G44">
        <v>2.4900000000000002</v>
      </c>
      <c r="H44">
        <v>2.5299999999999998</v>
      </c>
      <c r="I44">
        <v>4816</v>
      </c>
      <c r="J44">
        <v>4744</v>
      </c>
    </row>
    <row r="45" spans="2:10" x14ac:dyDescent="0.3">
      <c r="B45" t="s">
        <v>244</v>
      </c>
      <c r="C45" t="s">
        <v>599</v>
      </c>
      <c r="D45" t="s">
        <v>77</v>
      </c>
      <c r="E45" t="s">
        <v>607</v>
      </c>
      <c r="F45">
        <v>1905</v>
      </c>
      <c r="G45">
        <v>2.33</v>
      </c>
      <c r="H45">
        <v>2.44</v>
      </c>
      <c r="I45">
        <v>4644</v>
      </c>
      <c r="J45">
        <v>4434</v>
      </c>
    </row>
    <row r="46" spans="2:10" x14ac:dyDescent="0.3">
      <c r="B46" t="s">
        <v>244</v>
      </c>
      <c r="C46" t="s">
        <v>599</v>
      </c>
      <c r="D46" t="s">
        <v>70</v>
      </c>
      <c r="E46" t="s">
        <v>603</v>
      </c>
      <c r="F46">
        <v>1262</v>
      </c>
      <c r="G46">
        <v>2.5099999999999998</v>
      </c>
      <c r="H46">
        <v>2.5499999999999998</v>
      </c>
      <c r="I46">
        <v>3220</v>
      </c>
      <c r="J46">
        <v>3165</v>
      </c>
    </row>
    <row r="47" spans="2:10" x14ac:dyDescent="0.3">
      <c r="B47" t="s">
        <v>244</v>
      </c>
      <c r="C47" t="s">
        <v>599</v>
      </c>
      <c r="D47" t="s">
        <v>70</v>
      </c>
      <c r="E47" t="s">
        <v>608</v>
      </c>
      <c r="F47">
        <v>1262</v>
      </c>
      <c r="G47">
        <v>2.39</v>
      </c>
      <c r="H47">
        <v>2.4300000000000002</v>
      </c>
      <c r="I47">
        <v>3069</v>
      </c>
      <c r="J47">
        <v>3014</v>
      </c>
    </row>
    <row r="48" spans="2:10" x14ac:dyDescent="0.3">
      <c r="B48" t="s">
        <v>244</v>
      </c>
      <c r="C48" t="s">
        <v>599</v>
      </c>
      <c r="D48" t="s">
        <v>70</v>
      </c>
      <c r="E48" t="s">
        <v>604</v>
      </c>
      <c r="F48">
        <v>1262</v>
      </c>
      <c r="G48">
        <v>2.44</v>
      </c>
      <c r="H48">
        <v>2.4900000000000002</v>
      </c>
      <c r="I48">
        <v>3148</v>
      </c>
      <c r="J48">
        <v>3084</v>
      </c>
    </row>
    <row r="49" spans="2:10" x14ac:dyDescent="0.3">
      <c r="B49" t="s">
        <v>244</v>
      </c>
      <c r="C49" t="s">
        <v>599</v>
      </c>
      <c r="D49" t="s">
        <v>70</v>
      </c>
      <c r="E49" t="s">
        <v>611</v>
      </c>
      <c r="F49">
        <v>1262</v>
      </c>
      <c r="G49">
        <v>1.76</v>
      </c>
      <c r="H49">
        <v>1.8</v>
      </c>
      <c r="I49">
        <v>2266</v>
      </c>
      <c r="J49">
        <v>2218</v>
      </c>
    </row>
    <row r="50" spans="2:10" x14ac:dyDescent="0.3">
      <c r="B50" t="s">
        <v>244</v>
      </c>
      <c r="C50" t="s">
        <v>599</v>
      </c>
      <c r="D50" t="s">
        <v>70</v>
      </c>
      <c r="E50" t="s">
        <v>605</v>
      </c>
      <c r="F50">
        <v>1262</v>
      </c>
      <c r="G50">
        <v>0.66</v>
      </c>
      <c r="H50">
        <v>0.68</v>
      </c>
      <c r="I50">
        <v>855</v>
      </c>
      <c r="J50">
        <v>837</v>
      </c>
    </row>
    <row r="51" spans="2:10" x14ac:dyDescent="0.3">
      <c r="B51" t="s">
        <v>244</v>
      </c>
      <c r="C51" t="s">
        <v>599</v>
      </c>
      <c r="D51" t="s">
        <v>70</v>
      </c>
      <c r="E51" t="s">
        <v>607</v>
      </c>
      <c r="F51">
        <v>1262</v>
      </c>
      <c r="G51">
        <v>2.27</v>
      </c>
      <c r="H51">
        <v>2.31</v>
      </c>
      <c r="I51">
        <v>2914</v>
      </c>
      <c r="J51">
        <v>2870</v>
      </c>
    </row>
    <row r="52" spans="2:10" x14ac:dyDescent="0.3">
      <c r="B52" t="s">
        <v>247</v>
      </c>
      <c r="C52" t="s">
        <v>112</v>
      </c>
      <c r="D52" t="s">
        <v>51</v>
      </c>
      <c r="E52" t="s">
        <v>604</v>
      </c>
      <c r="F52">
        <v>1780</v>
      </c>
      <c r="G52">
        <v>0.99</v>
      </c>
      <c r="H52">
        <v>1.31</v>
      </c>
      <c r="I52">
        <v>2332</v>
      </c>
      <c r="J52">
        <v>1758</v>
      </c>
    </row>
    <row r="53" spans="2:10" x14ac:dyDescent="0.3">
      <c r="B53" t="s">
        <v>247</v>
      </c>
      <c r="C53" t="s">
        <v>112</v>
      </c>
      <c r="D53" t="s">
        <v>51</v>
      </c>
      <c r="E53" t="s">
        <v>611</v>
      </c>
      <c r="F53">
        <v>1780</v>
      </c>
      <c r="G53">
        <v>0.89</v>
      </c>
      <c r="H53">
        <v>1.1100000000000001</v>
      </c>
      <c r="I53">
        <v>1980</v>
      </c>
      <c r="J53">
        <v>1579</v>
      </c>
    </row>
    <row r="54" spans="2:10" x14ac:dyDescent="0.3">
      <c r="B54" t="s">
        <v>247</v>
      </c>
      <c r="C54" t="s">
        <v>112</v>
      </c>
      <c r="D54" t="s">
        <v>51</v>
      </c>
      <c r="E54" t="s">
        <v>605</v>
      </c>
      <c r="F54">
        <v>1780</v>
      </c>
      <c r="G54">
        <v>2.38</v>
      </c>
      <c r="H54">
        <v>2.42</v>
      </c>
      <c r="I54">
        <v>4304</v>
      </c>
      <c r="J54">
        <v>4239</v>
      </c>
    </row>
    <row r="55" spans="2:10" x14ac:dyDescent="0.3">
      <c r="B55" t="s">
        <v>247</v>
      </c>
      <c r="C55" t="s">
        <v>112</v>
      </c>
      <c r="D55" t="s">
        <v>51</v>
      </c>
      <c r="E55" t="s">
        <v>607</v>
      </c>
      <c r="F55">
        <v>1780</v>
      </c>
      <c r="G55">
        <v>2.0299999999999998</v>
      </c>
      <c r="H55">
        <v>2.0699999999999998</v>
      </c>
      <c r="I55">
        <v>3690</v>
      </c>
      <c r="J55">
        <v>3617</v>
      </c>
    </row>
    <row r="56" spans="2:10" x14ac:dyDescent="0.3">
      <c r="B56" t="s">
        <v>242</v>
      </c>
      <c r="C56" t="s">
        <v>105</v>
      </c>
      <c r="D56" t="s">
        <v>39</v>
      </c>
      <c r="E56" t="s">
        <v>603</v>
      </c>
      <c r="F56">
        <v>1780</v>
      </c>
      <c r="G56">
        <v>2.4700000000000002</v>
      </c>
      <c r="H56">
        <v>2.48</v>
      </c>
      <c r="I56">
        <v>4410</v>
      </c>
      <c r="J56">
        <v>4394</v>
      </c>
    </row>
    <row r="57" spans="2:10" x14ac:dyDescent="0.3">
      <c r="B57" t="s">
        <v>242</v>
      </c>
      <c r="C57" t="s">
        <v>105</v>
      </c>
      <c r="D57" t="s">
        <v>39</v>
      </c>
      <c r="E57" t="s">
        <v>608</v>
      </c>
      <c r="F57">
        <v>1780</v>
      </c>
      <c r="G57">
        <v>2.35</v>
      </c>
      <c r="H57">
        <v>2.36</v>
      </c>
      <c r="I57">
        <v>4200</v>
      </c>
      <c r="J57">
        <v>4179</v>
      </c>
    </row>
    <row r="58" spans="2:10" x14ac:dyDescent="0.3">
      <c r="B58" t="s">
        <v>242</v>
      </c>
      <c r="C58" t="s">
        <v>105</v>
      </c>
      <c r="D58" t="s">
        <v>39</v>
      </c>
      <c r="E58" t="s">
        <v>604</v>
      </c>
      <c r="F58">
        <v>1780</v>
      </c>
      <c r="G58">
        <v>2.52</v>
      </c>
      <c r="H58">
        <v>2.54</v>
      </c>
      <c r="I58">
        <v>4515</v>
      </c>
      <c r="J58">
        <v>4478</v>
      </c>
    </row>
    <row r="59" spans="2:10" x14ac:dyDescent="0.3">
      <c r="B59" t="s">
        <v>242</v>
      </c>
      <c r="C59" t="s">
        <v>105</v>
      </c>
      <c r="D59" t="s">
        <v>39</v>
      </c>
      <c r="E59" t="s">
        <v>611</v>
      </c>
      <c r="F59">
        <v>1780</v>
      </c>
      <c r="G59">
        <v>2.41</v>
      </c>
      <c r="H59">
        <v>2.42</v>
      </c>
      <c r="I59">
        <v>4300</v>
      </c>
      <c r="J59">
        <v>4286</v>
      </c>
    </row>
    <row r="60" spans="2:10" x14ac:dyDescent="0.3">
      <c r="B60" t="s">
        <v>242</v>
      </c>
      <c r="C60" t="s">
        <v>105</v>
      </c>
      <c r="D60" t="s">
        <v>39</v>
      </c>
      <c r="E60" t="s">
        <v>605</v>
      </c>
      <c r="F60">
        <v>1780</v>
      </c>
      <c r="G60">
        <v>1.96</v>
      </c>
      <c r="H60">
        <v>2.0099999999999998</v>
      </c>
      <c r="I60">
        <v>3574</v>
      </c>
      <c r="J60">
        <v>3491</v>
      </c>
    </row>
    <row r="61" spans="2:10" x14ac:dyDescent="0.3">
      <c r="B61" t="s">
        <v>242</v>
      </c>
      <c r="C61" t="s">
        <v>105</v>
      </c>
      <c r="D61" t="s">
        <v>39</v>
      </c>
      <c r="E61" t="s">
        <v>607</v>
      </c>
      <c r="F61">
        <v>1780</v>
      </c>
      <c r="G61">
        <v>2.65</v>
      </c>
      <c r="H61">
        <v>2.67</v>
      </c>
      <c r="I61">
        <v>4744</v>
      </c>
      <c r="J61">
        <v>4718</v>
      </c>
    </row>
    <row r="62" spans="2:10" x14ac:dyDescent="0.3">
      <c r="B62" t="s">
        <v>242</v>
      </c>
      <c r="C62" t="s">
        <v>105</v>
      </c>
      <c r="D62" t="s">
        <v>33</v>
      </c>
      <c r="E62" t="s">
        <v>603</v>
      </c>
      <c r="F62">
        <v>1953</v>
      </c>
      <c r="G62">
        <v>2.54</v>
      </c>
      <c r="H62">
        <v>2.5499999999999998</v>
      </c>
      <c r="I62">
        <v>4982</v>
      </c>
      <c r="J62">
        <v>4969</v>
      </c>
    </row>
    <row r="63" spans="2:10" x14ac:dyDescent="0.3">
      <c r="B63" t="s">
        <v>242</v>
      </c>
      <c r="C63" t="s">
        <v>105</v>
      </c>
      <c r="D63" t="s">
        <v>33</v>
      </c>
      <c r="E63" t="s">
        <v>608</v>
      </c>
      <c r="F63">
        <v>1953</v>
      </c>
      <c r="G63">
        <v>2.42</v>
      </c>
      <c r="H63">
        <v>2.4300000000000002</v>
      </c>
      <c r="I63">
        <v>4747</v>
      </c>
      <c r="J63">
        <v>4732</v>
      </c>
    </row>
    <row r="64" spans="2:10" x14ac:dyDescent="0.3">
      <c r="B64" t="s">
        <v>242</v>
      </c>
      <c r="C64" t="s">
        <v>105</v>
      </c>
      <c r="D64" t="s">
        <v>33</v>
      </c>
      <c r="E64" t="s">
        <v>604</v>
      </c>
      <c r="F64">
        <v>1953</v>
      </c>
      <c r="G64">
        <v>2.54</v>
      </c>
      <c r="H64">
        <v>2.5499999999999998</v>
      </c>
      <c r="I64">
        <v>4982</v>
      </c>
      <c r="J64">
        <v>4968</v>
      </c>
    </row>
    <row r="65" spans="2:10" x14ac:dyDescent="0.3">
      <c r="B65" t="s">
        <v>242</v>
      </c>
      <c r="C65" t="s">
        <v>105</v>
      </c>
      <c r="D65" t="s">
        <v>33</v>
      </c>
      <c r="E65" t="s">
        <v>611</v>
      </c>
      <c r="F65">
        <v>1953</v>
      </c>
      <c r="G65">
        <v>2.42</v>
      </c>
      <c r="H65">
        <v>2.4300000000000002</v>
      </c>
      <c r="I65">
        <v>4747</v>
      </c>
      <c r="J65">
        <v>4735</v>
      </c>
    </row>
    <row r="66" spans="2:10" x14ac:dyDescent="0.3">
      <c r="B66" t="s">
        <v>242</v>
      </c>
      <c r="C66" t="s">
        <v>105</v>
      </c>
      <c r="D66" t="s">
        <v>33</v>
      </c>
      <c r="E66" t="s">
        <v>605</v>
      </c>
      <c r="F66">
        <v>1953</v>
      </c>
      <c r="G66">
        <v>2.54</v>
      </c>
      <c r="H66">
        <v>2.54</v>
      </c>
      <c r="I66">
        <v>4967</v>
      </c>
      <c r="J66">
        <v>4955</v>
      </c>
    </row>
    <row r="67" spans="2:10" x14ac:dyDescent="0.3">
      <c r="B67" t="s">
        <v>242</v>
      </c>
      <c r="C67" t="s">
        <v>105</v>
      </c>
      <c r="D67" t="s">
        <v>33</v>
      </c>
      <c r="E67" t="s">
        <v>607</v>
      </c>
      <c r="F67">
        <v>1953</v>
      </c>
      <c r="G67">
        <v>1.87</v>
      </c>
      <c r="H67">
        <v>1.91</v>
      </c>
      <c r="I67">
        <v>3728</v>
      </c>
      <c r="J67">
        <v>3646</v>
      </c>
    </row>
    <row r="68" spans="2:10" x14ac:dyDescent="0.3">
      <c r="B68" t="s">
        <v>126</v>
      </c>
      <c r="G68">
        <v>100.88</v>
      </c>
      <c r="H68">
        <v>104.69</v>
      </c>
      <c r="I68">
        <v>190320</v>
      </c>
      <c r="J68">
        <v>183397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8"/>
  <dimension ref="B3:E75"/>
  <sheetViews>
    <sheetView workbookViewId="0">
      <selection activeCell="B12" sqref="B12:B26 D12:E26"/>
      <pivotSelection pane="bottomRight" showHeader="1" extendable="1" axis="axisRow" start="8" max="72" activeRow="11" activeCol="1" previousRow="11" previousCol="1" click="1" r:id="rId1">
        <pivotArea dataOnly="0" outline="0" fieldPosition="0">
          <references count="1">
            <reference field="0" count="1">
              <x v="2"/>
            </reference>
          </references>
        </pivotArea>
      </pivotSelection>
    </sheetView>
  </sheetViews>
  <sheetFormatPr baseColWidth="10" defaultRowHeight="14.4" x14ac:dyDescent="0.3"/>
  <cols>
    <col min="2" max="2" width="20.33203125" bestFit="1" customWidth="1"/>
    <col min="3" max="3" width="6.77734375" bestFit="1" customWidth="1"/>
    <col min="4" max="4" width="11" bestFit="1" customWidth="1"/>
    <col min="5" max="5" width="10.44140625" bestFit="1" customWidth="1"/>
  </cols>
  <sheetData>
    <row r="3" spans="2:5" x14ac:dyDescent="0.3">
      <c r="B3" s="19" t="s">
        <v>114</v>
      </c>
      <c r="C3" s="19" t="s">
        <v>214</v>
      </c>
      <c r="D3" t="s">
        <v>625</v>
      </c>
      <c r="E3" t="s">
        <v>626</v>
      </c>
    </row>
    <row r="4" spans="2:5" x14ac:dyDescent="0.3">
      <c r="B4" t="s">
        <v>108</v>
      </c>
      <c r="C4" t="s">
        <v>52</v>
      </c>
      <c r="D4" s="81">
        <v>45950</v>
      </c>
      <c r="E4" s="81">
        <v>45974</v>
      </c>
    </row>
    <row r="5" spans="2:5" x14ac:dyDescent="0.3">
      <c r="B5" t="s">
        <v>108</v>
      </c>
      <c r="C5" t="s">
        <v>54</v>
      </c>
      <c r="D5" s="81">
        <v>45950</v>
      </c>
      <c r="E5" s="81">
        <v>45974</v>
      </c>
    </row>
    <row r="6" spans="2:5" x14ac:dyDescent="0.3">
      <c r="B6" t="s">
        <v>108</v>
      </c>
      <c r="C6" t="s">
        <v>55</v>
      </c>
      <c r="D6" s="81">
        <v>45948</v>
      </c>
      <c r="E6" s="81">
        <v>45973</v>
      </c>
    </row>
    <row r="7" spans="2:5" x14ac:dyDescent="0.3">
      <c r="B7" t="s">
        <v>108</v>
      </c>
      <c r="C7" t="s">
        <v>56</v>
      </c>
      <c r="D7" s="81">
        <v>45944</v>
      </c>
      <c r="E7" s="81">
        <v>45968</v>
      </c>
    </row>
    <row r="8" spans="2:5" x14ac:dyDescent="0.3">
      <c r="B8" t="s">
        <v>108</v>
      </c>
      <c r="C8" t="s">
        <v>57</v>
      </c>
      <c r="D8" s="81">
        <v>45941</v>
      </c>
      <c r="E8" s="81">
        <v>45966</v>
      </c>
    </row>
    <row r="9" spans="2:5" x14ac:dyDescent="0.3">
      <c r="B9" t="s">
        <v>108</v>
      </c>
      <c r="C9" t="s">
        <v>58</v>
      </c>
      <c r="D9" s="81">
        <v>45939</v>
      </c>
      <c r="E9" s="81">
        <v>45964</v>
      </c>
    </row>
    <row r="10" spans="2:5" x14ac:dyDescent="0.3">
      <c r="B10" t="s">
        <v>418</v>
      </c>
      <c r="C10" t="s">
        <v>83</v>
      </c>
      <c r="D10" s="81">
        <v>45971</v>
      </c>
      <c r="E10" s="81">
        <v>45986</v>
      </c>
    </row>
    <row r="11" spans="2:5" x14ac:dyDescent="0.3">
      <c r="B11" t="s">
        <v>418</v>
      </c>
      <c r="C11" t="s">
        <v>84</v>
      </c>
      <c r="D11" s="81">
        <v>45967</v>
      </c>
      <c r="E11" s="81">
        <v>45982</v>
      </c>
    </row>
    <row r="12" spans="2:5" x14ac:dyDescent="0.3">
      <c r="B12" t="s">
        <v>163</v>
      </c>
      <c r="C12" t="s">
        <v>99</v>
      </c>
      <c r="D12" s="81">
        <v>45971</v>
      </c>
      <c r="E12" s="81">
        <v>45981</v>
      </c>
    </row>
    <row r="13" spans="2:5" x14ac:dyDescent="0.3">
      <c r="B13" t="s">
        <v>163</v>
      </c>
      <c r="C13" t="s">
        <v>100</v>
      </c>
      <c r="D13" s="81">
        <v>45975</v>
      </c>
      <c r="E13" s="81">
        <v>45986</v>
      </c>
    </row>
    <row r="14" spans="2:5" x14ac:dyDescent="0.3">
      <c r="B14" t="s">
        <v>163</v>
      </c>
      <c r="C14" t="s">
        <v>93</v>
      </c>
      <c r="D14" s="81">
        <v>45978</v>
      </c>
      <c r="E14" s="81">
        <v>45988</v>
      </c>
    </row>
    <row r="15" spans="2:5" x14ac:dyDescent="0.3">
      <c r="B15" t="s">
        <v>163</v>
      </c>
      <c r="C15" t="s">
        <v>94</v>
      </c>
      <c r="D15" s="81">
        <v>45979</v>
      </c>
      <c r="E15" s="81">
        <v>45989</v>
      </c>
    </row>
    <row r="16" spans="2:5" x14ac:dyDescent="0.3">
      <c r="B16" t="s">
        <v>163</v>
      </c>
      <c r="C16" t="s">
        <v>95</v>
      </c>
      <c r="D16" s="81">
        <v>45980</v>
      </c>
      <c r="E16" s="81">
        <v>45990</v>
      </c>
    </row>
    <row r="17" spans="2:5" x14ac:dyDescent="0.3">
      <c r="B17" t="s">
        <v>163</v>
      </c>
      <c r="C17" t="s">
        <v>48</v>
      </c>
      <c r="D17" s="81">
        <v>45993</v>
      </c>
      <c r="E17" s="81">
        <v>46006</v>
      </c>
    </row>
    <row r="18" spans="2:5" x14ac:dyDescent="0.3">
      <c r="B18" t="s">
        <v>163</v>
      </c>
      <c r="C18" t="s">
        <v>50</v>
      </c>
      <c r="D18" s="81">
        <v>45997</v>
      </c>
      <c r="E18" s="81">
        <v>46010</v>
      </c>
    </row>
    <row r="19" spans="2:5" x14ac:dyDescent="0.3">
      <c r="B19" t="s">
        <v>163</v>
      </c>
      <c r="C19" t="s">
        <v>96</v>
      </c>
      <c r="D19" s="81">
        <v>46001</v>
      </c>
      <c r="E19" s="81">
        <v>46011</v>
      </c>
    </row>
    <row r="20" spans="2:5" x14ac:dyDescent="0.3">
      <c r="B20" t="s">
        <v>163</v>
      </c>
      <c r="C20" t="s">
        <v>97</v>
      </c>
      <c r="D20" s="81">
        <v>46003</v>
      </c>
      <c r="E20" s="81">
        <v>46014</v>
      </c>
    </row>
    <row r="21" spans="2:5" x14ac:dyDescent="0.3">
      <c r="B21" t="s">
        <v>163</v>
      </c>
      <c r="C21" t="s">
        <v>98</v>
      </c>
      <c r="D21" s="81">
        <v>46006</v>
      </c>
      <c r="E21" s="81">
        <v>46017</v>
      </c>
    </row>
    <row r="22" spans="2:5" x14ac:dyDescent="0.3">
      <c r="B22" t="s">
        <v>163</v>
      </c>
      <c r="C22" t="s">
        <v>90</v>
      </c>
      <c r="D22" s="81">
        <v>45957</v>
      </c>
      <c r="E22" s="81">
        <v>45968</v>
      </c>
    </row>
    <row r="23" spans="2:5" x14ac:dyDescent="0.3">
      <c r="B23" t="s">
        <v>163</v>
      </c>
      <c r="C23" t="s">
        <v>92</v>
      </c>
      <c r="D23" s="81">
        <v>45959</v>
      </c>
      <c r="E23" s="81">
        <v>45971</v>
      </c>
    </row>
    <row r="24" spans="2:5" x14ac:dyDescent="0.3">
      <c r="B24" t="s">
        <v>163</v>
      </c>
      <c r="C24" t="s">
        <v>80</v>
      </c>
      <c r="D24" s="81">
        <v>45964</v>
      </c>
      <c r="E24" s="81">
        <v>45974</v>
      </c>
    </row>
    <row r="25" spans="2:5" x14ac:dyDescent="0.3">
      <c r="B25" t="s">
        <v>163</v>
      </c>
      <c r="C25" t="s">
        <v>88</v>
      </c>
      <c r="D25" s="81">
        <v>45987</v>
      </c>
      <c r="E25" s="81">
        <v>45997</v>
      </c>
    </row>
    <row r="26" spans="2:5" x14ac:dyDescent="0.3">
      <c r="B26" t="s">
        <v>163</v>
      </c>
      <c r="C26" t="s">
        <v>89</v>
      </c>
      <c r="D26" s="81">
        <v>45986</v>
      </c>
      <c r="E26" s="81">
        <v>45996</v>
      </c>
    </row>
    <row r="27" spans="2:5" x14ac:dyDescent="0.3">
      <c r="B27" t="s">
        <v>117</v>
      </c>
      <c r="C27" t="s">
        <v>45</v>
      </c>
      <c r="D27" s="81">
        <v>45957</v>
      </c>
      <c r="E27" s="81">
        <v>45971</v>
      </c>
    </row>
    <row r="28" spans="2:5" x14ac:dyDescent="0.3">
      <c r="B28" t="s">
        <v>117</v>
      </c>
      <c r="C28" t="s">
        <v>47</v>
      </c>
      <c r="D28" s="81">
        <v>45959</v>
      </c>
      <c r="E28" s="81">
        <v>45973</v>
      </c>
    </row>
    <row r="29" spans="2:5" x14ac:dyDescent="0.3">
      <c r="B29" t="s">
        <v>109</v>
      </c>
      <c r="C29" t="s">
        <v>59</v>
      </c>
      <c r="D29" s="81">
        <v>45948</v>
      </c>
      <c r="E29" s="81">
        <v>45961</v>
      </c>
    </row>
    <row r="30" spans="2:5" x14ac:dyDescent="0.3">
      <c r="B30" t="s">
        <v>109</v>
      </c>
      <c r="C30" t="s">
        <v>60</v>
      </c>
      <c r="D30" s="81">
        <v>45948</v>
      </c>
      <c r="E30" s="81">
        <v>45961</v>
      </c>
    </row>
    <row r="31" spans="2:5" x14ac:dyDescent="0.3">
      <c r="B31" t="s">
        <v>109</v>
      </c>
      <c r="C31" t="s">
        <v>65</v>
      </c>
      <c r="D31" s="81">
        <v>45964</v>
      </c>
      <c r="E31" s="81">
        <v>45976</v>
      </c>
    </row>
    <row r="32" spans="2:5" x14ac:dyDescent="0.3">
      <c r="B32" t="s">
        <v>109</v>
      </c>
      <c r="C32" t="s">
        <v>130</v>
      </c>
      <c r="D32" s="81">
        <v>45936</v>
      </c>
      <c r="E32" s="81">
        <v>45950</v>
      </c>
    </row>
    <row r="33" spans="2:5" x14ac:dyDescent="0.3">
      <c r="B33" t="s">
        <v>109</v>
      </c>
      <c r="C33" t="s">
        <v>63</v>
      </c>
      <c r="D33" s="81">
        <v>45939</v>
      </c>
      <c r="E33" s="81">
        <v>45952</v>
      </c>
    </row>
    <row r="34" spans="2:5" x14ac:dyDescent="0.3">
      <c r="B34" t="s">
        <v>109</v>
      </c>
      <c r="C34" t="s">
        <v>64</v>
      </c>
      <c r="D34" s="81">
        <v>45943</v>
      </c>
      <c r="E34" s="81">
        <v>45955</v>
      </c>
    </row>
    <row r="35" spans="2:5" x14ac:dyDescent="0.3">
      <c r="B35" t="s">
        <v>109</v>
      </c>
      <c r="C35" t="s">
        <v>66</v>
      </c>
      <c r="D35" s="81">
        <v>45965</v>
      </c>
      <c r="E35" s="81">
        <v>45978</v>
      </c>
    </row>
    <row r="36" spans="2:5" x14ac:dyDescent="0.3">
      <c r="B36" t="s">
        <v>599</v>
      </c>
      <c r="C36" t="s">
        <v>71</v>
      </c>
      <c r="D36" s="81">
        <v>45980</v>
      </c>
      <c r="E36" s="81">
        <v>46006</v>
      </c>
    </row>
    <row r="37" spans="2:5" x14ac:dyDescent="0.3">
      <c r="B37" t="s">
        <v>599</v>
      </c>
      <c r="C37" t="s">
        <v>72</v>
      </c>
      <c r="D37" s="81">
        <v>45982</v>
      </c>
      <c r="E37" s="81">
        <v>46008</v>
      </c>
    </row>
    <row r="38" spans="2:5" x14ac:dyDescent="0.3">
      <c r="B38" t="s">
        <v>599</v>
      </c>
      <c r="C38" t="s">
        <v>73</v>
      </c>
      <c r="D38" s="81">
        <v>45985</v>
      </c>
      <c r="E38" s="81">
        <v>46010</v>
      </c>
    </row>
    <row r="39" spans="2:5" x14ac:dyDescent="0.3">
      <c r="B39" t="s">
        <v>599</v>
      </c>
      <c r="C39" t="s">
        <v>20</v>
      </c>
      <c r="D39" s="81">
        <v>45964</v>
      </c>
      <c r="E39" s="81">
        <v>45987</v>
      </c>
    </row>
    <row r="40" spans="2:5" x14ac:dyDescent="0.3">
      <c r="B40" t="s">
        <v>599</v>
      </c>
      <c r="C40" t="s">
        <v>21</v>
      </c>
      <c r="D40" s="81">
        <v>45964</v>
      </c>
      <c r="E40" s="81">
        <v>45987</v>
      </c>
    </row>
    <row r="41" spans="2:5" x14ac:dyDescent="0.3">
      <c r="B41" t="s">
        <v>599</v>
      </c>
      <c r="C41" t="s">
        <v>74</v>
      </c>
      <c r="D41" s="81">
        <v>45960</v>
      </c>
      <c r="E41" s="81">
        <v>45985</v>
      </c>
    </row>
    <row r="42" spans="2:5" x14ac:dyDescent="0.3">
      <c r="B42" t="s">
        <v>599</v>
      </c>
      <c r="C42" t="s">
        <v>75</v>
      </c>
      <c r="D42" s="81">
        <v>45957</v>
      </c>
      <c r="E42" s="81">
        <v>45981</v>
      </c>
    </row>
    <row r="43" spans="2:5" x14ac:dyDescent="0.3">
      <c r="B43" t="s">
        <v>599</v>
      </c>
      <c r="C43" t="s">
        <v>76</v>
      </c>
      <c r="D43" s="81">
        <v>45957</v>
      </c>
      <c r="E43" s="81">
        <v>45981</v>
      </c>
    </row>
    <row r="44" spans="2:5" x14ac:dyDescent="0.3">
      <c r="B44" t="s">
        <v>599</v>
      </c>
      <c r="C44" t="s">
        <v>77</v>
      </c>
      <c r="D44" s="81">
        <v>45952</v>
      </c>
      <c r="E44" s="81">
        <v>45976</v>
      </c>
    </row>
    <row r="45" spans="2:5" x14ac:dyDescent="0.3">
      <c r="B45" t="s">
        <v>599</v>
      </c>
      <c r="C45" t="s">
        <v>67</v>
      </c>
      <c r="D45" s="81">
        <v>45950</v>
      </c>
      <c r="E45" s="81">
        <v>45974</v>
      </c>
    </row>
    <row r="46" spans="2:5" x14ac:dyDescent="0.3">
      <c r="B46" t="s">
        <v>599</v>
      </c>
      <c r="C46" t="s">
        <v>68</v>
      </c>
      <c r="D46" s="81">
        <v>45946</v>
      </c>
      <c r="E46" s="81">
        <v>45971</v>
      </c>
    </row>
    <row r="47" spans="2:5" x14ac:dyDescent="0.3">
      <c r="B47" t="s">
        <v>599</v>
      </c>
      <c r="C47" t="s">
        <v>69</v>
      </c>
      <c r="D47" s="81">
        <v>45943</v>
      </c>
      <c r="E47" s="81">
        <v>45967</v>
      </c>
    </row>
    <row r="48" spans="2:5" x14ac:dyDescent="0.3">
      <c r="B48" t="s">
        <v>599</v>
      </c>
      <c r="C48" t="s">
        <v>70</v>
      </c>
      <c r="D48" s="81">
        <v>45939</v>
      </c>
      <c r="E48" s="81">
        <v>45964</v>
      </c>
    </row>
    <row r="49" spans="2:5" x14ac:dyDescent="0.3">
      <c r="B49" t="s">
        <v>112</v>
      </c>
      <c r="C49" t="s">
        <v>81</v>
      </c>
      <c r="D49" s="81">
        <v>45971</v>
      </c>
      <c r="E49" s="81">
        <v>45990</v>
      </c>
    </row>
    <row r="50" spans="2:5" x14ac:dyDescent="0.3">
      <c r="B50" t="s">
        <v>112</v>
      </c>
      <c r="C50" t="s">
        <v>82</v>
      </c>
      <c r="D50" s="81">
        <v>45969</v>
      </c>
      <c r="E50" s="81">
        <v>45989</v>
      </c>
    </row>
    <row r="51" spans="2:5" x14ac:dyDescent="0.3">
      <c r="B51" t="s">
        <v>112</v>
      </c>
      <c r="C51" t="s">
        <v>51</v>
      </c>
      <c r="D51" s="81">
        <v>45967</v>
      </c>
      <c r="E51" s="81">
        <v>45987</v>
      </c>
    </row>
    <row r="52" spans="2:5" x14ac:dyDescent="0.3">
      <c r="B52" t="s">
        <v>112</v>
      </c>
      <c r="C52" t="s">
        <v>86</v>
      </c>
      <c r="D52" s="81">
        <v>45973</v>
      </c>
      <c r="E52" s="81">
        <v>45993</v>
      </c>
    </row>
    <row r="53" spans="2:5" x14ac:dyDescent="0.3">
      <c r="B53" t="s">
        <v>624</v>
      </c>
      <c r="C53" t="s">
        <v>78</v>
      </c>
      <c r="D53" s="81">
        <v>45945</v>
      </c>
      <c r="E53" s="81">
        <v>45966</v>
      </c>
    </row>
    <row r="54" spans="2:5" x14ac:dyDescent="0.3">
      <c r="B54" t="s">
        <v>624</v>
      </c>
      <c r="C54" t="s">
        <v>80</v>
      </c>
      <c r="D54" s="81">
        <v>45945</v>
      </c>
      <c r="E54" s="81">
        <v>45966</v>
      </c>
    </row>
    <row r="55" spans="2:5" x14ac:dyDescent="0.3">
      <c r="B55" t="s">
        <v>105</v>
      </c>
      <c r="C55" t="s">
        <v>44</v>
      </c>
      <c r="D55" s="81">
        <v>45966</v>
      </c>
      <c r="E55" s="81">
        <v>45976</v>
      </c>
    </row>
    <row r="56" spans="2:5" x14ac:dyDescent="0.3">
      <c r="B56" t="s">
        <v>105</v>
      </c>
      <c r="C56" t="s">
        <v>16</v>
      </c>
      <c r="D56" s="81">
        <v>45961</v>
      </c>
      <c r="E56" s="81">
        <v>45973</v>
      </c>
    </row>
    <row r="57" spans="2:5" x14ac:dyDescent="0.3">
      <c r="B57" t="s">
        <v>105</v>
      </c>
      <c r="C57" t="s">
        <v>18</v>
      </c>
      <c r="D57" s="81">
        <v>45957</v>
      </c>
      <c r="E57" s="81">
        <v>45968</v>
      </c>
    </row>
    <row r="58" spans="2:5" x14ac:dyDescent="0.3">
      <c r="B58" t="s">
        <v>105</v>
      </c>
      <c r="C58" t="s">
        <v>19</v>
      </c>
      <c r="D58" s="81">
        <v>45954</v>
      </c>
      <c r="E58" s="81">
        <v>45966</v>
      </c>
    </row>
    <row r="59" spans="2:5" x14ac:dyDescent="0.3">
      <c r="B59" t="s">
        <v>105</v>
      </c>
      <c r="C59" t="s">
        <v>23</v>
      </c>
      <c r="D59" s="81">
        <v>45939</v>
      </c>
      <c r="E59" s="81">
        <v>45950</v>
      </c>
    </row>
    <row r="60" spans="2:5" x14ac:dyDescent="0.3">
      <c r="B60" t="s">
        <v>105</v>
      </c>
      <c r="C60" t="s">
        <v>24</v>
      </c>
      <c r="D60" s="81">
        <v>45941</v>
      </c>
      <c r="E60" s="81">
        <v>45952</v>
      </c>
    </row>
    <row r="61" spans="2:5" x14ac:dyDescent="0.3">
      <c r="B61" t="s">
        <v>105</v>
      </c>
      <c r="C61" t="s">
        <v>25</v>
      </c>
      <c r="D61" s="81">
        <v>45944</v>
      </c>
      <c r="E61" s="81">
        <v>45954</v>
      </c>
    </row>
    <row r="62" spans="2:5" x14ac:dyDescent="0.3">
      <c r="B62" t="s">
        <v>105</v>
      </c>
      <c r="C62" t="s">
        <v>37</v>
      </c>
      <c r="D62" s="81">
        <v>45936</v>
      </c>
      <c r="E62" s="81">
        <v>45947</v>
      </c>
    </row>
    <row r="63" spans="2:5" x14ac:dyDescent="0.3">
      <c r="B63" t="s">
        <v>105</v>
      </c>
      <c r="C63" t="s">
        <v>38</v>
      </c>
      <c r="D63" s="81">
        <v>45932</v>
      </c>
      <c r="E63" s="81">
        <v>45944</v>
      </c>
    </row>
    <row r="64" spans="2:5" x14ac:dyDescent="0.3">
      <c r="B64" t="s">
        <v>105</v>
      </c>
      <c r="C64" t="s">
        <v>39</v>
      </c>
      <c r="D64" s="81">
        <v>45929</v>
      </c>
      <c r="E64" s="81">
        <v>45940</v>
      </c>
    </row>
    <row r="65" spans="2:5" x14ac:dyDescent="0.3">
      <c r="B65" t="s">
        <v>105</v>
      </c>
      <c r="C65" t="s">
        <v>40</v>
      </c>
      <c r="D65" s="81">
        <v>45957</v>
      </c>
      <c r="E65" s="81">
        <v>45968</v>
      </c>
    </row>
    <row r="66" spans="2:5" x14ac:dyDescent="0.3">
      <c r="B66" t="s">
        <v>105</v>
      </c>
      <c r="C66" t="s">
        <v>41</v>
      </c>
      <c r="D66" s="81">
        <v>45952</v>
      </c>
      <c r="E66" s="81">
        <v>45964</v>
      </c>
    </row>
    <row r="67" spans="2:5" x14ac:dyDescent="0.3">
      <c r="B67" t="s">
        <v>105</v>
      </c>
      <c r="C67" t="s">
        <v>30</v>
      </c>
      <c r="D67" s="81">
        <v>45972</v>
      </c>
      <c r="E67" s="81">
        <v>45982</v>
      </c>
    </row>
    <row r="68" spans="2:5" x14ac:dyDescent="0.3">
      <c r="B68" t="s">
        <v>105</v>
      </c>
      <c r="C68" t="s">
        <v>33</v>
      </c>
      <c r="D68" s="81">
        <v>45920</v>
      </c>
      <c r="E68" s="81">
        <v>45931</v>
      </c>
    </row>
    <row r="69" spans="2:5" x14ac:dyDescent="0.3">
      <c r="B69" t="s">
        <v>105</v>
      </c>
      <c r="C69" t="s">
        <v>35</v>
      </c>
      <c r="D69" s="81">
        <v>45923</v>
      </c>
      <c r="E69" s="81">
        <v>45933</v>
      </c>
    </row>
    <row r="70" spans="2:5" x14ac:dyDescent="0.3">
      <c r="B70" t="s">
        <v>105</v>
      </c>
      <c r="C70" t="s">
        <v>36</v>
      </c>
      <c r="D70" s="81">
        <v>45925</v>
      </c>
      <c r="E70" s="81">
        <v>45936</v>
      </c>
    </row>
    <row r="71" spans="2:5" x14ac:dyDescent="0.3">
      <c r="B71" t="s">
        <v>105</v>
      </c>
      <c r="C71" t="s">
        <v>42</v>
      </c>
      <c r="D71" s="81">
        <v>45948</v>
      </c>
      <c r="E71" s="81">
        <v>45959</v>
      </c>
    </row>
    <row r="72" spans="2:5" x14ac:dyDescent="0.3">
      <c r="B72" t="s">
        <v>105</v>
      </c>
      <c r="C72" t="s">
        <v>43</v>
      </c>
      <c r="D72" s="81">
        <v>45946</v>
      </c>
      <c r="E72" s="81">
        <v>45957</v>
      </c>
    </row>
    <row r="73" spans="2:5" x14ac:dyDescent="0.3">
      <c r="B73" t="s">
        <v>105</v>
      </c>
      <c r="C73" t="s">
        <v>31</v>
      </c>
      <c r="D73" s="81">
        <v>45967</v>
      </c>
      <c r="E73" s="81">
        <v>45978</v>
      </c>
    </row>
    <row r="74" spans="2:5" x14ac:dyDescent="0.3">
      <c r="B74" t="s">
        <v>105</v>
      </c>
      <c r="C74" t="s">
        <v>32</v>
      </c>
      <c r="D74" s="81">
        <v>45969</v>
      </c>
      <c r="E74" s="81">
        <v>45980</v>
      </c>
    </row>
    <row r="75" spans="2:5" x14ac:dyDescent="0.3">
      <c r="B75" t="s">
        <v>126</v>
      </c>
      <c r="D75" s="81">
        <v>45920</v>
      </c>
      <c r="E75" s="81">
        <v>46017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Hoja41"/>
  <dimension ref="A1:O11"/>
  <sheetViews>
    <sheetView zoomScale="80" zoomScaleNormal="8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F15" sqref="F15"/>
    </sheetView>
  </sheetViews>
  <sheetFormatPr baseColWidth="10" defaultRowHeight="14.4" x14ac:dyDescent="0.3"/>
  <cols>
    <col min="1" max="1" width="18.21875" bestFit="1" customWidth="1"/>
    <col min="2" max="3" width="26.21875" bestFit="1" customWidth="1"/>
  </cols>
  <sheetData>
    <row r="1" spans="1:15" x14ac:dyDescent="0.3">
      <c r="B1" s="227">
        <v>45302</v>
      </c>
      <c r="C1" s="228"/>
      <c r="D1" s="227">
        <f>B1+1</f>
        <v>45303</v>
      </c>
      <c r="E1" s="228"/>
      <c r="F1" s="225">
        <v>15</v>
      </c>
      <c r="G1" s="226"/>
      <c r="H1" s="225">
        <f>F1+1</f>
        <v>16</v>
      </c>
      <c r="I1" s="226"/>
      <c r="J1" s="225">
        <f>H1+1</f>
        <v>17</v>
      </c>
      <c r="K1" s="226"/>
      <c r="L1" s="225">
        <f>J1+1</f>
        <v>18</v>
      </c>
      <c r="M1" s="226"/>
      <c r="N1" s="225">
        <f>L1+1</f>
        <v>19</v>
      </c>
      <c r="O1" s="226"/>
    </row>
    <row r="2" spans="1:15" x14ac:dyDescent="0.3">
      <c r="B2" s="223" t="s">
        <v>459</v>
      </c>
      <c r="C2" s="224" t="s">
        <v>460</v>
      </c>
      <c r="D2" s="223" t="s">
        <v>459</v>
      </c>
      <c r="E2" s="224" t="s">
        <v>460</v>
      </c>
      <c r="F2" s="223" t="s">
        <v>459</v>
      </c>
      <c r="G2" s="224" t="s">
        <v>460</v>
      </c>
      <c r="H2" s="223" t="s">
        <v>459</v>
      </c>
      <c r="I2" s="224" t="s">
        <v>460</v>
      </c>
      <c r="J2" s="223" t="s">
        <v>459</v>
      </c>
      <c r="K2" s="224" t="s">
        <v>460</v>
      </c>
      <c r="L2" s="223" t="s">
        <v>459</v>
      </c>
      <c r="M2" s="224" t="s">
        <v>460</v>
      </c>
      <c r="N2" s="223" t="s">
        <v>459</v>
      </c>
      <c r="O2" s="224" t="s">
        <v>460</v>
      </c>
    </row>
    <row r="3" spans="1:15" x14ac:dyDescent="0.3">
      <c r="A3" t="s">
        <v>372</v>
      </c>
      <c r="B3" t="s">
        <v>206</v>
      </c>
      <c r="C3" t="str">
        <f>IFERROR(VLOOKUP(B3,Tabla1[[Supervisor de lote]:[Dirección]],4,FALSE),"")</f>
        <v>caserío el papayo medio piura</v>
      </c>
      <c r="E3" t="str">
        <f>IFERROR(VLOOKUP(D3,Tabla1[[Supervisor de lote]:[Dirección]],4,FALSE),"")</f>
        <v/>
      </c>
      <c r="G3" t="str">
        <f>IFERROR(VLOOKUP(F3,Tabla1[[Supervisor de lote]:[Dirección]],4,FALSE),"")</f>
        <v/>
      </c>
      <c r="I3" t="str">
        <f>IFERROR(VLOOKUP(H3,Tabla1[[Supervisor de lote]:[Dirección]],4,FALSE),"")</f>
        <v/>
      </c>
      <c r="K3" t="str">
        <f>IFERROR(VLOOKUP(J3,Tabla1[[Supervisor de lote]:[Dirección]],4,FALSE),"")</f>
        <v/>
      </c>
      <c r="M3" t="str">
        <f>IFERROR(VLOOKUP(L3,Tabla1[[Supervisor de lote]:[Dirección]],4,FALSE),"")</f>
        <v/>
      </c>
      <c r="O3" t="str">
        <f>IFERROR(VLOOKUP(N3,Tabla1[[Supervisor de lote]:[Dirección]],4,FALSE),"")</f>
        <v/>
      </c>
    </row>
    <row r="4" spans="1:15" x14ac:dyDescent="0.3">
      <c r="A4" t="s">
        <v>49</v>
      </c>
      <c r="C4" t="str">
        <f>IFERROR(VLOOKUP(B4,Tabla1[[Supervisor de lote]:[Dirección]],4,FALSE),"")</f>
        <v/>
      </c>
      <c r="E4" t="str">
        <f>IFERROR(VLOOKUP(D4,Tabla1[[Supervisor de lote]:[Dirección]],4,FALSE),"")</f>
        <v/>
      </c>
      <c r="G4" t="str">
        <f>IFERROR(VLOOKUP(F4,Tabla1[[Supervisor de lote]:[Dirección]],4,FALSE),"")</f>
        <v/>
      </c>
      <c r="I4" t="str">
        <f>IFERROR(VLOOKUP(H4,Tabla1[[Supervisor de lote]:[Dirección]],4,FALSE),"")</f>
        <v/>
      </c>
      <c r="K4" t="str">
        <f>IFERROR(VLOOKUP(J4,Tabla1[[Supervisor de lote]:[Dirección]],4,FALSE),"")</f>
        <v/>
      </c>
      <c r="M4" t="str">
        <f>IFERROR(VLOOKUP(L4,Tabla1[[Supervisor de lote]:[Dirección]],4,FALSE),"")</f>
        <v/>
      </c>
      <c r="O4" t="str">
        <f>IFERROR(VLOOKUP(N4,Tabla1[[Supervisor de lote]:[Dirección]],4,FALSE),"")</f>
        <v/>
      </c>
    </row>
    <row r="5" spans="1:15" x14ac:dyDescent="0.3">
      <c r="A5" t="s">
        <v>153</v>
      </c>
      <c r="B5" t="s">
        <v>307</v>
      </c>
      <c r="C5" t="str">
        <f>IFERROR(VLOOKUP(B5,Tabla1[[Supervisor de lote]:[Dirección]],4,FALSE),"")</f>
        <v>Caserio el papayo medio piura</v>
      </c>
      <c r="E5" t="str">
        <f>IFERROR(VLOOKUP(D5,Tabla1[[Supervisor de lote]:[Dirección]],4,FALSE),"")</f>
        <v/>
      </c>
      <c r="G5" t="str">
        <f>IFERROR(VLOOKUP(F5,Tabla1[[Supervisor de lote]:[Dirección]],4,FALSE),"")</f>
        <v/>
      </c>
      <c r="I5" t="str">
        <f>IFERROR(VLOOKUP(H5,Tabla1[[Supervisor de lote]:[Dirección]],4,FALSE),"")</f>
        <v/>
      </c>
      <c r="K5" t="str">
        <f>IFERROR(VLOOKUP(J5,Tabla1[[Supervisor de lote]:[Dirección]],4,FALSE),"")</f>
        <v/>
      </c>
      <c r="M5" t="str">
        <f>IFERROR(VLOOKUP(L5,Tabla1[[Supervisor de lote]:[Dirección]],4,FALSE),"")</f>
        <v/>
      </c>
      <c r="O5" t="str">
        <f>IFERROR(VLOOKUP(N5,Tabla1[[Supervisor de lote]:[Dirección]],4,FALSE),"")</f>
        <v/>
      </c>
    </row>
    <row r="6" spans="1:15" x14ac:dyDescent="0.3">
      <c r="A6" t="s">
        <v>34</v>
      </c>
      <c r="C6" t="str">
        <f>IFERROR(VLOOKUP(B6,Tabla1[[Supervisor de lote]:[Dirección]],4,FALSE),"")</f>
        <v/>
      </c>
      <c r="E6" t="str">
        <f>IFERROR(VLOOKUP(D6,Tabla1[[Supervisor de lote]:[Dirección]],4,FALSE),"")</f>
        <v/>
      </c>
      <c r="G6" t="str">
        <f>IFERROR(VLOOKUP(F6,Tabla1[[Supervisor de lote]:[Dirección]],4,FALSE),"")</f>
        <v/>
      </c>
      <c r="I6" t="str">
        <f>IFERROR(VLOOKUP(H6,Tabla1[[Supervisor de lote]:[Dirección]],4,FALSE),"")</f>
        <v/>
      </c>
      <c r="K6" t="str">
        <f>IFERROR(VLOOKUP(J6,Tabla1[[Supervisor de lote]:[Dirección]],4,FALSE),"")</f>
        <v/>
      </c>
      <c r="M6" t="str">
        <f>IFERROR(VLOOKUP(L6,Tabla1[[Supervisor de lote]:[Dirección]],4,FALSE),"")</f>
        <v/>
      </c>
      <c r="O6" t="str">
        <f>IFERROR(VLOOKUP(N6,Tabla1[[Supervisor de lote]:[Dirección]],4,FALSE),"")</f>
        <v/>
      </c>
    </row>
    <row r="7" spans="1:15" x14ac:dyDescent="0.3">
      <c r="A7" t="s">
        <v>371</v>
      </c>
      <c r="C7" t="str">
        <f>IFERROR(VLOOKUP(B7,Tabla1[[Supervisor de lote]:[Dirección]],4,FALSE),"")</f>
        <v/>
      </c>
      <c r="E7" t="str">
        <f>IFERROR(VLOOKUP(D7,Tabla1[[Supervisor de lote]:[Dirección]],4,FALSE),"")</f>
        <v/>
      </c>
      <c r="G7" t="str">
        <f>IFERROR(VLOOKUP(F7,Tabla1[[Supervisor de lote]:[Dirección]],4,FALSE),"")</f>
        <v/>
      </c>
      <c r="I7" t="str">
        <f>IFERROR(VLOOKUP(H7,Tabla1[[Supervisor de lote]:[Dirección]],4,FALSE),"")</f>
        <v/>
      </c>
      <c r="K7" t="str">
        <f>IFERROR(VLOOKUP(J7,Tabla1[[Supervisor de lote]:[Dirección]],4,FALSE),"")</f>
        <v/>
      </c>
      <c r="M7" t="str">
        <f>IFERROR(VLOOKUP(L7,Tabla1[[Supervisor de lote]:[Dirección]],4,FALSE),"")</f>
        <v/>
      </c>
      <c r="O7" t="str">
        <f>IFERROR(VLOOKUP(N7,Tabla1[[Supervisor de lote]:[Dirección]],4,FALSE),"")</f>
        <v/>
      </c>
    </row>
    <row r="8" spans="1:15" x14ac:dyDescent="0.3">
      <c r="A8" t="s">
        <v>136</v>
      </c>
      <c r="C8" t="str">
        <f>IFERROR(VLOOKUP(B8,Tabla1[[Supervisor de lote]:[Dirección]],4,FALSE),"")</f>
        <v/>
      </c>
      <c r="E8" t="str">
        <f>IFERROR(VLOOKUP(D8,Tabla1[[Supervisor de lote]:[Dirección]],4,FALSE),"")</f>
        <v/>
      </c>
      <c r="G8" t="str">
        <f>IFERROR(VLOOKUP(F8,Tabla1[[Supervisor de lote]:[Dirección]],4,FALSE),"")</f>
        <v/>
      </c>
      <c r="I8" t="str">
        <f>IFERROR(VLOOKUP(H8,Tabla1[[Supervisor de lote]:[Dirección]],4,FALSE),"")</f>
        <v/>
      </c>
      <c r="K8" t="str">
        <f>IFERROR(VLOOKUP(J8,Tabla1[[Supervisor de lote]:[Dirección]],4,FALSE),"")</f>
        <v/>
      </c>
      <c r="M8" t="str">
        <f>IFERROR(VLOOKUP(L8,Tabla1[[Supervisor de lote]:[Dirección]],4,FALSE),"")</f>
        <v/>
      </c>
      <c r="O8" t="str">
        <f>IFERROR(VLOOKUP(N8,Tabla1[[Supervisor de lote]:[Dirección]],4,FALSE),"")</f>
        <v/>
      </c>
    </row>
    <row r="9" spans="1:15" x14ac:dyDescent="0.3">
      <c r="A9" t="s">
        <v>415</v>
      </c>
      <c r="C9" t="str">
        <f>IFERROR(VLOOKUP(B9,Tabla1[[Supervisor de lote]:[Dirección]],4,FALSE),"")</f>
        <v/>
      </c>
      <c r="E9" t="str">
        <f>IFERROR(VLOOKUP(D9,Tabla1[[Supervisor de lote]:[Dirección]],4,FALSE),"")</f>
        <v/>
      </c>
      <c r="G9" t="str">
        <f>IFERROR(VLOOKUP(F9,Tabla1[[Supervisor de lote]:[Dirección]],4,FALSE),"")</f>
        <v/>
      </c>
      <c r="I9" t="str">
        <f>IFERROR(VLOOKUP(H9,Tabla1[[Supervisor de lote]:[Dirección]],4,FALSE),"")</f>
        <v/>
      </c>
      <c r="K9" t="str">
        <f>IFERROR(VLOOKUP(J9,Tabla1[[Supervisor de lote]:[Dirección]],4,FALSE),"")</f>
        <v/>
      </c>
      <c r="M9" t="str">
        <f>IFERROR(VLOOKUP(L9,Tabla1[[Supervisor de lote]:[Dirección]],4,FALSE),"")</f>
        <v/>
      </c>
      <c r="O9" t="str">
        <f>IFERROR(VLOOKUP(N9,Tabla1[[Supervisor de lote]:[Dirección]],4,FALSE),"")</f>
        <v/>
      </c>
    </row>
    <row r="10" spans="1:15" x14ac:dyDescent="0.3">
      <c r="A10" t="s">
        <v>53</v>
      </c>
      <c r="C10" t="str">
        <f>IFERROR(VLOOKUP(B10,Tabla1[[Supervisor de lote]:[Dirección]],4,FALSE),"")</f>
        <v/>
      </c>
      <c r="E10" t="str">
        <f>IFERROR(VLOOKUP(D10,Tabla1[[Supervisor de lote]:[Dirección]],4,FALSE),"")</f>
        <v/>
      </c>
      <c r="G10" t="str">
        <f>IFERROR(VLOOKUP(F10,Tabla1[[Supervisor de lote]:[Dirección]],4,FALSE),"")</f>
        <v/>
      </c>
      <c r="I10" t="str">
        <f>IFERROR(VLOOKUP(H10,Tabla1[[Supervisor de lote]:[Dirección]],4,FALSE),"")</f>
        <v/>
      </c>
      <c r="K10" t="str">
        <f>IFERROR(VLOOKUP(J10,Tabla1[[Supervisor de lote]:[Dirección]],4,FALSE),"")</f>
        <v/>
      </c>
      <c r="M10" t="str">
        <f>IFERROR(VLOOKUP(L10,Tabla1[[Supervisor de lote]:[Dirección]],4,FALSE),"")</f>
        <v/>
      </c>
      <c r="O10" t="str">
        <f>IFERROR(VLOOKUP(N10,Tabla1[[Supervisor de lote]:[Dirección]],4,FALSE),"")</f>
        <v/>
      </c>
    </row>
    <row r="11" spans="1:15" x14ac:dyDescent="0.3">
      <c r="A11" t="s">
        <v>28</v>
      </c>
      <c r="C11" t="str">
        <f>IFERROR(VLOOKUP(B11,Tabla1[[Supervisor de lote]:[Dirección]],4,FALSE),"")</f>
        <v/>
      </c>
      <c r="E11" t="str">
        <f>IFERROR(VLOOKUP(D11,Tabla1[[Supervisor de lote]:[Dirección]],4,FALSE),"")</f>
        <v/>
      </c>
      <c r="G11" t="str">
        <f>IFERROR(VLOOKUP(F11,Tabla1[[Supervisor de lote]:[Dirección]],4,FALSE),"")</f>
        <v/>
      </c>
      <c r="I11" t="str">
        <f>IFERROR(VLOOKUP(H11,Tabla1[[Supervisor de lote]:[Dirección]],4,FALSE),"")</f>
        <v/>
      </c>
      <c r="K11" t="str">
        <f>IFERROR(VLOOKUP(J11,Tabla1[[Supervisor de lote]:[Dirección]],4,FALSE),"")</f>
        <v/>
      </c>
      <c r="M11" t="str">
        <f>IFERROR(VLOOKUP(L11,Tabla1[[Supervisor de lote]:[Dirección]],4,FALSE),"")</f>
        <v/>
      </c>
      <c r="O11" t="str">
        <f>IFERROR(VLOOKUP(N11,Tabla1[[Supervisor de lote]:[Dirección]],4,FALSE),"")</f>
        <v/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2200-000000000000}">
          <x14:formula1>
            <xm:f>'DATABASE DATOS SUP'!$B$2:$B$53</xm:f>
          </x14:formula1>
          <xm:sqref>H3:H11 B3:B11 D3:D11 F3:F11 J3:J11 L3:L11 N3:N11</xm:sqref>
        </x14:dataValidation>
      </x14:dataValidation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Hoja27"/>
  <dimension ref="A1:AG166"/>
  <sheetViews>
    <sheetView zoomScale="80" zoomScaleNormal="80"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J45" sqref="J45"/>
    </sheetView>
  </sheetViews>
  <sheetFormatPr baseColWidth="10" defaultRowHeight="14.4" x14ac:dyDescent="0.3"/>
  <cols>
    <col min="1" max="1" width="12.44140625" customWidth="1"/>
    <col min="4" max="4" width="16.77734375" bestFit="1" customWidth="1"/>
    <col min="5" max="5" width="11.77734375" customWidth="1"/>
    <col min="7" max="7" width="16.21875" customWidth="1"/>
    <col min="9" max="9" width="13.21875" customWidth="1"/>
    <col min="10" max="10" width="11.21875" customWidth="1"/>
    <col min="11" max="11" width="17.21875" customWidth="1"/>
    <col min="12" max="12" width="16" customWidth="1"/>
    <col min="13" max="13" width="15" customWidth="1"/>
    <col min="14" max="14" width="21.44140625" customWidth="1"/>
    <col min="15" max="15" width="19" customWidth="1"/>
    <col min="16" max="16" width="23.21875" customWidth="1"/>
    <col min="17" max="17" width="22.44140625" customWidth="1"/>
    <col min="18" max="18" width="17.5546875" customWidth="1"/>
    <col min="19" max="19" width="16.21875" customWidth="1"/>
    <col min="21" max="21" width="18" customWidth="1"/>
    <col min="23" max="23" width="13.21875" customWidth="1"/>
    <col min="24" max="24" width="18.5546875" customWidth="1"/>
    <col min="25" max="25" width="11.21875" customWidth="1"/>
    <col min="26" max="26" width="11.77734375" customWidth="1"/>
    <col min="27" max="27" width="11.44140625" customWidth="1"/>
    <col min="28" max="28" width="16.77734375" customWidth="1"/>
    <col min="30" max="30" width="27.21875" bestFit="1" customWidth="1"/>
    <col min="31" max="31" width="13.21875" customWidth="1"/>
  </cols>
  <sheetData>
    <row r="1" spans="1:31" ht="15.6" x14ac:dyDescent="0.3">
      <c r="A1" s="212" t="s">
        <v>114</v>
      </c>
      <c r="B1" s="213" t="s">
        <v>115</v>
      </c>
      <c r="C1" s="212" t="s">
        <v>256</v>
      </c>
      <c r="D1" s="213" t="s">
        <v>5</v>
      </c>
      <c r="E1" s="213" t="s">
        <v>257</v>
      </c>
      <c r="F1" s="212" t="s">
        <v>375</v>
      </c>
      <c r="G1" s="213" t="s">
        <v>387</v>
      </c>
      <c r="H1" s="213" t="s">
        <v>145</v>
      </c>
      <c r="I1" s="213" t="s">
        <v>0</v>
      </c>
      <c r="J1" s="213" t="s">
        <v>118</v>
      </c>
      <c r="K1" s="213" t="s">
        <v>123</v>
      </c>
      <c r="L1" s="213" t="s">
        <v>124</v>
      </c>
      <c r="M1" s="213" t="s">
        <v>125</v>
      </c>
      <c r="N1" s="213" t="s">
        <v>395</v>
      </c>
      <c r="O1" s="214" t="s">
        <v>373</v>
      </c>
      <c r="P1" s="214" t="s">
        <v>374</v>
      </c>
      <c r="Q1" s="214" t="s">
        <v>396</v>
      </c>
      <c r="R1" s="213" t="s">
        <v>240</v>
      </c>
      <c r="S1" s="213" t="s">
        <v>241</v>
      </c>
      <c r="T1" s="213" t="s">
        <v>1</v>
      </c>
      <c r="U1" s="213" t="s">
        <v>378</v>
      </c>
      <c r="V1" s="213" t="s">
        <v>249</v>
      </c>
      <c r="W1" s="213" t="s">
        <v>3</v>
      </c>
      <c r="X1" s="213" t="s">
        <v>262</v>
      </c>
      <c r="Y1" s="213" t="s">
        <v>263</v>
      </c>
      <c r="Z1" s="213" t="s">
        <v>258</v>
      </c>
      <c r="AA1" s="213" t="s">
        <v>259</v>
      </c>
      <c r="AB1" s="213" t="s">
        <v>260</v>
      </c>
      <c r="AC1" s="213" t="s">
        <v>261</v>
      </c>
      <c r="AD1" s="213" t="s">
        <v>212</v>
      </c>
      <c r="AE1" s="215" t="s">
        <v>210</v>
      </c>
    </row>
    <row r="2" spans="1:31" hidden="1" x14ac:dyDescent="0.3">
      <c r="A2" s="186" t="s">
        <v>167</v>
      </c>
      <c r="B2" s="1" t="s">
        <v>67</v>
      </c>
      <c r="C2" s="186" t="s">
        <v>244</v>
      </c>
      <c r="D2" s="1" t="s">
        <v>153</v>
      </c>
      <c r="E2" s="1" t="str">
        <f>Tabla13[[#This Row],[VAR]]&amp;Tabla13[[#This Row],[LOTE]]</f>
        <v>JSF01</v>
      </c>
      <c r="F2" s="186" t="s">
        <v>376</v>
      </c>
      <c r="G2" s="1" t="s">
        <v>351</v>
      </c>
      <c r="H2" s="1">
        <v>2023</v>
      </c>
      <c r="I2" s="4">
        <v>1684</v>
      </c>
      <c r="J2" s="2">
        <f t="shared" ref="J2:M33" si="0">ROUND(N2/$I2,2)</f>
        <v>10.24</v>
      </c>
      <c r="K2" s="2">
        <f t="shared" si="0"/>
        <v>10.15</v>
      </c>
      <c r="L2" s="2">
        <f t="shared" si="0"/>
        <v>0.06</v>
      </c>
      <c r="M2" s="2">
        <f t="shared" si="0"/>
        <v>0.03</v>
      </c>
      <c r="N2" s="3">
        <v>17244</v>
      </c>
      <c r="O2" s="3">
        <v>17092.600000000002</v>
      </c>
      <c r="P2" s="3">
        <v>105</v>
      </c>
      <c r="Q2" s="3">
        <f>Tabla13[[#This Row],[Total Espacios Censo]]-Tabla13[[#This Row],[Pltas. Prod. Censo]]-Tabla13[[#This Row],[Pltas Formación Censo]]</f>
        <v>46.399999999997817</v>
      </c>
      <c r="R2" s="95">
        <v>1.8</v>
      </c>
      <c r="S2" s="95">
        <v>3.3</v>
      </c>
      <c r="T2" s="2" t="s">
        <v>7</v>
      </c>
      <c r="U2" s="99">
        <v>43302</v>
      </c>
      <c r="V2" s="5">
        <v>5</v>
      </c>
      <c r="W2" s="1" t="s">
        <v>12</v>
      </c>
      <c r="X2" s="99">
        <v>30984</v>
      </c>
      <c r="Y2" s="1">
        <f ca="1">INT(YEARFRAC(Tabla13[[#This Row],[Fecha nacimiento]],TODAY()))</f>
        <v>41</v>
      </c>
      <c r="Z2" s="1">
        <v>965699885</v>
      </c>
      <c r="AA2" s="1" t="s">
        <v>305</v>
      </c>
      <c r="AB2" s="1" t="s">
        <v>275</v>
      </c>
      <c r="AC2" s="1"/>
      <c r="AD2" s="102" t="s">
        <v>199</v>
      </c>
      <c r="AE2" s="75" t="s">
        <v>9</v>
      </c>
    </row>
    <row r="3" spans="1:31" hidden="1" x14ac:dyDescent="0.3">
      <c r="A3" s="186" t="s">
        <v>167</v>
      </c>
      <c r="B3" s="1" t="s">
        <v>68</v>
      </c>
      <c r="C3" s="186" t="s">
        <v>244</v>
      </c>
      <c r="D3" s="1" t="s">
        <v>153</v>
      </c>
      <c r="E3" s="1" t="str">
        <f>Tabla13[[#This Row],[VAR]]&amp;Tabla13[[#This Row],[LOTE]]</f>
        <v>JSF02</v>
      </c>
      <c r="F3" s="186" t="s">
        <v>376</v>
      </c>
      <c r="G3" s="1" t="s">
        <v>351</v>
      </c>
      <c r="H3" s="1">
        <v>2023</v>
      </c>
      <c r="I3" s="4">
        <v>1684</v>
      </c>
      <c r="J3" s="2">
        <f t="shared" si="0"/>
        <v>13.54</v>
      </c>
      <c r="K3" s="2">
        <f t="shared" si="0"/>
        <v>13.4</v>
      </c>
      <c r="L3" s="2">
        <f t="shared" si="0"/>
        <v>0.08</v>
      </c>
      <c r="M3" s="2">
        <f t="shared" si="0"/>
        <v>0.06</v>
      </c>
      <c r="N3" s="3">
        <v>22805</v>
      </c>
      <c r="O3" s="3">
        <v>22565.600000000002</v>
      </c>
      <c r="P3" s="3">
        <v>143</v>
      </c>
      <c r="Q3" s="3">
        <f>Tabla13[[#This Row],[Total Espacios Censo]]-Tabla13[[#This Row],[Pltas. Prod. Censo]]-Tabla13[[#This Row],[Pltas Formación Censo]]</f>
        <v>96.399999999997817</v>
      </c>
      <c r="R3" s="95">
        <v>1.8</v>
      </c>
      <c r="S3" s="95">
        <v>3.3</v>
      </c>
      <c r="T3" s="2" t="s">
        <v>7</v>
      </c>
      <c r="U3" s="99">
        <v>43306</v>
      </c>
      <c r="V3" s="5">
        <v>5</v>
      </c>
      <c r="W3" s="1" t="s">
        <v>12</v>
      </c>
      <c r="X3" s="99">
        <v>30984</v>
      </c>
      <c r="Y3" s="1">
        <f ca="1">INT(YEARFRAC(Tabla13[[#This Row],[Fecha nacimiento]],TODAY()))</f>
        <v>41</v>
      </c>
      <c r="Z3" s="1">
        <v>965699885</v>
      </c>
      <c r="AA3" s="1" t="s">
        <v>305</v>
      </c>
      <c r="AB3" s="1" t="s">
        <v>275</v>
      </c>
      <c r="AC3" s="1"/>
      <c r="AD3" s="102" t="s">
        <v>199</v>
      </c>
      <c r="AE3" s="75" t="s">
        <v>9</v>
      </c>
    </row>
    <row r="4" spans="1:31" hidden="1" x14ac:dyDescent="0.3">
      <c r="A4" s="186" t="s">
        <v>167</v>
      </c>
      <c r="B4" s="1" t="s">
        <v>69</v>
      </c>
      <c r="C4" s="186" t="s">
        <v>244</v>
      </c>
      <c r="D4" s="1" t="s">
        <v>153</v>
      </c>
      <c r="E4" s="1" t="str">
        <f>Tabla13[[#This Row],[VAR]]&amp;Tabla13[[#This Row],[LOTE]]</f>
        <v>JSF03</v>
      </c>
      <c r="F4" s="186" t="s">
        <v>376</v>
      </c>
      <c r="G4" s="1" t="s">
        <v>351</v>
      </c>
      <c r="H4" s="1">
        <v>2023</v>
      </c>
      <c r="I4" s="4">
        <v>1684</v>
      </c>
      <c r="J4" s="2">
        <f t="shared" si="0"/>
        <v>14.81</v>
      </c>
      <c r="K4" s="2">
        <f t="shared" si="0"/>
        <v>14.58</v>
      </c>
      <c r="L4" s="2">
        <f t="shared" si="0"/>
        <v>0.16</v>
      </c>
      <c r="M4" s="2">
        <f t="shared" si="0"/>
        <v>7.0000000000000007E-2</v>
      </c>
      <c r="N4" s="3">
        <v>24934</v>
      </c>
      <c r="O4" s="3">
        <v>24552.720000000001</v>
      </c>
      <c r="P4" s="3">
        <v>267</v>
      </c>
      <c r="Q4" s="3">
        <f>Tabla13[[#This Row],[Total Espacios Censo]]-Tabla13[[#This Row],[Pltas. Prod. Censo]]-Tabla13[[#This Row],[Pltas Formación Censo]]</f>
        <v>114.27999999999884</v>
      </c>
      <c r="R4" s="95">
        <v>1.8</v>
      </c>
      <c r="S4" s="95">
        <v>3.3</v>
      </c>
      <c r="T4" s="2" t="s">
        <v>7</v>
      </c>
      <c r="U4" s="99">
        <v>43308</v>
      </c>
      <c r="V4" s="5">
        <v>5</v>
      </c>
      <c r="W4" s="1" t="s">
        <v>12</v>
      </c>
      <c r="X4" s="99">
        <v>35663</v>
      </c>
      <c r="Y4" s="1">
        <f ca="1">INT(YEARFRAC(Tabla13[[#This Row],[Fecha nacimiento]],TODAY()))</f>
        <v>28</v>
      </c>
      <c r="Z4" s="1">
        <v>951800391</v>
      </c>
      <c r="AA4" s="1" t="s">
        <v>299</v>
      </c>
      <c r="AB4" s="1" t="s">
        <v>268</v>
      </c>
      <c r="AC4" s="1" t="s">
        <v>269</v>
      </c>
      <c r="AD4" s="102" t="s">
        <v>298</v>
      </c>
      <c r="AE4" s="75" t="s">
        <v>9</v>
      </c>
    </row>
    <row r="5" spans="1:31" hidden="1" x14ac:dyDescent="0.3">
      <c r="A5" s="186" t="s">
        <v>167</v>
      </c>
      <c r="B5" s="1" t="s">
        <v>70</v>
      </c>
      <c r="C5" s="186" t="s">
        <v>244</v>
      </c>
      <c r="D5" s="1" t="s">
        <v>153</v>
      </c>
      <c r="E5" s="1" t="str">
        <f>Tabla13[[#This Row],[VAR]]&amp;Tabla13[[#This Row],[LOTE]]</f>
        <v>JSF04</v>
      </c>
      <c r="F5" s="186" t="s">
        <v>376</v>
      </c>
      <c r="G5" s="1" t="s">
        <v>351</v>
      </c>
      <c r="H5" s="1">
        <v>2023</v>
      </c>
      <c r="I5" s="4">
        <v>1262</v>
      </c>
      <c r="J5" s="2">
        <f t="shared" si="0"/>
        <v>12.26</v>
      </c>
      <c r="K5" s="2">
        <f t="shared" si="0"/>
        <v>12.01</v>
      </c>
      <c r="L5" s="2">
        <f t="shared" si="0"/>
        <v>0.13</v>
      </c>
      <c r="M5" s="2">
        <f t="shared" si="0"/>
        <v>0.12</v>
      </c>
      <c r="N5" s="3">
        <v>15472</v>
      </c>
      <c r="O5" s="3">
        <v>15156.619999999999</v>
      </c>
      <c r="P5" s="3">
        <v>165</v>
      </c>
      <c r="Q5" s="3">
        <f>Tabla13[[#This Row],[Total Espacios Censo]]-Tabla13[[#This Row],[Pltas. Prod. Censo]]-Tabla13[[#This Row],[Pltas Formación Censo]]</f>
        <v>150.38000000000102</v>
      </c>
      <c r="R5" s="95">
        <v>2.4</v>
      </c>
      <c r="S5" s="95">
        <v>3.3</v>
      </c>
      <c r="T5" s="2" t="s">
        <v>7</v>
      </c>
      <c r="U5" s="99">
        <v>43346</v>
      </c>
      <c r="V5" s="5">
        <v>5</v>
      </c>
      <c r="W5" s="1" t="s">
        <v>12</v>
      </c>
      <c r="X5" s="99">
        <v>35663</v>
      </c>
      <c r="Y5" s="1">
        <f ca="1">INT(YEARFRAC(Tabla13[[#This Row],[Fecha nacimiento]],TODAY()))</f>
        <v>28</v>
      </c>
      <c r="Z5" s="1">
        <v>951800391</v>
      </c>
      <c r="AA5" s="1" t="s">
        <v>299</v>
      </c>
      <c r="AB5" s="1" t="s">
        <v>268</v>
      </c>
      <c r="AC5" s="1" t="s">
        <v>269</v>
      </c>
      <c r="AD5" s="102" t="s">
        <v>298</v>
      </c>
      <c r="AE5" s="75" t="s">
        <v>9</v>
      </c>
    </row>
    <row r="6" spans="1:31" hidden="1" x14ac:dyDescent="0.3">
      <c r="A6" s="186" t="s">
        <v>167</v>
      </c>
      <c r="B6" s="1" t="s">
        <v>74</v>
      </c>
      <c r="C6" s="186" t="s">
        <v>244</v>
      </c>
      <c r="D6" s="1" t="s">
        <v>153</v>
      </c>
      <c r="E6" s="1" t="str">
        <f>Tabla13[[#This Row],[VAR]]&amp;Tabla13[[#This Row],[LOTE]]</f>
        <v>JSE01</v>
      </c>
      <c r="F6" s="186" t="s">
        <v>377</v>
      </c>
      <c r="G6" s="1" t="s">
        <v>351</v>
      </c>
      <c r="H6" s="1">
        <v>2023</v>
      </c>
      <c r="I6" s="8">
        <v>1894</v>
      </c>
      <c r="J6" s="2">
        <f t="shared" si="0"/>
        <v>14.96</v>
      </c>
      <c r="K6" s="2">
        <f t="shared" si="0"/>
        <v>14.73</v>
      </c>
      <c r="L6" s="2">
        <f t="shared" si="0"/>
        <v>0.14000000000000001</v>
      </c>
      <c r="M6" s="2">
        <f t="shared" si="0"/>
        <v>0.09</v>
      </c>
      <c r="N6" s="3">
        <v>28343</v>
      </c>
      <c r="O6" s="3">
        <v>27898.620000000003</v>
      </c>
      <c r="P6" s="3">
        <v>267</v>
      </c>
      <c r="Q6" s="3">
        <f>Tabla13[[#This Row],[Total Espacios Censo]]-Tabla13[[#This Row],[Pltas. Prod. Censo]]-Tabla13[[#This Row],[Pltas Formación Censo]]</f>
        <v>177.37999999999738</v>
      </c>
      <c r="R6" s="95">
        <v>1.6</v>
      </c>
      <c r="S6" s="95">
        <v>3.3</v>
      </c>
      <c r="T6" s="2" t="s">
        <v>7</v>
      </c>
      <c r="U6" s="99">
        <v>44392</v>
      </c>
      <c r="V6" s="5">
        <v>2</v>
      </c>
      <c r="W6" s="1" t="s">
        <v>12</v>
      </c>
      <c r="X6" s="99">
        <v>34631</v>
      </c>
      <c r="Y6" s="1">
        <f ca="1">INT(YEARFRAC(Tabla13[[#This Row],[Fecha nacimiento]],TODAY()))</f>
        <v>31</v>
      </c>
      <c r="Z6" s="1">
        <v>988291254</v>
      </c>
      <c r="AA6" s="1" t="s">
        <v>300</v>
      </c>
      <c r="AB6" s="1" t="s">
        <v>301</v>
      </c>
      <c r="AC6" s="1" t="s">
        <v>302</v>
      </c>
      <c r="AD6" s="102" t="s">
        <v>201</v>
      </c>
      <c r="AE6" s="75" t="s">
        <v>9</v>
      </c>
    </row>
    <row r="7" spans="1:31" hidden="1" x14ac:dyDescent="0.3">
      <c r="A7" s="186" t="s">
        <v>167</v>
      </c>
      <c r="B7" s="1" t="s">
        <v>75</v>
      </c>
      <c r="C7" s="186" t="s">
        <v>244</v>
      </c>
      <c r="D7" s="1" t="s">
        <v>153</v>
      </c>
      <c r="E7" s="1" t="str">
        <f>Tabla13[[#This Row],[VAR]]&amp;Tabla13[[#This Row],[LOTE]]</f>
        <v>JSE02</v>
      </c>
      <c r="F7" s="186" t="s">
        <v>377</v>
      </c>
      <c r="G7" s="1" t="s">
        <v>351</v>
      </c>
      <c r="H7" s="1">
        <v>2023</v>
      </c>
      <c r="I7" s="8">
        <v>1894</v>
      </c>
      <c r="J7" s="2">
        <f t="shared" si="0"/>
        <v>4.3600000000000003</v>
      </c>
      <c r="K7" s="2">
        <f t="shared" si="0"/>
        <v>4.08</v>
      </c>
      <c r="L7" s="2">
        <f t="shared" si="0"/>
        <v>0.19</v>
      </c>
      <c r="M7" s="2">
        <f t="shared" si="0"/>
        <v>0.09</v>
      </c>
      <c r="N7" s="3">
        <v>8256</v>
      </c>
      <c r="O7" s="3">
        <v>7727.52</v>
      </c>
      <c r="P7" s="3">
        <v>359</v>
      </c>
      <c r="Q7" s="3">
        <f>Tabla13[[#This Row],[Total Espacios Censo]]-Tabla13[[#This Row],[Pltas. Prod. Censo]]-Tabla13[[#This Row],[Pltas Formación Censo]]</f>
        <v>169.47999999999956</v>
      </c>
      <c r="R7" s="95">
        <v>1.6</v>
      </c>
      <c r="S7" s="95">
        <v>3.3</v>
      </c>
      <c r="T7" s="2" t="s">
        <v>7</v>
      </c>
      <c r="U7" s="99">
        <v>44398</v>
      </c>
      <c r="V7" s="5">
        <v>2</v>
      </c>
      <c r="W7" s="1" t="s">
        <v>12</v>
      </c>
      <c r="X7" s="99">
        <v>34631</v>
      </c>
      <c r="Y7" s="1">
        <f ca="1">INT(YEARFRAC(Tabla13[[#This Row],[Fecha nacimiento]],TODAY()))</f>
        <v>31</v>
      </c>
      <c r="Z7" s="1">
        <v>988291254</v>
      </c>
      <c r="AA7" s="1" t="s">
        <v>300</v>
      </c>
      <c r="AB7" s="1" t="s">
        <v>301</v>
      </c>
      <c r="AC7" s="1" t="s">
        <v>302</v>
      </c>
      <c r="AD7" s="102" t="s">
        <v>201</v>
      </c>
      <c r="AE7" s="75" t="s">
        <v>9</v>
      </c>
    </row>
    <row r="8" spans="1:31" hidden="1" x14ac:dyDescent="0.3">
      <c r="A8" s="186" t="s">
        <v>167</v>
      </c>
      <c r="B8" s="1" t="s">
        <v>76</v>
      </c>
      <c r="C8" s="186" t="s">
        <v>244</v>
      </c>
      <c r="D8" s="1" t="s">
        <v>153</v>
      </c>
      <c r="E8" s="1" t="str">
        <f>Tabla13[[#This Row],[VAR]]&amp;Tabla13[[#This Row],[LOTE]]</f>
        <v>JSE03</v>
      </c>
      <c r="F8" s="186" t="s">
        <v>377</v>
      </c>
      <c r="G8" s="1" t="s">
        <v>351</v>
      </c>
      <c r="H8" s="1">
        <v>2023</v>
      </c>
      <c r="I8" s="8">
        <v>1894</v>
      </c>
      <c r="J8" s="2">
        <f t="shared" si="0"/>
        <v>7.85</v>
      </c>
      <c r="K8" s="2">
        <f t="shared" si="0"/>
        <v>7.55</v>
      </c>
      <c r="L8" s="2">
        <f t="shared" si="0"/>
        <v>0.21</v>
      </c>
      <c r="M8" s="2">
        <f t="shared" si="0"/>
        <v>0.09</v>
      </c>
      <c r="N8" s="3">
        <v>14870</v>
      </c>
      <c r="O8" s="3">
        <v>14299.699999999999</v>
      </c>
      <c r="P8" s="3">
        <v>404</v>
      </c>
      <c r="Q8" s="3">
        <f>Tabla13[[#This Row],[Total Espacios Censo]]-Tabla13[[#This Row],[Pltas. Prod. Censo]]-Tabla13[[#This Row],[Pltas Formación Censo]]</f>
        <v>166.30000000000109</v>
      </c>
      <c r="R8" s="95">
        <v>1.6</v>
      </c>
      <c r="S8" s="95">
        <v>3.3</v>
      </c>
      <c r="T8" s="2" t="s">
        <v>7</v>
      </c>
      <c r="U8" s="99">
        <v>44400</v>
      </c>
      <c r="V8" s="5">
        <v>2</v>
      </c>
      <c r="W8" s="1" t="s">
        <v>12</v>
      </c>
      <c r="X8" s="99">
        <v>31153</v>
      </c>
      <c r="Y8" s="1">
        <f ca="1">INT(YEARFRAC(Tabla13[[#This Row],[Fecha nacimiento]],TODAY()))</f>
        <v>41</v>
      </c>
      <c r="Z8" s="1">
        <v>976412072</v>
      </c>
      <c r="AA8" s="1" t="s">
        <v>279</v>
      </c>
      <c r="AB8" s="1" t="s">
        <v>280</v>
      </c>
      <c r="AC8" s="1" t="s">
        <v>281</v>
      </c>
      <c r="AD8" s="102" t="s">
        <v>200</v>
      </c>
      <c r="AE8" s="75" t="s">
        <v>9</v>
      </c>
    </row>
    <row r="9" spans="1:31" hidden="1" x14ac:dyDescent="0.3">
      <c r="A9" s="186" t="s">
        <v>167</v>
      </c>
      <c r="B9" s="1" t="s">
        <v>77</v>
      </c>
      <c r="C9" s="186" t="s">
        <v>244</v>
      </c>
      <c r="D9" s="1" t="s">
        <v>153</v>
      </c>
      <c r="E9" s="1" t="str">
        <f>Tabla13[[#This Row],[VAR]]&amp;Tabla13[[#This Row],[LOTE]]</f>
        <v>JSE04</v>
      </c>
      <c r="F9" s="186" t="s">
        <v>377</v>
      </c>
      <c r="G9" s="1" t="s">
        <v>351</v>
      </c>
      <c r="H9" s="1">
        <v>2023</v>
      </c>
      <c r="I9" s="8">
        <v>1905</v>
      </c>
      <c r="J9" s="2">
        <f t="shared" si="0"/>
        <v>13.08</v>
      </c>
      <c r="K9" s="2">
        <f t="shared" si="0"/>
        <v>7.84</v>
      </c>
      <c r="L9" s="2">
        <f t="shared" si="0"/>
        <v>2.3199999999999998</v>
      </c>
      <c r="M9" s="2">
        <f t="shared" si="0"/>
        <v>2.92</v>
      </c>
      <c r="N9" s="3">
        <v>24926</v>
      </c>
      <c r="O9" s="3">
        <v>14943</v>
      </c>
      <c r="P9" s="3">
        <v>4429</v>
      </c>
      <c r="Q9" s="3">
        <f>Tabla13[[#This Row],[Total Espacios Censo]]-Tabla13[[#This Row],[Pltas. Prod. Censo]]-Tabla13[[#This Row],[Pltas Formación Censo]]</f>
        <v>5554</v>
      </c>
      <c r="R9" s="95">
        <v>1.5</v>
      </c>
      <c r="S9" s="95">
        <v>3.5</v>
      </c>
      <c r="T9" s="2" t="s">
        <v>7</v>
      </c>
      <c r="U9" s="99">
        <v>44403</v>
      </c>
      <c r="V9" s="5">
        <v>2</v>
      </c>
      <c r="W9" s="1" t="s">
        <v>12</v>
      </c>
      <c r="X9" s="99">
        <v>31153</v>
      </c>
      <c r="Y9" s="1">
        <f ca="1">INT(YEARFRAC(Tabla13[[#This Row],[Fecha nacimiento]],TODAY()))</f>
        <v>41</v>
      </c>
      <c r="Z9" s="1">
        <v>976412072</v>
      </c>
      <c r="AA9" s="1" t="s">
        <v>279</v>
      </c>
      <c r="AB9" s="1" t="s">
        <v>280</v>
      </c>
      <c r="AC9" s="1" t="s">
        <v>281</v>
      </c>
      <c r="AD9" s="102" t="s">
        <v>200</v>
      </c>
      <c r="AE9" s="75" t="s">
        <v>9</v>
      </c>
    </row>
    <row r="10" spans="1:31" hidden="1" x14ac:dyDescent="0.3">
      <c r="A10" s="187" t="s">
        <v>105</v>
      </c>
      <c r="B10" s="216" t="s">
        <v>23</v>
      </c>
      <c r="C10" s="187" t="s">
        <v>242</v>
      </c>
      <c r="D10" s="1" t="s">
        <v>371</v>
      </c>
      <c r="E10" s="1" t="str">
        <f>Tabla13[[#This Row],[VAR]]&amp;Tabla13[[#This Row],[LOTE]]</f>
        <v>TMD04</v>
      </c>
      <c r="F10" s="189" t="s">
        <v>377</v>
      </c>
      <c r="G10" s="1" t="s">
        <v>349</v>
      </c>
      <c r="H10" s="190">
        <v>2023</v>
      </c>
      <c r="I10" s="4">
        <v>2070</v>
      </c>
      <c r="J10" s="2">
        <f t="shared" si="0"/>
        <v>13.77</v>
      </c>
      <c r="K10" s="2">
        <f t="shared" si="0"/>
        <v>12.79</v>
      </c>
      <c r="L10" s="2">
        <f t="shared" si="0"/>
        <v>0.92</v>
      </c>
      <c r="M10" s="2">
        <f t="shared" si="0"/>
        <v>0.06</v>
      </c>
      <c r="N10" s="3">
        <v>28498</v>
      </c>
      <c r="O10" s="3">
        <v>26475.3</v>
      </c>
      <c r="P10" s="3">
        <v>1905</v>
      </c>
      <c r="Q10" s="3">
        <f>Tabla13[[#This Row],[Total Espacios Censo]]-Tabla13[[#This Row],[Pltas. Prod. Censo]]-Tabla13[[#This Row],[Pltas Formación Censo]]</f>
        <v>117.70000000000073</v>
      </c>
      <c r="R10" s="95">
        <v>1.6</v>
      </c>
      <c r="S10" s="95">
        <v>3.5</v>
      </c>
      <c r="T10" s="2" t="s">
        <v>7</v>
      </c>
      <c r="U10" s="99">
        <v>42668</v>
      </c>
      <c r="V10" s="5">
        <v>7</v>
      </c>
      <c r="W10" s="1" t="s">
        <v>12</v>
      </c>
      <c r="X10" s="99">
        <v>31842</v>
      </c>
      <c r="Y10" s="1">
        <f ca="1">INT(YEARFRAC(Tabla13[[#This Row],[Fecha nacimiento]],TODAY()))</f>
        <v>39</v>
      </c>
      <c r="Z10" s="1">
        <v>962638155</v>
      </c>
      <c r="AA10" s="1" t="s">
        <v>293</v>
      </c>
      <c r="AB10" s="1" t="s">
        <v>275</v>
      </c>
      <c r="AC10" s="1"/>
      <c r="AD10" s="102" t="s">
        <v>292</v>
      </c>
      <c r="AE10" s="75" t="s">
        <v>9</v>
      </c>
    </row>
    <row r="11" spans="1:31" hidden="1" x14ac:dyDescent="0.3">
      <c r="A11" s="187" t="s">
        <v>105</v>
      </c>
      <c r="B11" s="216" t="s">
        <v>24</v>
      </c>
      <c r="C11" s="187" t="s">
        <v>242</v>
      </c>
      <c r="D11" s="1" t="s">
        <v>371</v>
      </c>
      <c r="E11" s="1" t="str">
        <f>Tabla13[[#This Row],[VAR]]&amp;Tabla13[[#This Row],[LOTE]]</f>
        <v>TMD05</v>
      </c>
      <c r="F11" s="189" t="s">
        <v>377</v>
      </c>
      <c r="G11" s="1" t="s">
        <v>349</v>
      </c>
      <c r="H11" s="190">
        <v>2023</v>
      </c>
      <c r="I11" s="4">
        <v>2070</v>
      </c>
      <c r="J11" s="2">
        <f t="shared" si="0"/>
        <v>12.96</v>
      </c>
      <c r="K11" s="2">
        <f t="shared" si="0"/>
        <v>12.11</v>
      </c>
      <c r="L11" s="2">
        <f t="shared" si="0"/>
        <v>0.68</v>
      </c>
      <c r="M11" s="2">
        <f t="shared" si="0"/>
        <v>0.17</v>
      </c>
      <c r="N11" s="3">
        <v>26824</v>
      </c>
      <c r="O11" s="3">
        <v>25067.699999999997</v>
      </c>
      <c r="P11" s="3">
        <v>1412</v>
      </c>
      <c r="Q11" s="3">
        <f>Tabla13[[#This Row],[Total Espacios Censo]]-Tabla13[[#This Row],[Pltas. Prod. Censo]]-Tabla13[[#This Row],[Pltas Formación Censo]]</f>
        <v>344.30000000000291</v>
      </c>
      <c r="R11" s="95">
        <v>1.6</v>
      </c>
      <c r="S11" s="95">
        <v>3.5</v>
      </c>
      <c r="T11" s="2" t="s">
        <v>7</v>
      </c>
      <c r="U11" s="99">
        <v>42678</v>
      </c>
      <c r="V11" s="5">
        <v>6</v>
      </c>
      <c r="W11" s="1" t="s">
        <v>12</v>
      </c>
      <c r="X11" s="99">
        <v>30930</v>
      </c>
      <c r="Y11" s="1">
        <f ca="1">INT(YEARFRAC(Tabla13[[#This Row],[Fecha nacimiento]],TODAY()))</f>
        <v>41</v>
      </c>
      <c r="Z11" s="1">
        <v>947657425</v>
      </c>
      <c r="AA11" s="1" t="s">
        <v>278</v>
      </c>
      <c r="AB11" s="1" t="s">
        <v>275</v>
      </c>
      <c r="AC11" s="1"/>
      <c r="AD11" s="102" t="s">
        <v>197</v>
      </c>
      <c r="AE11" s="75" t="s">
        <v>9</v>
      </c>
    </row>
    <row r="12" spans="1:31" hidden="1" x14ac:dyDescent="0.3">
      <c r="A12" s="187" t="s">
        <v>105</v>
      </c>
      <c r="B12" s="216" t="s">
        <v>25</v>
      </c>
      <c r="C12" s="187" t="s">
        <v>242</v>
      </c>
      <c r="D12" s="1" t="s">
        <v>371</v>
      </c>
      <c r="E12" s="1" t="str">
        <f>Tabla13[[#This Row],[VAR]]&amp;Tabla13[[#This Row],[LOTE]]</f>
        <v>TMD06</v>
      </c>
      <c r="F12" s="189" t="s">
        <v>377</v>
      </c>
      <c r="G12" s="1" t="s">
        <v>349</v>
      </c>
      <c r="H12" s="190">
        <v>2023</v>
      </c>
      <c r="I12" s="4">
        <v>2070</v>
      </c>
      <c r="J12" s="2">
        <f t="shared" si="0"/>
        <v>13.37</v>
      </c>
      <c r="K12" s="2">
        <f t="shared" si="0"/>
        <v>11.93</v>
      </c>
      <c r="L12" s="2">
        <f t="shared" si="0"/>
        <v>0.88</v>
      </c>
      <c r="M12" s="2">
        <f t="shared" si="0"/>
        <v>0.56000000000000005</v>
      </c>
      <c r="N12" s="3">
        <v>27666</v>
      </c>
      <c r="O12" s="3">
        <v>24695.1</v>
      </c>
      <c r="P12" s="3">
        <v>1819</v>
      </c>
      <c r="Q12" s="3">
        <f>Tabla13[[#This Row],[Total Espacios Censo]]-Tabla13[[#This Row],[Pltas. Prod. Censo]]-Tabla13[[#This Row],[Pltas Formación Censo]]</f>
        <v>1151.9000000000015</v>
      </c>
      <c r="R12" s="95">
        <v>1.6</v>
      </c>
      <c r="S12" s="95">
        <v>3.5</v>
      </c>
      <c r="T12" s="2" t="s">
        <v>7</v>
      </c>
      <c r="U12" s="99">
        <v>42731</v>
      </c>
      <c r="V12" s="5">
        <v>7</v>
      </c>
      <c r="W12" s="1" t="s">
        <v>12</v>
      </c>
      <c r="X12" s="99">
        <v>30930</v>
      </c>
      <c r="Y12" s="1">
        <f ca="1">INT(YEARFRAC(Tabla13[[#This Row],[Fecha nacimiento]],TODAY()))</f>
        <v>41</v>
      </c>
      <c r="Z12" s="1">
        <v>947657425</v>
      </c>
      <c r="AA12" s="1" t="s">
        <v>278</v>
      </c>
      <c r="AB12" s="1" t="s">
        <v>275</v>
      </c>
      <c r="AC12" s="1"/>
      <c r="AD12" s="102" t="s">
        <v>197</v>
      </c>
      <c r="AE12" s="75" t="s">
        <v>9</v>
      </c>
    </row>
    <row r="13" spans="1:31" hidden="1" x14ac:dyDescent="0.3">
      <c r="A13" s="187" t="s">
        <v>105</v>
      </c>
      <c r="B13" s="216" t="s">
        <v>33</v>
      </c>
      <c r="C13" s="187" t="s">
        <v>242</v>
      </c>
      <c r="D13" s="1" t="s">
        <v>371</v>
      </c>
      <c r="E13" s="1" t="str">
        <f>Tabla13[[#This Row],[VAR]]&amp;Tabla13[[#This Row],[LOTE]]</f>
        <v>TMF05</v>
      </c>
      <c r="F13" s="186" t="s">
        <v>377</v>
      </c>
      <c r="G13" s="1" t="s">
        <v>349</v>
      </c>
      <c r="H13" s="1">
        <v>2023</v>
      </c>
      <c r="I13" s="4">
        <v>1953</v>
      </c>
      <c r="J13" s="2">
        <f t="shared" si="0"/>
        <v>14.42</v>
      </c>
      <c r="K13" s="2">
        <f t="shared" si="0"/>
        <v>13.29</v>
      </c>
      <c r="L13" s="2">
        <f t="shared" si="0"/>
        <v>1.04</v>
      </c>
      <c r="M13" s="2">
        <f t="shared" si="0"/>
        <v>0.09</v>
      </c>
      <c r="N13" s="3">
        <v>28153</v>
      </c>
      <c r="O13" s="3">
        <v>25954</v>
      </c>
      <c r="P13" s="3">
        <v>2024</v>
      </c>
      <c r="Q13" s="3">
        <f>Tabla13[[#This Row],[Total Espacios Censo]]-Tabla13[[#This Row],[Pltas. Prod. Censo]]-Tabla13[[#This Row],[Pltas Formación Censo]]</f>
        <v>175</v>
      </c>
      <c r="R13" s="95">
        <v>1.6</v>
      </c>
      <c r="S13" s="95">
        <v>3.3</v>
      </c>
      <c r="T13" s="2" t="s">
        <v>7</v>
      </c>
      <c r="U13" s="99">
        <v>43659</v>
      </c>
      <c r="V13" s="5">
        <v>4</v>
      </c>
      <c r="W13" s="1" t="s">
        <v>12</v>
      </c>
      <c r="X13" s="99">
        <v>32665</v>
      </c>
      <c r="Y13" s="1">
        <f ca="1">INT(YEARFRAC(Tabla13[[#This Row],[Fecha nacimiento]],TODAY()))</f>
        <v>37</v>
      </c>
      <c r="Z13" s="1">
        <v>957943066</v>
      </c>
      <c r="AA13" s="1" t="s">
        <v>295</v>
      </c>
      <c r="AB13" s="1" t="s">
        <v>275</v>
      </c>
      <c r="AC13" s="1"/>
      <c r="AD13" s="102" t="s">
        <v>294</v>
      </c>
      <c r="AE13" s="75" t="s">
        <v>9</v>
      </c>
    </row>
    <row r="14" spans="1:31" hidden="1" x14ac:dyDescent="0.3">
      <c r="A14" s="187" t="s">
        <v>105</v>
      </c>
      <c r="B14" s="216" t="s">
        <v>35</v>
      </c>
      <c r="C14" s="187" t="s">
        <v>242</v>
      </c>
      <c r="D14" s="1" t="s">
        <v>371</v>
      </c>
      <c r="E14" s="1" t="str">
        <f>Tabla13[[#This Row],[VAR]]&amp;Tabla13[[#This Row],[LOTE]]</f>
        <v>TMF06</v>
      </c>
      <c r="F14" s="186" t="s">
        <v>377</v>
      </c>
      <c r="G14" s="1" t="s">
        <v>349</v>
      </c>
      <c r="H14" s="1">
        <v>2023</v>
      </c>
      <c r="I14" s="4">
        <v>1953</v>
      </c>
      <c r="J14" s="2">
        <f t="shared" si="0"/>
        <v>14.27</v>
      </c>
      <c r="K14" s="2">
        <f t="shared" si="0"/>
        <v>14.25</v>
      </c>
      <c r="L14" s="2">
        <f t="shared" si="0"/>
        <v>0.01</v>
      </c>
      <c r="M14" s="2">
        <f t="shared" si="0"/>
        <v>0.01</v>
      </c>
      <c r="N14" s="3">
        <v>27870</v>
      </c>
      <c r="O14" s="3">
        <v>27830.25</v>
      </c>
      <c r="P14" s="3">
        <v>29</v>
      </c>
      <c r="Q14" s="3">
        <f>Tabla13[[#This Row],[Total Espacios Censo]]-Tabla13[[#This Row],[Pltas. Prod. Censo]]-Tabla13[[#This Row],[Pltas Formación Censo]]</f>
        <v>10.75</v>
      </c>
      <c r="R14" s="95">
        <v>1.6</v>
      </c>
      <c r="S14" s="95">
        <v>3.3</v>
      </c>
      <c r="T14" s="2" t="s">
        <v>7</v>
      </c>
      <c r="U14" s="99">
        <v>43657</v>
      </c>
      <c r="V14" s="5">
        <v>4</v>
      </c>
      <c r="W14" s="1" t="s">
        <v>12</v>
      </c>
      <c r="X14" s="99">
        <v>31082</v>
      </c>
      <c r="Y14" s="1">
        <f ca="1">INT(YEARFRAC(Tabla13[[#This Row],[Fecha nacimiento]],TODAY()))</f>
        <v>41</v>
      </c>
      <c r="Z14" s="1">
        <v>951464092</v>
      </c>
      <c r="AA14" s="1" t="s">
        <v>315</v>
      </c>
      <c r="AB14" s="1" t="s">
        <v>275</v>
      </c>
      <c r="AC14" s="1"/>
      <c r="AD14" s="102" t="s">
        <v>314</v>
      </c>
      <c r="AE14" s="75" t="s">
        <v>9</v>
      </c>
    </row>
    <row r="15" spans="1:31" hidden="1" x14ac:dyDescent="0.3">
      <c r="A15" s="187" t="s">
        <v>105</v>
      </c>
      <c r="B15" s="216" t="s">
        <v>36</v>
      </c>
      <c r="C15" s="187" t="s">
        <v>242</v>
      </c>
      <c r="D15" s="1" t="s">
        <v>371</v>
      </c>
      <c r="E15" s="1" t="str">
        <f>Tabla13[[#This Row],[VAR]]&amp;Tabla13[[#This Row],[LOTE]]</f>
        <v>TMF07</v>
      </c>
      <c r="F15" s="186" t="s">
        <v>377</v>
      </c>
      <c r="G15" s="1" t="s">
        <v>349</v>
      </c>
      <c r="H15" s="1">
        <v>2023</v>
      </c>
      <c r="I15" s="4">
        <v>1953</v>
      </c>
      <c r="J15" s="2">
        <f t="shared" si="0"/>
        <v>14.65</v>
      </c>
      <c r="K15" s="2">
        <f t="shared" si="0"/>
        <v>14.64</v>
      </c>
      <c r="L15" s="2">
        <f t="shared" si="0"/>
        <v>0</v>
      </c>
      <c r="M15" s="2">
        <f t="shared" si="0"/>
        <v>0.01</v>
      </c>
      <c r="N15" s="3">
        <v>28615</v>
      </c>
      <c r="O15" s="3">
        <v>28591.920000000002</v>
      </c>
      <c r="P15" s="3">
        <v>5</v>
      </c>
      <c r="Q15" s="3">
        <f>Tabla13[[#This Row],[Total Espacios Censo]]-Tabla13[[#This Row],[Pltas. Prod. Censo]]-Tabla13[[#This Row],[Pltas Formación Censo]]</f>
        <v>18.079999999998108</v>
      </c>
      <c r="R15" s="95">
        <v>1.6</v>
      </c>
      <c r="S15" s="95">
        <v>3.3</v>
      </c>
      <c r="T15" s="2" t="s">
        <v>7</v>
      </c>
      <c r="U15" s="99">
        <v>43654</v>
      </c>
      <c r="V15" s="5">
        <v>4</v>
      </c>
      <c r="W15" s="1" t="s">
        <v>12</v>
      </c>
      <c r="X15" s="99">
        <v>31082</v>
      </c>
      <c r="Y15" s="1">
        <f ca="1">INT(YEARFRAC(Tabla13[[#This Row],[Fecha nacimiento]],TODAY()))</f>
        <v>41</v>
      </c>
      <c r="Z15" s="1">
        <v>951464092</v>
      </c>
      <c r="AA15" s="1" t="s">
        <v>315</v>
      </c>
      <c r="AB15" s="1" t="s">
        <v>275</v>
      </c>
      <c r="AC15" s="1"/>
      <c r="AD15" s="102" t="s">
        <v>314</v>
      </c>
      <c r="AE15" s="75" t="s">
        <v>9</v>
      </c>
    </row>
    <row r="16" spans="1:31" hidden="1" x14ac:dyDescent="0.3">
      <c r="A16" s="187" t="s">
        <v>105</v>
      </c>
      <c r="B16" s="216" t="s">
        <v>37</v>
      </c>
      <c r="C16" s="187" t="s">
        <v>242</v>
      </c>
      <c r="D16" s="1" t="s">
        <v>371</v>
      </c>
      <c r="E16" s="1" t="str">
        <f>Tabla13[[#This Row],[VAR]]&amp;Tabla13[[#This Row],[LOTE]]</f>
        <v>TME05</v>
      </c>
      <c r="F16" s="186" t="s">
        <v>377</v>
      </c>
      <c r="G16" s="1" t="s">
        <v>349</v>
      </c>
      <c r="H16" s="1">
        <v>2023</v>
      </c>
      <c r="I16" s="4">
        <v>1780</v>
      </c>
      <c r="J16" s="2">
        <f t="shared" si="0"/>
        <v>14.09</v>
      </c>
      <c r="K16" s="2">
        <f t="shared" si="0"/>
        <v>11.91</v>
      </c>
      <c r="L16" s="2">
        <f t="shared" si="0"/>
        <v>1.46</v>
      </c>
      <c r="M16" s="2">
        <f t="shared" si="0"/>
        <v>0.72</v>
      </c>
      <c r="N16" s="3">
        <v>25088</v>
      </c>
      <c r="O16" s="3">
        <v>21199.8</v>
      </c>
      <c r="P16" s="3">
        <v>2598</v>
      </c>
      <c r="Q16" s="3">
        <f>Tabla13[[#This Row],[Total Espacios Censo]]-Tabla13[[#This Row],[Pltas. Prod. Censo]]-Tabla13[[#This Row],[Pltas Formación Censo]]</f>
        <v>1290.2000000000007</v>
      </c>
      <c r="R16" s="95">
        <v>1.6</v>
      </c>
      <c r="S16" s="95">
        <v>3.5</v>
      </c>
      <c r="T16" s="2" t="s">
        <v>7</v>
      </c>
      <c r="U16" s="99">
        <v>44002</v>
      </c>
      <c r="V16" s="5">
        <v>3</v>
      </c>
      <c r="W16" s="1" t="s">
        <v>12</v>
      </c>
      <c r="X16" s="99">
        <v>32665</v>
      </c>
      <c r="Y16" s="1">
        <f ca="1">INT(YEARFRAC(Tabla13[[#This Row],[Fecha nacimiento]],TODAY()))</f>
        <v>37</v>
      </c>
      <c r="Z16" s="1">
        <v>957943066</v>
      </c>
      <c r="AA16" s="1" t="s">
        <v>295</v>
      </c>
      <c r="AB16" s="1" t="s">
        <v>275</v>
      </c>
      <c r="AC16" s="1"/>
      <c r="AD16" s="102" t="s">
        <v>194</v>
      </c>
      <c r="AE16" s="75" t="s">
        <v>9</v>
      </c>
    </row>
    <row r="17" spans="1:31" hidden="1" x14ac:dyDescent="0.3">
      <c r="A17" s="187" t="s">
        <v>105</v>
      </c>
      <c r="B17" s="216" t="s">
        <v>38</v>
      </c>
      <c r="C17" s="187" t="s">
        <v>242</v>
      </c>
      <c r="D17" s="1" t="s">
        <v>371</v>
      </c>
      <c r="E17" s="1" t="str">
        <f>Tabla13[[#This Row],[VAR]]&amp;Tabla13[[#This Row],[LOTE]]</f>
        <v>TME06</v>
      </c>
      <c r="F17" s="186" t="s">
        <v>377</v>
      </c>
      <c r="G17" s="1" t="s">
        <v>349</v>
      </c>
      <c r="H17" s="1">
        <v>2023</v>
      </c>
      <c r="I17" s="4">
        <v>1780</v>
      </c>
      <c r="J17" s="2">
        <f t="shared" si="0"/>
        <v>14.74</v>
      </c>
      <c r="K17" s="2">
        <f t="shared" si="0"/>
        <v>14.69</v>
      </c>
      <c r="L17" s="2">
        <f t="shared" si="0"/>
        <v>0.01</v>
      </c>
      <c r="M17" s="2">
        <f t="shared" si="0"/>
        <v>0.04</v>
      </c>
      <c r="N17" s="3">
        <v>26240</v>
      </c>
      <c r="O17" s="3">
        <v>26148.2</v>
      </c>
      <c r="P17" s="3">
        <v>13</v>
      </c>
      <c r="Q17" s="3">
        <f>Tabla13[[#This Row],[Total Espacios Censo]]-Tabla13[[#This Row],[Pltas. Prod. Censo]]-Tabla13[[#This Row],[Pltas Formación Censo]]</f>
        <v>78.799999999999272</v>
      </c>
      <c r="R17" s="95">
        <v>1.6</v>
      </c>
      <c r="S17" s="95">
        <v>3.5</v>
      </c>
      <c r="T17" s="2" t="s">
        <v>7</v>
      </c>
      <c r="U17" s="99">
        <v>44012</v>
      </c>
      <c r="V17" s="5">
        <v>3</v>
      </c>
      <c r="W17" s="1" t="s">
        <v>12</v>
      </c>
      <c r="X17" s="99">
        <v>35580</v>
      </c>
      <c r="Y17" s="1">
        <f ca="1">INT(YEARFRAC(Tabla13[[#This Row],[Fecha nacimiento]],TODAY()))</f>
        <v>29</v>
      </c>
      <c r="Z17" s="1">
        <v>930668076</v>
      </c>
      <c r="AA17" s="1" t="s">
        <v>290</v>
      </c>
      <c r="AB17" s="1" t="s">
        <v>268</v>
      </c>
      <c r="AC17" s="1" t="s">
        <v>291</v>
      </c>
      <c r="AD17" s="102" t="s">
        <v>403</v>
      </c>
      <c r="AE17" s="75" t="s">
        <v>9</v>
      </c>
    </row>
    <row r="18" spans="1:31" hidden="1" x14ac:dyDescent="0.3">
      <c r="A18" s="187" t="s">
        <v>105</v>
      </c>
      <c r="B18" s="216" t="s">
        <v>39</v>
      </c>
      <c r="C18" s="187" t="s">
        <v>242</v>
      </c>
      <c r="D18" s="1" t="s">
        <v>371</v>
      </c>
      <c r="E18" s="1" t="str">
        <f>Tabla13[[#This Row],[VAR]]&amp;Tabla13[[#This Row],[LOTE]]</f>
        <v>TME07</v>
      </c>
      <c r="F18" s="186" t="s">
        <v>377</v>
      </c>
      <c r="G18" s="1" t="s">
        <v>349</v>
      </c>
      <c r="H18" s="1">
        <v>2023</v>
      </c>
      <c r="I18" s="4">
        <v>1780</v>
      </c>
      <c r="J18" s="2">
        <f t="shared" si="0"/>
        <v>14.96</v>
      </c>
      <c r="K18" s="2">
        <f t="shared" si="0"/>
        <v>14.47</v>
      </c>
      <c r="L18" s="2">
        <f t="shared" si="0"/>
        <v>0.42</v>
      </c>
      <c r="M18" s="2">
        <f t="shared" si="0"/>
        <v>0.08</v>
      </c>
      <c r="N18" s="3">
        <v>26634</v>
      </c>
      <c r="O18" s="3">
        <v>25756.600000000002</v>
      </c>
      <c r="P18" s="3">
        <v>740</v>
      </c>
      <c r="Q18" s="3">
        <f>Tabla13[[#This Row],[Total Espacios Censo]]-Tabla13[[#This Row],[Pltas. Prod. Censo]]-Tabla13[[#This Row],[Pltas Formación Censo]]</f>
        <v>137.39999999999782</v>
      </c>
      <c r="R18" s="95">
        <v>1.6</v>
      </c>
      <c r="S18" s="95">
        <v>3.5</v>
      </c>
      <c r="T18" s="2" t="s">
        <v>7</v>
      </c>
      <c r="U18" s="99">
        <v>44015</v>
      </c>
      <c r="V18" s="5">
        <v>3</v>
      </c>
      <c r="W18" s="1" t="s">
        <v>12</v>
      </c>
      <c r="X18" s="99">
        <v>35580</v>
      </c>
      <c r="Y18" s="1">
        <f ca="1">INT(YEARFRAC(Tabla13[[#This Row],[Fecha nacimiento]],TODAY()))</f>
        <v>29</v>
      </c>
      <c r="Z18" s="1">
        <v>930668076</v>
      </c>
      <c r="AA18" s="1" t="s">
        <v>290</v>
      </c>
      <c r="AB18" s="1" t="s">
        <v>268</v>
      </c>
      <c r="AC18" s="1" t="s">
        <v>291</v>
      </c>
      <c r="AD18" s="102" t="s">
        <v>404</v>
      </c>
      <c r="AE18" s="75" t="s">
        <v>9</v>
      </c>
    </row>
    <row r="19" spans="1:31" hidden="1" x14ac:dyDescent="0.3">
      <c r="A19" s="186" t="s">
        <v>108</v>
      </c>
      <c r="B19" s="216" t="s">
        <v>51</v>
      </c>
      <c r="C19" s="186" t="s">
        <v>248</v>
      </c>
      <c r="D19" s="1" t="s">
        <v>49</v>
      </c>
      <c r="E19" s="1" t="str">
        <f>Tabla13[[#This Row],[VAR]]&amp;Tabla13[[#This Row],[LOTE]]</f>
        <v>ALB03</v>
      </c>
      <c r="F19" s="189" t="s">
        <v>377</v>
      </c>
      <c r="G19" s="1" t="s">
        <v>349</v>
      </c>
      <c r="H19" s="190">
        <v>2023</v>
      </c>
      <c r="I19" s="4">
        <v>1780</v>
      </c>
      <c r="J19" s="2">
        <f t="shared" si="0"/>
        <v>7.05</v>
      </c>
      <c r="K19" s="2">
        <f t="shared" si="0"/>
        <v>4.5999999999999996</v>
      </c>
      <c r="L19" s="2">
        <f t="shared" si="0"/>
        <v>1.57</v>
      </c>
      <c r="M19" s="2">
        <f t="shared" si="0"/>
        <v>0.87</v>
      </c>
      <c r="N19" s="3">
        <v>12544</v>
      </c>
      <c r="O19" s="3">
        <v>8187.9999999999991</v>
      </c>
      <c r="P19" s="3">
        <v>2802</v>
      </c>
      <c r="Q19" s="3">
        <f>Tabla13[[#This Row],[Total Espacios Censo]]-Tabla13[[#This Row],[Pltas. Prod. Censo]]-Tabla13[[#This Row],[Pltas Formación Censo]]</f>
        <v>1554.0000000000009</v>
      </c>
      <c r="R19" s="95">
        <v>1.6</v>
      </c>
      <c r="S19" s="95">
        <v>3.5</v>
      </c>
      <c r="T19" s="2" t="s">
        <v>7</v>
      </c>
      <c r="U19" s="99">
        <v>43332</v>
      </c>
      <c r="V19" s="5">
        <v>5</v>
      </c>
      <c r="W19" s="1" t="s">
        <v>12</v>
      </c>
      <c r="X19" s="99">
        <v>31656</v>
      </c>
      <c r="Y19" s="1">
        <f ca="1">INT(YEARFRAC(Tabla13[[#This Row],[Fecha nacimiento]],TODAY()))</f>
        <v>39</v>
      </c>
      <c r="Z19" s="1">
        <v>957800460</v>
      </c>
      <c r="AA19" s="1" t="s">
        <v>326</v>
      </c>
      <c r="AB19" s="1" t="s">
        <v>275</v>
      </c>
      <c r="AC19" s="1"/>
      <c r="AD19" s="102" t="s">
        <v>325</v>
      </c>
      <c r="AE19" s="75" t="s">
        <v>9</v>
      </c>
    </row>
    <row r="20" spans="1:31" hidden="1" x14ac:dyDescent="0.3">
      <c r="A20" s="186" t="s">
        <v>167</v>
      </c>
      <c r="B20" s="216" t="s">
        <v>71</v>
      </c>
      <c r="C20" s="186" t="s">
        <v>244</v>
      </c>
      <c r="D20" s="1" t="s">
        <v>49</v>
      </c>
      <c r="E20" s="1" t="str">
        <f>Tabla13[[#This Row],[VAR]]&amp;Tabla13[[#This Row],[LOTE]]</f>
        <v>JSA01</v>
      </c>
      <c r="F20" s="186" t="s">
        <v>377</v>
      </c>
      <c r="G20" s="1" t="s">
        <v>351</v>
      </c>
      <c r="H20" s="1">
        <v>2023</v>
      </c>
      <c r="I20" s="4">
        <v>1780.2</v>
      </c>
      <c r="J20" s="2">
        <f t="shared" si="0"/>
        <v>15</v>
      </c>
      <c r="K20" s="2">
        <f t="shared" si="0"/>
        <v>14.79</v>
      </c>
      <c r="L20" s="2">
        <f t="shared" si="0"/>
        <v>0</v>
      </c>
      <c r="M20" s="2">
        <f t="shared" si="0"/>
        <v>0.21</v>
      </c>
      <c r="N20" s="3">
        <v>26703</v>
      </c>
      <c r="O20" s="3">
        <v>26329.157999999999</v>
      </c>
      <c r="P20" s="3">
        <v>5</v>
      </c>
      <c r="Q20" s="3">
        <f>Tabla13[[#This Row],[Total Espacios Censo]]-Tabla13[[#This Row],[Pltas. Prod. Censo]]-Tabla13[[#This Row],[Pltas Formación Censo]]</f>
        <v>368.84200000000055</v>
      </c>
      <c r="R20" s="95">
        <v>1.6</v>
      </c>
      <c r="S20" s="95">
        <v>3.5</v>
      </c>
      <c r="T20" s="2" t="s">
        <v>7</v>
      </c>
      <c r="U20" s="99">
        <v>44036</v>
      </c>
      <c r="V20" s="5">
        <v>3</v>
      </c>
      <c r="W20" s="1" t="s">
        <v>12</v>
      </c>
      <c r="X20" s="99">
        <v>35485</v>
      </c>
      <c r="Y20" s="1">
        <f ca="1">INT(YEARFRAC(Tabla13[[#This Row],[Fecha nacimiento]],TODAY()))</f>
        <v>29</v>
      </c>
      <c r="Z20" s="1">
        <v>927501356</v>
      </c>
      <c r="AA20" s="1" t="s">
        <v>306</v>
      </c>
      <c r="AB20" s="1" t="s">
        <v>275</v>
      </c>
      <c r="AC20" s="1"/>
      <c r="AD20" s="102" t="s">
        <v>405</v>
      </c>
      <c r="AE20" s="75" t="s">
        <v>9</v>
      </c>
    </row>
    <row r="21" spans="1:31" hidden="1" x14ac:dyDescent="0.3">
      <c r="A21" s="186" t="s">
        <v>167</v>
      </c>
      <c r="B21" s="216" t="s">
        <v>72</v>
      </c>
      <c r="C21" s="186" t="s">
        <v>244</v>
      </c>
      <c r="D21" s="1" t="s">
        <v>49</v>
      </c>
      <c r="E21" s="1" t="str">
        <f>Tabla13[[#This Row],[VAR]]&amp;Tabla13[[#This Row],[LOTE]]</f>
        <v>JSA02</v>
      </c>
      <c r="F21" s="186" t="s">
        <v>377</v>
      </c>
      <c r="G21" s="1" t="s">
        <v>351</v>
      </c>
      <c r="H21" s="1">
        <v>2023</v>
      </c>
      <c r="I21" s="4">
        <v>1780.2</v>
      </c>
      <c r="J21" s="2">
        <f t="shared" si="0"/>
        <v>14.99</v>
      </c>
      <c r="K21" s="2">
        <f t="shared" si="0"/>
        <v>14.83</v>
      </c>
      <c r="L21" s="2">
        <f t="shared" si="0"/>
        <v>0.02</v>
      </c>
      <c r="M21" s="2">
        <f t="shared" si="0"/>
        <v>0.14000000000000001</v>
      </c>
      <c r="N21" s="3">
        <v>26688</v>
      </c>
      <c r="O21" s="3">
        <v>26400.366000000002</v>
      </c>
      <c r="P21" s="3">
        <v>40</v>
      </c>
      <c r="Q21" s="3">
        <f>Tabla13[[#This Row],[Total Espacios Censo]]-Tabla13[[#This Row],[Pltas. Prod. Censo]]-Tabla13[[#This Row],[Pltas Formación Censo]]</f>
        <v>247.6339999999982</v>
      </c>
      <c r="R21" s="95">
        <v>1.6</v>
      </c>
      <c r="S21" s="95">
        <v>3.5</v>
      </c>
      <c r="T21" s="2" t="s">
        <v>7</v>
      </c>
      <c r="U21" s="99">
        <v>44039</v>
      </c>
      <c r="V21" s="5">
        <v>3</v>
      </c>
      <c r="W21" s="1" t="s">
        <v>12</v>
      </c>
      <c r="X21" s="99">
        <v>35485</v>
      </c>
      <c r="Y21" s="1">
        <f ca="1">INT(YEARFRAC(Tabla13[[#This Row],[Fecha nacimiento]],TODAY()))</f>
        <v>29</v>
      </c>
      <c r="Z21" s="1">
        <v>927501356</v>
      </c>
      <c r="AA21" s="1" t="s">
        <v>306</v>
      </c>
      <c r="AB21" s="1" t="s">
        <v>275</v>
      </c>
      <c r="AC21" s="1"/>
      <c r="AD21" s="102" t="s">
        <v>174</v>
      </c>
      <c r="AE21" s="75" t="s">
        <v>9</v>
      </c>
    </row>
    <row r="22" spans="1:31" hidden="1" x14ac:dyDescent="0.3">
      <c r="A22" s="186" t="s">
        <v>167</v>
      </c>
      <c r="B22" s="216" t="s">
        <v>73</v>
      </c>
      <c r="C22" s="186" t="s">
        <v>244</v>
      </c>
      <c r="D22" s="1" t="s">
        <v>49</v>
      </c>
      <c r="E22" s="1" t="str">
        <f>Tabla13[[#This Row],[VAR]]&amp;Tabla13[[#This Row],[LOTE]]</f>
        <v>JSA03</v>
      </c>
      <c r="F22" s="186" t="s">
        <v>377</v>
      </c>
      <c r="G22" s="1" t="s">
        <v>351</v>
      </c>
      <c r="H22" s="1">
        <v>2023</v>
      </c>
      <c r="I22" s="4">
        <v>1779.3333333333333</v>
      </c>
      <c r="J22" s="2">
        <f t="shared" si="0"/>
        <v>15</v>
      </c>
      <c r="K22" s="2">
        <f t="shared" si="0"/>
        <v>13.87</v>
      </c>
      <c r="L22" s="2">
        <f t="shared" si="0"/>
        <v>0.44</v>
      </c>
      <c r="M22" s="2">
        <f t="shared" si="0"/>
        <v>0.68</v>
      </c>
      <c r="N22" s="3">
        <v>26690</v>
      </c>
      <c r="O22" s="3">
        <v>24686</v>
      </c>
      <c r="P22" s="3">
        <v>790</v>
      </c>
      <c r="Q22" s="3">
        <f>Tabla13[[#This Row],[Total Espacios Censo]]-Tabla13[[#This Row],[Pltas. Prod. Censo]]-Tabla13[[#This Row],[Pltas Formación Censo]]</f>
        <v>1214</v>
      </c>
      <c r="R22" s="95">
        <v>1.6</v>
      </c>
      <c r="S22" s="95">
        <v>3.5</v>
      </c>
      <c r="T22" s="2" t="s">
        <v>7</v>
      </c>
      <c r="U22" s="99">
        <v>44105</v>
      </c>
      <c r="V22" s="5">
        <v>3</v>
      </c>
      <c r="W22" s="1" t="s">
        <v>12</v>
      </c>
      <c r="X22" s="99">
        <v>28288</v>
      </c>
      <c r="Y22" s="1">
        <f ca="1">INT(YEARFRAC(Tabla13[[#This Row],[Fecha nacimiento]],TODAY()))</f>
        <v>49</v>
      </c>
      <c r="Z22" s="1">
        <v>947296806</v>
      </c>
      <c r="AA22" s="1" t="s">
        <v>304</v>
      </c>
      <c r="AB22" s="1" t="s">
        <v>275</v>
      </c>
      <c r="AC22" s="1"/>
      <c r="AD22" s="102" t="s">
        <v>406</v>
      </c>
      <c r="AE22" s="75" t="s">
        <v>9</v>
      </c>
    </row>
    <row r="23" spans="1:31" hidden="1" x14ac:dyDescent="0.3">
      <c r="A23" s="186" t="s">
        <v>112</v>
      </c>
      <c r="B23" s="216" t="s">
        <v>81</v>
      </c>
      <c r="C23" s="186" t="s">
        <v>247</v>
      </c>
      <c r="D23" s="1" t="s">
        <v>49</v>
      </c>
      <c r="E23" s="1" t="str">
        <f>Tabla13[[#This Row],[VAR]]&amp;Tabla13[[#This Row],[LOTE]]</f>
        <v>SCB01</v>
      </c>
      <c r="F23" s="186" t="s">
        <v>377</v>
      </c>
      <c r="G23" s="1" t="s">
        <v>351</v>
      </c>
      <c r="H23" s="1">
        <v>2023</v>
      </c>
      <c r="I23" s="4">
        <v>1780</v>
      </c>
      <c r="J23" s="2">
        <f t="shared" si="0"/>
        <v>14.77</v>
      </c>
      <c r="K23" s="2">
        <f t="shared" si="0"/>
        <v>14.58</v>
      </c>
      <c r="L23" s="2">
        <f t="shared" si="0"/>
        <v>0.15</v>
      </c>
      <c r="M23" s="2">
        <f t="shared" si="0"/>
        <v>0.04</v>
      </c>
      <c r="N23" s="3">
        <v>26289</v>
      </c>
      <c r="O23" s="3">
        <v>25952.400000000001</v>
      </c>
      <c r="P23" s="3">
        <v>270</v>
      </c>
      <c r="Q23" s="3">
        <f>Tabla13[[#This Row],[Total Espacios Censo]]-Tabla13[[#This Row],[Pltas. Prod. Censo]]-Tabla13[[#This Row],[Pltas Formación Censo]]</f>
        <v>66.599999999998545</v>
      </c>
      <c r="R23" s="95">
        <v>1.6</v>
      </c>
      <c r="S23" s="95">
        <v>3.5</v>
      </c>
      <c r="T23" s="2" t="s">
        <v>7</v>
      </c>
      <c r="U23" s="99">
        <v>44041</v>
      </c>
      <c r="V23" s="5">
        <v>3</v>
      </c>
      <c r="W23" s="1" t="s">
        <v>12</v>
      </c>
      <c r="X23" s="99">
        <v>27983</v>
      </c>
      <c r="Y23" s="1">
        <f ca="1">INT(YEARFRAC(Tabla13[[#This Row],[Fecha nacimiento]],TODAY()))</f>
        <v>49</v>
      </c>
      <c r="Z23" s="1">
        <v>960488740</v>
      </c>
      <c r="AA23" s="1" t="s">
        <v>316</v>
      </c>
      <c r="AB23" s="1" t="s">
        <v>275</v>
      </c>
      <c r="AC23" s="1"/>
      <c r="AD23" s="102" t="s">
        <v>176</v>
      </c>
      <c r="AE23" s="75" t="s">
        <v>9</v>
      </c>
    </row>
    <row r="24" spans="1:31" hidden="1" x14ac:dyDescent="0.3">
      <c r="A24" s="186" t="s">
        <v>112</v>
      </c>
      <c r="B24" s="216" t="s">
        <v>82</v>
      </c>
      <c r="C24" s="186" t="s">
        <v>247</v>
      </c>
      <c r="D24" s="1" t="s">
        <v>49</v>
      </c>
      <c r="E24" s="1" t="str">
        <f>Tabla13[[#This Row],[VAR]]&amp;Tabla13[[#This Row],[LOTE]]</f>
        <v>SCB02</v>
      </c>
      <c r="F24" s="186" t="s">
        <v>377</v>
      </c>
      <c r="G24" s="1" t="s">
        <v>351</v>
      </c>
      <c r="H24" s="1">
        <v>2023</v>
      </c>
      <c r="I24" s="4">
        <v>1780</v>
      </c>
      <c r="J24" s="2">
        <f t="shared" si="0"/>
        <v>14.75</v>
      </c>
      <c r="K24" s="2">
        <f t="shared" si="0"/>
        <v>12.13</v>
      </c>
      <c r="L24" s="2">
        <f t="shared" si="0"/>
        <v>2.34</v>
      </c>
      <c r="M24" s="2">
        <f t="shared" si="0"/>
        <v>0.28000000000000003</v>
      </c>
      <c r="N24" s="3">
        <v>26253</v>
      </c>
      <c r="O24" s="3">
        <v>21587</v>
      </c>
      <c r="P24" s="3">
        <v>4163</v>
      </c>
      <c r="Q24" s="3">
        <f>Tabla13[[#This Row],[Total Espacios Censo]]-Tabla13[[#This Row],[Pltas. Prod. Censo]]-Tabla13[[#This Row],[Pltas Formación Censo]]</f>
        <v>503</v>
      </c>
      <c r="R24" s="95">
        <v>1.6</v>
      </c>
      <c r="S24" s="95">
        <v>3.5</v>
      </c>
      <c r="T24" s="2" t="s">
        <v>7</v>
      </c>
      <c r="U24" s="99">
        <v>44044</v>
      </c>
      <c r="V24" s="5">
        <v>3</v>
      </c>
      <c r="W24" s="1" t="s">
        <v>12</v>
      </c>
      <c r="X24" s="99">
        <v>27983</v>
      </c>
      <c r="Y24" s="1">
        <f ca="1">INT(YEARFRAC(Tabla13[[#This Row],[Fecha nacimiento]],TODAY()))</f>
        <v>49</v>
      </c>
      <c r="Z24" s="1">
        <v>960488740</v>
      </c>
      <c r="AA24" s="1" t="s">
        <v>316</v>
      </c>
      <c r="AB24" s="1" t="s">
        <v>275</v>
      </c>
      <c r="AC24" s="1"/>
      <c r="AD24" s="102" t="s">
        <v>407</v>
      </c>
      <c r="AE24" s="75" t="s">
        <v>9</v>
      </c>
    </row>
    <row r="25" spans="1:31" hidden="1" x14ac:dyDescent="0.3">
      <c r="A25" s="186" t="s">
        <v>112</v>
      </c>
      <c r="B25" s="216" t="s">
        <v>51</v>
      </c>
      <c r="C25" s="186" t="s">
        <v>247</v>
      </c>
      <c r="D25" s="1" t="s">
        <v>49</v>
      </c>
      <c r="E25" s="1" t="str">
        <f>Tabla13[[#This Row],[VAR]]&amp;Tabla13[[#This Row],[LOTE]]</f>
        <v>SCB03</v>
      </c>
      <c r="F25" s="186" t="s">
        <v>377</v>
      </c>
      <c r="G25" s="1" t="s">
        <v>351</v>
      </c>
      <c r="H25" s="1">
        <v>2023</v>
      </c>
      <c r="I25" s="4">
        <v>1780</v>
      </c>
      <c r="J25" s="2">
        <f t="shared" si="0"/>
        <v>6.91</v>
      </c>
      <c r="K25" s="2">
        <f t="shared" si="0"/>
        <v>5.72</v>
      </c>
      <c r="L25" s="2">
        <f t="shared" si="0"/>
        <v>0.56000000000000005</v>
      </c>
      <c r="M25" s="2">
        <f t="shared" si="0"/>
        <v>0.64</v>
      </c>
      <c r="N25" s="3">
        <v>12306</v>
      </c>
      <c r="O25" s="3">
        <v>10181.6</v>
      </c>
      <c r="P25" s="3">
        <v>992</v>
      </c>
      <c r="Q25" s="3">
        <f>Tabla13[[#This Row],[Total Espacios Censo]]-Tabla13[[#This Row],[Pltas. Prod. Censo]]-Tabla13[[#This Row],[Pltas Formación Censo]]</f>
        <v>1132.3999999999996</v>
      </c>
      <c r="R25" s="95">
        <v>1.6</v>
      </c>
      <c r="S25" s="95">
        <v>3.5</v>
      </c>
      <c r="T25" s="2" t="s">
        <v>7</v>
      </c>
      <c r="U25" s="99">
        <v>44410</v>
      </c>
      <c r="V25" s="5">
        <v>2</v>
      </c>
      <c r="W25" s="1" t="s">
        <v>12</v>
      </c>
      <c r="X25" s="99">
        <v>31656</v>
      </c>
      <c r="Y25" s="1">
        <f ca="1">INT(YEARFRAC(Tabla13[[#This Row],[Fecha nacimiento]],TODAY()))</f>
        <v>39</v>
      </c>
      <c r="Z25" s="1">
        <v>957800460</v>
      </c>
      <c r="AA25" s="1" t="s">
        <v>326</v>
      </c>
      <c r="AB25" s="1" t="s">
        <v>275</v>
      </c>
      <c r="AC25" s="1"/>
      <c r="AD25" s="102" t="s">
        <v>325</v>
      </c>
      <c r="AE25" s="75" t="s">
        <v>9</v>
      </c>
    </row>
    <row r="26" spans="1:31" hidden="1" x14ac:dyDescent="0.3">
      <c r="A26" s="186" t="s">
        <v>108</v>
      </c>
      <c r="B26" s="216" t="s">
        <v>52</v>
      </c>
      <c r="C26" s="186" t="s">
        <v>248</v>
      </c>
      <c r="D26" s="1" t="s">
        <v>53</v>
      </c>
      <c r="E26" s="1" t="str">
        <f>Tabla13[[#This Row],[VAR]]&amp;Tabla13[[#This Row],[LOTE]]</f>
        <v>ALG01</v>
      </c>
      <c r="F26" s="189" t="s">
        <v>377</v>
      </c>
      <c r="G26" s="1" t="s">
        <v>349</v>
      </c>
      <c r="H26" s="190">
        <v>2023</v>
      </c>
      <c r="I26" s="4">
        <v>1905</v>
      </c>
      <c r="J26" s="2">
        <f t="shared" si="0"/>
        <v>2.29</v>
      </c>
      <c r="K26" s="2">
        <f t="shared" si="0"/>
        <v>2.2400000000000002</v>
      </c>
      <c r="L26" s="2">
        <f t="shared" si="0"/>
        <v>0.05</v>
      </c>
      <c r="M26" s="2">
        <f t="shared" si="0"/>
        <v>0</v>
      </c>
      <c r="N26" s="3">
        <v>4367</v>
      </c>
      <c r="O26" s="3">
        <v>4267.2000000000007</v>
      </c>
      <c r="P26" s="3">
        <v>96.799999999999272</v>
      </c>
      <c r="Q26" s="3">
        <f>Tabla13[[#This Row],[Total Espacios Censo]]-Tabla13[[#This Row],[Pltas. Prod. Censo]]-Tabla13[[#This Row],[Pltas Formación Censo]]</f>
        <v>3</v>
      </c>
      <c r="R26" s="95">
        <v>0.75</v>
      </c>
      <c r="S26" s="95">
        <v>3</v>
      </c>
      <c r="T26" s="2" t="s">
        <v>7</v>
      </c>
      <c r="U26" s="99">
        <v>43332</v>
      </c>
      <c r="V26" s="5">
        <v>5</v>
      </c>
      <c r="W26" s="1" t="s">
        <v>8</v>
      </c>
      <c r="X26" s="99">
        <v>30592</v>
      </c>
      <c r="Y26" s="1">
        <f ca="1">INT(YEARFRAC(Tabla13[[#This Row],[Fecha nacimiento]],TODAY()))</f>
        <v>42</v>
      </c>
      <c r="Z26" s="1">
        <v>961627685</v>
      </c>
      <c r="AA26" s="1" t="s">
        <v>312</v>
      </c>
      <c r="AB26" s="1" t="s">
        <v>268</v>
      </c>
      <c r="AC26" s="1" t="s">
        <v>313</v>
      </c>
      <c r="AD26" s="102" t="s">
        <v>311</v>
      </c>
      <c r="AE26" s="75" t="s">
        <v>27</v>
      </c>
    </row>
    <row r="27" spans="1:31" hidden="1" x14ac:dyDescent="0.3">
      <c r="A27" s="186" t="s">
        <v>108</v>
      </c>
      <c r="B27" s="216" t="s">
        <v>54</v>
      </c>
      <c r="C27" s="186" t="s">
        <v>248</v>
      </c>
      <c r="D27" s="1" t="s">
        <v>53</v>
      </c>
      <c r="E27" s="1" t="str">
        <f>Tabla13[[#This Row],[VAR]]&amp;Tabla13[[#This Row],[LOTE]]</f>
        <v>ALG02</v>
      </c>
      <c r="F27" s="189" t="s">
        <v>377</v>
      </c>
      <c r="G27" s="1" t="s">
        <v>349</v>
      </c>
      <c r="H27" s="190">
        <v>2023</v>
      </c>
      <c r="I27" s="4">
        <v>1905</v>
      </c>
      <c r="J27" s="2">
        <f t="shared" si="0"/>
        <v>13.61</v>
      </c>
      <c r="K27" s="2">
        <f t="shared" si="0"/>
        <v>13.27</v>
      </c>
      <c r="L27" s="2">
        <f t="shared" si="0"/>
        <v>0.34</v>
      </c>
      <c r="M27" s="2">
        <f t="shared" si="0"/>
        <v>0</v>
      </c>
      <c r="N27" s="3">
        <v>25923</v>
      </c>
      <c r="O27" s="3">
        <v>25279.35</v>
      </c>
      <c r="P27" s="3">
        <v>640.65000000000146</v>
      </c>
      <c r="Q27" s="3">
        <f>Tabla13[[#This Row],[Total Espacios Censo]]-Tabla13[[#This Row],[Pltas. Prod. Censo]]-Tabla13[[#This Row],[Pltas Formación Censo]]</f>
        <v>3</v>
      </c>
      <c r="R27" s="95">
        <v>0.75</v>
      </c>
      <c r="S27" s="95">
        <v>3</v>
      </c>
      <c r="T27" s="2" t="s">
        <v>7</v>
      </c>
      <c r="U27" s="99">
        <v>42937</v>
      </c>
      <c r="V27" s="5">
        <v>6</v>
      </c>
      <c r="W27" s="1" t="s">
        <v>8</v>
      </c>
      <c r="X27" s="99">
        <v>30592</v>
      </c>
      <c r="Y27" s="1">
        <f ca="1">INT(YEARFRAC(Tabla13[[#This Row],[Fecha nacimiento]],TODAY()))</f>
        <v>42</v>
      </c>
      <c r="Z27" s="1">
        <v>961627685</v>
      </c>
      <c r="AA27" s="1" t="s">
        <v>312</v>
      </c>
      <c r="AB27" s="1" t="s">
        <v>268</v>
      </c>
      <c r="AC27" s="1" t="s">
        <v>313</v>
      </c>
      <c r="AD27" s="102" t="s">
        <v>311</v>
      </c>
      <c r="AE27" s="75" t="s">
        <v>27</v>
      </c>
    </row>
    <row r="28" spans="1:31" hidden="1" x14ac:dyDescent="0.3">
      <c r="A28" s="186" t="s">
        <v>108</v>
      </c>
      <c r="B28" s="216" t="s">
        <v>55</v>
      </c>
      <c r="C28" s="186" t="s">
        <v>248</v>
      </c>
      <c r="D28" s="1" t="s">
        <v>53</v>
      </c>
      <c r="E28" s="1" t="str">
        <f>Tabla13[[#This Row],[VAR]]&amp;Tabla13[[#This Row],[LOTE]]</f>
        <v>ALG03</v>
      </c>
      <c r="F28" s="189" t="s">
        <v>377</v>
      </c>
      <c r="G28" s="1" t="s">
        <v>349</v>
      </c>
      <c r="H28" s="190">
        <v>2023</v>
      </c>
      <c r="I28" s="4">
        <v>1905</v>
      </c>
      <c r="J28" s="2">
        <f t="shared" si="0"/>
        <v>11.53</v>
      </c>
      <c r="K28" s="2">
        <f t="shared" si="0"/>
        <v>7.54</v>
      </c>
      <c r="L28" s="2">
        <f t="shared" si="0"/>
        <v>2.4</v>
      </c>
      <c r="M28" s="2">
        <f t="shared" si="0"/>
        <v>1.59</v>
      </c>
      <c r="N28" s="3">
        <v>21958</v>
      </c>
      <c r="O28" s="3">
        <v>14371</v>
      </c>
      <c r="P28" s="3">
        <v>4565</v>
      </c>
      <c r="Q28" s="3">
        <f>Tabla13[[#This Row],[Total Espacios Censo]]-Tabla13[[#This Row],[Pltas. Prod. Censo]]-Tabla13[[#This Row],[Pltas Formación Censo]]</f>
        <v>3022</v>
      </c>
      <c r="R28" s="95">
        <v>0.75</v>
      </c>
      <c r="S28" s="95">
        <v>3</v>
      </c>
      <c r="T28" s="2" t="s">
        <v>7</v>
      </c>
      <c r="U28" s="99">
        <v>42933</v>
      </c>
      <c r="V28" s="5">
        <v>6</v>
      </c>
      <c r="W28" s="1" t="s">
        <v>8</v>
      </c>
      <c r="X28" s="99">
        <v>34934</v>
      </c>
      <c r="Y28" s="1">
        <f ca="1">INT(YEARFRAC(Tabla13[[#This Row],[Fecha nacimiento]],TODAY()))</f>
        <v>30</v>
      </c>
      <c r="Z28" s="1">
        <v>939826510</v>
      </c>
      <c r="AA28" s="1" t="s">
        <v>283</v>
      </c>
      <c r="AB28" s="1" t="s">
        <v>268</v>
      </c>
      <c r="AC28" s="1" t="s">
        <v>284</v>
      </c>
      <c r="AD28" s="102" t="s">
        <v>282</v>
      </c>
      <c r="AE28" s="75" t="s">
        <v>27</v>
      </c>
    </row>
    <row r="29" spans="1:31" hidden="1" x14ac:dyDescent="0.3">
      <c r="A29" s="186" t="s">
        <v>108</v>
      </c>
      <c r="B29" s="216" t="s">
        <v>56</v>
      </c>
      <c r="C29" s="186" t="s">
        <v>248</v>
      </c>
      <c r="D29" s="1" t="s">
        <v>53</v>
      </c>
      <c r="E29" s="1" t="str">
        <f>Tabla13[[#This Row],[VAR]]&amp;Tabla13[[#This Row],[LOTE]]</f>
        <v>ALG04</v>
      </c>
      <c r="F29" s="189" t="s">
        <v>377</v>
      </c>
      <c r="G29" s="1" t="s">
        <v>349</v>
      </c>
      <c r="H29" s="190">
        <v>2023</v>
      </c>
      <c r="I29" s="4">
        <v>1905</v>
      </c>
      <c r="J29" s="2">
        <f t="shared" si="0"/>
        <v>13.81</v>
      </c>
      <c r="K29" s="2">
        <f t="shared" si="0"/>
        <v>10.54</v>
      </c>
      <c r="L29" s="2">
        <f t="shared" si="0"/>
        <v>2.75</v>
      </c>
      <c r="M29" s="2">
        <f t="shared" si="0"/>
        <v>0.52</v>
      </c>
      <c r="N29" s="3">
        <v>26302</v>
      </c>
      <c r="O29" s="3">
        <v>20075</v>
      </c>
      <c r="P29" s="3">
        <v>5242</v>
      </c>
      <c r="Q29" s="3">
        <f>Tabla13[[#This Row],[Total Espacios Censo]]-Tabla13[[#This Row],[Pltas. Prod. Censo]]-Tabla13[[#This Row],[Pltas Formación Censo]]</f>
        <v>985</v>
      </c>
      <c r="R29" s="95">
        <v>0.75</v>
      </c>
      <c r="S29" s="95">
        <v>3</v>
      </c>
      <c r="T29" s="2" t="s">
        <v>7</v>
      </c>
      <c r="U29" s="99">
        <v>42671</v>
      </c>
      <c r="V29" s="5">
        <v>7</v>
      </c>
      <c r="W29" s="1" t="s">
        <v>8</v>
      </c>
      <c r="X29" s="99">
        <v>34934</v>
      </c>
      <c r="Y29" s="1">
        <f ca="1">INT(YEARFRAC(Tabla13[[#This Row],[Fecha nacimiento]],TODAY()))</f>
        <v>30</v>
      </c>
      <c r="Z29" s="1">
        <v>939826510</v>
      </c>
      <c r="AA29" s="1" t="s">
        <v>283</v>
      </c>
      <c r="AB29" s="1" t="s">
        <v>268</v>
      </c>
      <c r="AC29" s="1" t="s">
        <v>284</v>
      </c>
      <c r="AD29" s="102" t="s">
        <v>282</v>
      </c>
      <c r="AE29" s="75" t="s">
        <v>27</v>
      </c>
    </row>
    <row r="30" spans="1:31" hidden="1" x14ac:dyDescent="0.3">
      <c r="A30" s="186" t="s">
        <v>108</v>
      </c>
      <c r="B30" s="216" t="s">
        <v>57</v>
      </c>
      <c r="C30" s="186" t="s">
        <v>248</v>
      </c>
      <c r="D30" s="1" t="s">
        <v>53</v>
      </c>
      <c r="E30" s="1" t="str">
        <f>Tabla13[[#This Row],[VAR]]&amp;Tabla13[[#This Row],[LOTE]]</f>
        <v>ALG05</v>
      </c>
      <c r="F30" s="189" t="s">
        <v>377</v>
      </c>
      <c r="G30" s="1" t="s">
        <v>349</v>
      </c>
      <c r="H30" s="190">
        <v>2023</v>
      </c>
      <c r="I30" s="4">
        <v>1905</v>
      </c>
      <c r="J30" s="2">
        <f t="shared" si="0"/>
        <v>14.16</v>
      </c>
      <c r="K30" s="2">
        <f t="shared" si="0"/>
        <v>13.42</v>
      </c>
      <c r="L30" s="2">
        <f t="shared" si="0"/>
        <v>0.6</v>
      </c>
      <c r="M30" s="2">
        <f t="shared" si="0"/>
        <v>0.14000000000000001</v>
      </c>
      <c r="N30" s="3">
        <v>26967</v>
      </c>
      <c r="O30" s="3">
        <v>25557</v>
      </c>
      <c r="P30" s="3">
        <v>1144</v>
      </c>
      <c r="Q30" s="3">
        <f>Tabla13[[#This Row],[Total Espacios Censo]]-Tabla13[[#This Row],[Pltas. Prod. Censo]]-Tabla13[[#This Row],[Pltas Formación Censo]]</f>
        <v>266</v>
      </c>
      <c r="R30" s="95">
        <v>0.75</v>
      </c>
      <c r="S30" s="95">
        <v>3</v>
      </c>
      <c r="T30" s="2" t="s">
        <v>7</v>
      </c>
      <c r="U30" s="99">
        <v>42668</v>
      </c>
      <c r="V30" s="5">
        <v>7</v>
      </c>
      <c r="W30" s="1" t="s">
        <v>8</v>
      </c>
      <c r="X30" s="99">
        <v>32011</v>
      </c>
      <c r="Y30" s="1">
        <f ca="1">INT(YEARFRAC(Tabla13[[#This Row],[Fecha nacimiento]],TODAY()))</f>
        <v>38</v>
      </c>
      <c r="Z30" s="1">
        <v>970624242</v>
      </c>
      <c r="AA30" s="1" t="s">
        <v>274</v>
      </c>
      <c r="AB30" s="1" t="s">
        <v>275</v>
      </c>
      <c r="AC30" s="1"/>
      <c r="AD30" s="102" t="s">
        <v>273</v>
      </c>
      <c r="AE30" s="75" t="s">
        <v>27</v>
      </c>
    </row>
    <row r="31" spans="1:31" hidden="1" x14ac:dyDescent="0.3">
      <c r="A31" s="186" t="s">
        <v>108</v>
      </c>
      <c r="B31" s="216" t="s">
        <v>58</v>
      </c>
      <c r="C31" s="186" t="s">
        <v>248</v>
      </c>
      <c r="D31" s="1" t="s">
        <v>53</v>
      </c>
      <c r="E31" s="1" t="str">
        <f>Tabla13[[#This Row],[VAR]]&amp;Tabla13[[#This Row],[LOTE]]</f>
        <v>ALG06</v>
      </c>
      <c r="F31" s="189" t="s">
        <v>377</v>
      </c>
      <c r="G31" s="1" t="s">
        <v>349</v>
      </c>
      <c r="H31" s="190">
        <v>2023</v>
      </c>
      <c r="I31" s="4">
        <v>1905</v>
      </c>
      <c r="J31" s="2">
        <f t="shared" si="0"/>
        <v>7.22</v>
      </c>
      <c r="K31" s="2">
        <f t="shared" si="0"/>
        <v>6.1</v>
      </c>
      <c r="L31" s="2">
        <f t="shared" si="0"/>
        <v>0.94</v>
      </c>
      <c r="M31" s="2">
        <f t="shared" si="0"/>
        <v>0.18</v>
      </c>
      <c r="N31" s="3">
        <v>13755</v>
      </c>
      <c r="O31" s="3">
        <v>11624</v>
      </c>
      <c r="P31" s="3">
        <v>1792</v>
      </c>
      <c r="Q31" s="3">
        <f>Tabla13[[#This Row],[Total Espacios Censo]]-Tabla13[[#This Row],[Pltas. Prod. Censo]]-Tabla13[[#This Row],[Pltas Formación Censo]]</f>
        <v>339</v>
      </c>
      <c r="R31" s="95">
        <v>0.75</v>
      </c>
      <c r="S31" s="95">
        <v>3</v>
      </c>
      <c r="T31" s="2" t="s">
        <v>7</v>
      </c>
      <c r="U31" s="99">
        <v>42665</v>
      </c>
      <c r="V31" s="5">
        <v>7</v>
      </c>
      <c r="W31" s="1" t="s">
        <v>8</v>
      </c>
      <c r="X31" s="99">
        <v>32011</v>
      </c>
      <c r="Y31" s="1">
        <f ca="1">INT(YEARFRAC(Tabla13[[#This Row],[Fecha nacimiento]],TODAY()))</f>
        <v>38</v>
      </c>
      <c r="Z31" s="1">
        <v>970624242</v>
      </c>
      <c r="AA31" s="1" t="s">
        <v>274</v>
      </c>
      <c r="AB31" s="1" t="s">
        <v>275</v>
      </c>
      <c r="AC31" s="1"/>
      <c r="AD31" s="102" t="s">
        <v>273</v>
      </c>
      <c r="AE31" s="75" t="s">
        <v>27</v>
      </c>
    </row>
    <row r="32" spans="1:31" hidden="1" x14ac:dyDescent="0.3">
      <c r="A32" s="186" t="s">
        <v>109</v>
      </c>
      <c r="B32" s="216" t="s">
        <v>130</v>
      </c>
      <c r="C32" s="186" t="s">
        <v>246</v>
      </c>
      <c r="D32" s="1" t="s">
        <v>53</v>
      </c>
      <c r="E32" s="1" t="str">
        <f>Tabla13[[#This Row],[VAR]]&amp;Tabla13[[#This Row],[LOTE]]</f>
        <v>CCH09</v>
      </c>
      <c r="F32" s="186" t="s">
        <v>376</v>
      </c>
      <c r="G32" s="1" t="s">
        <v>351</v>
      </c>
      <c r="H32" s="1">
        <v>2023</v>
      </c>
      <c r="I32" s="4">
        <v>1780</v>
      </c>
      <c r="J32" s="2">
        <f t="shared" si="0"/>
        <v>10.65</v>
      </c>
      <c r="K32" s="2">
        <f t="shared" si="0"/>
        <v>10.44</v>
      </c>
      <c r="L32" s="2">
        <f t="shared" si="0"/>
        <v>0.01</v>
      </c>
      <c r="M32" s="2">
        <f t="shared" si="0"/>
        <v>0.2</v>
      </c>
      <c r="N32" s="3">
        <v>18959</v>
      </c>
      <c r="O32" s="3">
        <v>18578</v>
      </c>
      <c r="P32" s="3">
        <v>24</v>
      </c>
      <c r="Q32" s="3">
        <f>Tabla13[[#This Row],[Total Espacios Censo]]-Tabla13[[#This Row],[Pltas. Prod. Censo]]-Tabla13[[#This Row],[Pltas Formación Censo]]</f>
        <v>357</v>
      </c>
      <c r="R32" s="95">
        <v>1.6</v>
      </c>
      <c r="S32" s="95">
        <v>3.5</v>
      </c>
      <c r="T32" s="2" t="s">
        <v>7</v>
      </c>
      <c r="U32" s="99">
        <v>44013</v>
      </c>
      <c r="V32" s="5">
        <v>3</v>
      </c>
      <c r="W32" s="1" t="s">
        <v>12</v>
      </c>
      <c r="X32" s="99">
        <v>36183</v>
      </c>
      <c r="Y32" s="1">
        <f ca="1">INT(YEARFRAC(Tabla13[[#This Row],[Fecha nacimiento]],TODAY()))</f>
        <v>27</v>
      </c>
      <c r="Z32" s="1">
        <v>937078700</v>
      </c>
      <c r="AA32" s="1" t="s">
        <v>286</v>
      </c>
      <c r="AB32" s="1" t="s">
        <v>268</v>
      </c>
      <c r="AC32" s="1" t="s">
        <v>269</v>
      </c>
      <c r="AD32" s="102" t="s">
        <v>285</v>
      </c>
      <c r="AE32" s="75" t="s">
        <v>27</v>
      </c>
    </row>
    <row r="33" spans="1:31" hidden="1" x14ac:dyDescent="0.3">
      <c r="A33" s="186" t="s">
        <v>109</v>
      </c>
      <c r="B33" s="216" t="s">
        <v>63</v>
      </c>
      <c r="C33" s="186" t="s">
        <v>246</v>
      </c>
      <c r="D33" s="1" t="s">
        <v>53</v>
      </c>
      <c r="E33" s="1" t="str">
        <f>Tabla13[[#This Row],[VAR]]&amp;Tabla13[[#This Row],[LOTE]]</f>
        <v>CCH10</v>
      </c>
      <c r="F33" s="186" t="s">
        <v>376</v>
      </c>
      <c r="G33" s="1" t="s">
        <v>351</v>
      </c>
      <c r="H33" s="1">
        <v>2023</v>
      </c>
      <c r="I33" s="4">
        <v>1780</v>
      </c>
      <c r="J33" s="2">
        <f t="shared" si="0"/>
        <v>14.45</v>
      </c>
      <c r="K33" s="2">
        <f t="shared" si="0"/>
        <v>14.25</v>
      </c>
      <c r="L33" s="2">
        <f t="shared" si="0"/>
        <v>0.03</v>
      </c>
      <c r="M33" s="2">
        <f t="shared" si="0"/>
        <v>0.16</v>
      </c>
      <c r="N33" s="3">
        <v>25720</v>
      </c>
      <c r="O33" s="3">
        <v>25365</v>
      </c>
      <c r="P33" s="3">
        <v>62</v>
      </c>
      <c r="Q33" s="3">
        <f>Tabla13[[#This Row],[Total Espacios Censo]]-Tabla13[[#This Row],[Pltas. Prod. Censo]]-Tabla13[[#This Row],[Pltas Formación Censo]]</f>
        <v>293</v>
      </c>
      <c r="R33" s="95">
        <v>1.6</v>
      </c>
      <c r="S33" s="95">
        <v>3.5</v>
      </c>
      <c r="T33" s="2" t="s">
        <v>7</v>
      </c>
      <c r="U33" s="99">
        <v>44013</v>
      </c>
      <c r="V33" s="5">
        <v>3</v>
      </c>
      <c r="W33" s="1" t="s">
        <v>12</v>
      </c>
      <c r="X33" s="99">
        <v>36183</v>
      </c>
      <c r="Y33" s="1">
        <f ca="1">INT(YEARFRAC(Tabla13[[#This Row],[Fecha nacimiento]],TODAY()))</f>
        <v>27</v>
      </c>
      <c r="Z33" s="1">
        <v>937078700</v>
      </c>
      <c r="AA33" s="1" t="s">
        <v>286</v>
      </c>
      <c r="AB33" s="1" t="s">
        <v>268</v>
      </c>
      <c r="AC33" s="1" t="s">
        <v>269</v>
      </c>
      <c r="AD33" s="102" t="s">
        <v>285</v>
      </c>
      <c r="AE33" s="75" t="s">
        <v>27</v>
      </c>
    </row>
    <row r="34" spans="1:31" hidden="1" x14ac:dyDescent="0.3">
      <c r="A34" s="186" t="s">
        <v>109</v>
      </c>
      <c r="B34" s="216" t="s">
        <v>64</v>
      </c>
      <c r="C34" s="186" t="s">
        <v>246</v>
      </c>
      <c r="D34" s="1" t="s">
        <v>53</v>
      </c>
      <c r="E34" s="1" t="str">
        <f>Tabla13[[#This Row],[VAR]]&amp;Tabla13[[#This Row],[LOTE]]</f>
        <v>CCH11</v>
      </c>
      <c r="F34" s="186" t="s">
        <v>376</v>
      </c>
      <c r="G34" s="1" t="s">
        <v>351</v>
      </c>
      <c r="H34" s="1">
        <v>2023</v>
      </c>
      <c r="I34" s="4">
        <v>1780</v>
      </c>
      <c r="J34" s="2">
        <f t="shared" ref="J34:M65" si="1">ROUND(N34/$I34,2)</f>
        <v>13.64</v>
      </c>
      <c r="K34" s="2">
        <f t="shared" si="1"/>
        <v>13.61</v>
      </c>
      <c r="L34" s="2">
        <f t="shared" si="1"/>
        <v>0.02</v>
      </c>
      <c r="M34" s="2">
        <f t="shared" si="1"/>
        <v>0.01</v>
      </c>
      <c r="N34" s="3">
        <v>24277</v>
      </c>
      <c r="O34" s="3">
        <v>24225.8</v>
      </c>
      <c r="P34" s="3">
        <v>38</v>
      </c>
      <c r="Q34" s="3">
        <f>Tabla13[[#This Row],[Total Espacios Censo]]-Tabla13[[#This Row],[Pltas. Prod. Censo]]-Tabla13[[#This Row],[Pltas Formación Censo]]</f>
        <v>13.200000000000728</v>
      </c>
      <c r="R34" s="95">
        <v>1.6</v>
      </c>
      <c r="S34" s="95">
        <v>3.5</v>
      </c>
      <c r="T34" s="2" t="s">
        <v>7</v>
      </c>
      <c r="U34" s="99">
        <v>43983</v>
      </c>
      <c r="V34" s="5">
        <v>3</v>
      </c>
      <c r="W34" s="1" t="s">
        <v>12</v>
      </c>
      <c r="X34" s="99">
        <v>35119</v>
      </c>
      <c r="Y34" s="1">
        <f ca="1">INT(YEARFRAC(Tabla13[[#This Row],[Fecha nacimiento]],TODAY()))</f>
        <v>30</v>
      </c>
      <c r="Z34" s="1">
        <v>971732870</v>
      </c>
      <c r="AA34" s="1" t="s">
        <v>288</v>
      </c>
      <c r="AB34" s="1" t="s">
        <v>268</v>
      </c>
      <c r="AC34" s="1" t="s">
        <v>269</v>
      </c>
      <c r="AD34" s="102" t="s">
        <v>287</v>
      </c>
      <c r="AE34" s="75" t="s">
        <v>27</v>
      </c>
    </row>
    <row r="35" spans="1:31" hidden="1" x14ac:dyDescent="0.3">
      <c r="A35" s="186" t="s">
        <v>135</v>
      </c>
      <c r="B35" s="216" t="s">
        <v>80</v>
      </c>
      <c r="C35" s="186" t="s">
        <v>79</v>
      </c>
      <c r="D35" s="1" t="s">
        <v>53</v>
      </c>
      <c r="E35" s="1" t="str">
        <f>Tabla13[[#This Row],[VAR]]&amp;Tabla13[[#This Row],[LOTE]]</f>
        <v>KRG11</v>
      </c>
      <c r="F35" s="186" t="s">
        <v>376</v>
      </c>
      <c r="G35" s="1" t="s">
        <v>349</v>
      </c>
      <c r="H35" s="1">
        <v>2023</v>
      </c>
      <c r="I35" s="4">
        <v>1780</v>
      </c>
      <c r="J35" s="2">
        <f t="shared" si="1"/>
        <v>2.1800000000000002</v>
      </c>
      <c r="K35" s="2">
        <f t="shared" si="1"/>
        <v>1.67</v>
      </c>
      <c r="L35" s="2">
        <f t="shared" si="1"/>
        <v>0.08</v>
      </c>
      <c r="M35" s="2">
        <f t="shared" si="1"/>
        <v>0.44</v>
      </c>
      <c r="N35" s="3">
        <v>3882</v>
      </c>
      <c r="O35" s="3">
        <v>2964</v>
      </c>
      <c r="P35" s="3">
        <v>137</v>
      </c>
      <c r="Q35" s="3">
        <f>Tabla13[[#This Row],[Total Espacios Censo]]-Tabla13[[#This Row],[Pltas. Prod. Censo]]-Tabla13[[#This Row],[Pltas Formación Censo]]</f>
        <v>781</v>
      </c>
      <c r="R35" s="95">
        <v>1.6</v>
      </c>
      <c r="S35" s="95">
        <v>3.5</v>
      </c>
      <c r="T35" s="2" t="s">
        <v>7</v>
      </c>
      <c r="U35" s="99">
        <v>44453</v>
      </c>
      <c r="V35" s="5">
        <v>2</v>
      </c>
      <c r="W35" s="1" t="s">
        <v>8</v>
      </c>
      <c r="X35" s="99">
        <v>35119</v>
      </c>
      <c r="Y35" s="1">
        <f ca="1">INT(YEARFRAC(Tabla13[[#This Row],[Fecha nacimiento]],TODAY()))</f>
        <v>30</v>
      </c>
      <c r="Z35" s="1">
        <v>971732870</v>
      </c>
      <c r="AA35" s="1" t="s">
        <v>288</v>
      </c>
      <c r="AB35" s="1" t="s">
        <v>268</v>
      </c>
      <c r="AC35" s="1" t="s">
        <v>269</v>
      </c>
      <c r="AD35" s="102" t="s">
        <v>402</v>
      </c>
      <c r="AE35" s="75" t="s">
        <v>27</v>
      </c>
    </row>
    <row r="36" spans="1:31" hidden="1" x14ac:dyDescent="0.3">
      <c r="A36" s="186" t="s">
        <v>163</v>
      </c>
      <c r="B36" s="216" t="s">
        <v>90</v>
      </c>
      <c r="C36" s="186" t="s">
        <v>245</v>
      </c>
      <c r="D36" s="1" t="s">
        <v>53</v>
      </c>
      <c r="E36" s="1" t="str">
        <f>Tabla13[[#This Row],[VAR]]&amp;Tabla13[[#This Row],[LOTE]]</f>
        <v>ACG09</v>
      </c>
      <c r="F36" s="186" t="s">
        <v>377</v>
      </c>
      <c r="G36" s="1" t="s">
        <v>388</v>
      </c>
      <c r="H36" s="1">
        <v>2023</v>
      </c>
      <c r="I36" s="7">
        <v>1905</v>
      </c>
      <c r="J36" s="2">
        <f t="shared" si="1"/>
        <v>11.76</v>
      </c>
      <c r="K36" s="2">
        <f t="shared" si="1"/>
        <v>11.42</v>
      </c>
      <c r="L36" s="2">
        <f t="shared" si="1"/>
        <v>0.27</v>
      </c>
      <c r="M36" s="2">
        <f t="shared" si="1"/>
        <v>7.0000000000000007E-2</v>
      </c>
      <c r="N36" s="3">
        <v>22395</v>
      </c>
      <c r="O36" s="3">
        <v>21750</v>
      </c>
      <c r="P36" s="3">
        <v>518</v>
      </c>
      <c r="Q36" s="3">
        <f>Tabla13[[#This Row],[Total Espacios Censo]]-Tabla13[[#This Row],[Pltas. Prod. Censo]]-Tabla13[[#This Row],[Pltas Formación Censo]]</f>
        <v>127</v>
      </c>
      <c r="R36" s="95">
        <v>1.5</v>
      </c>
      <c r="S36" s="95">
        <v>3.5</v>
      </c>
      <c r="T36" s="2" t="s">
        <v>7</v>
      </c>
      <c r="U36" s="99">
        <v>44763</v>
      </c>
      <c r="V36" s="5">
        <v>1</v>
      </c>
      <c r="W36" s="1" t="s">
        <v>8</v>
      </c>
      <c r="X36" s="100">
        <v>45006</v>
      </c>
      <c r="Y36" s="1">
        <f ca="1">INT(YEARFRAC(Tabla13[[#This Row],[Fecha nacimiento]],TODAY()))</f>
        <v>3</v>
      </c>
      <c r="Z36" s="1">
        <v>923562901</v>
      </c>
      <c r="AA36" s="1" t="s">
        <v>264</v>
      </c>
      <c r="AB36" s="1" t="s">
        <v>265</v>
      </c>
      <c r="AC36" s="1" t="s">
        <v>266</v>
      </c>
      <c r="AD36" s="102" t="s">
        <v>207</v>
      </c>
      <c r="AE36" s="75" t="s">
        <v>27</v>
      </c>
    </row>
    <row r="37" spans="1:31" hidden="1" x14ac:dyDescent="0.3">
      <c r="A37" s="186" t="s">
        <v>163</v>
      </c>
      <c r="B37" s="216" t="s">
        <v>92</v>
      </c>
      <c r="C37" s="186" t="s">
        <v>245</v>
      </c>
      <c r="D37" s="1" t="s">
        <v>53</v>
      </c>
      <c r="E37" s="1" t="str">
        <f>Tabla13[[#This Row],[VAR]]&amp;Tabla13[[#This Row],[LOTE]]</f>
        <v>ACG10</v>
      </c>
      <c r="F37" s="186" t="s">
        <v>377</v>
      </c>
      <c r="G37" s="1" t="s">
        <v>388</v>
      </c>
      <c r="H37" s="1">
        <v>2023</v>
      </c>
      <c r="I37" s="7">
        <v>1905</v>
      </c>
      <c r="J37" s="2">
        <f t="shared" si="1"/>
        <v>14.89</v>
      </c>
      <c r="K37" s="2">
        <f t="shared" si="1"/>
        <v>14.42</v>
      </c>
      <c r="L37" s="2">
        <f t="shared" si="1"/>
        <v>0.36</v>
      </c>
      <c r="M37" s="2">
        <f t="shared" si="1"/>
        <v>0.1</v>
      </c>
      <c r="N37" s="3">
        <v>28356</v>
      </c>
      <c r="O37" s="3">
        <v>27470.1</v>
      </c>
      <c r="P37" s="3">
        <v>687</v>
      </c>
      <c r="Q37" s="3">
        <f>Tabla13[[#This Row],[Total Espacios Censo]]-Tabla13[[#This Row],[Pltas. Prod. Censo]]-Tabla13[[#This Row],[Pltas Formación Censo]]</f>
        <v>198.90000000000146</v>
      </c>
      <c r="R37" s="95">
        <v>1.5</v>
      </c>
      <c r="S37" s="95">
        <v>3.5</v>
      </c>
      <c r="T37" s="2" t="s">
        <v>7</v>
      </c>
      <c r="U37" s="99">
        <v>44762</v>
      </c>
      <c r="V37" s="5">
        <v>1</v>
      </c>
      <c r="W37" s="1" t="s">
        <v>8</v>
      </c>
      <c r="X37" s="100">
        <v>45006</v>
      </c>
      <c r="Y37" s="1">
        <f ca="1">INT(YEARFRAC(Tabla13[[#This Row],[Fecha nacimiento]],TODAY()))</f>
        <v>3</v>
      </c>
      <c r="Z37" s="1">
        <v>923562901</v>
      </c>
      <c r="AA37" s="1" t="s">
        <v>264</v>
      </c>
      <c r="AB37" s="1" t="s">
        <v>265</v>
      </c>
      <c r="AC37" s="1" t="s">
        <v>266</v>
      </c>
      <c r="AD37" s="102" t="s">
        <v>207</v>
      </c>
      <c r="AE37" s="75" t="s">
        <v>27</v>
      </c>
    </row>
    <row r="38" spans="1:31" hidden="1" x14ac:dyDescent="0.3">
      <c r="A38" s="186" t="s">
        <v>163</v>
      </c>
      <c r="B38" s="216" t="s">
        <v>80</v>
      </c>
      <c r="C38" s="186" t="s">
        <v>245</v>
      </c>
      <c r="D38" s="1" t="s">
        <v>53</v>
      </c>
      <c r="E38" s="1" t="str">
        <f>Tabla13[[#This Row],[VAR]]&amp;Tabla13[[#This Row],[LOTE]]</f>
        <v>ACG11</v>
      </c>
      <c r="F38" s="186" t="s">
        <v>377</v>
      </c>
      <c r="G38" s="1" t="s">
        <v>388</v>
      </c>
      <c r="H38" s="1">
        <v>2023</v>
      </c>
      <c r="I38" s="7">
        <v>1780</v>
      </c>
      <c r="J38" s="2">
        <f t="shared" si="1"/>
        <v>10.7</v>
      </c>
      <c r="K38" s="2">
        <f t="shared" si="1"/>
        <v>9.44</v>
      </c>
      <c r="L38" s="2">
        <f t="shared" si="1"/>
        <v>0.38</v>
      </c>
      <c r="M38" s="2">
        <f t="shared" si="1"/>
        <v>0.88</v>
      </c>
      <c r="N38" s="3">
        <v>19039</v>
      </c>
      <c r="O38" s="3">
        <v>16799</v>
      </c>
      <c r="P38" s="3">
        <v>681</v>
      </c>
      <c r="Q38" s="3">
        <f>Tabla13[[#This Row],[Total Espacios Censo]]-Tabla13[[#This Row],[Pltas. Prod. Censo]]-Tabla13[[#This Row],[Pltas Formación Censo]]</f>
        <v>1559</v>
      </c>
      <c r="R38" s="95">
        <v>1.6</v>
      </c>
      <c r="S38" s="95">
        <v>3.5</v>
      </c>
      <c r="T38" s="2" t="s">
        <v>7</v>
      </c>
      <c r="U38" s="99">
        <v>44759</v>
      </c>
      <c r="V38" s="5">
        <v>1</v>
      </c>
      <c r="W38" s="1" t="s">
        <v>8</v>
      </c>
      <c r="X38" s="99">
        <v>35119</v>
      </c>
      <c r="Y38" s="1">
        <f ca="1">INT(YEARFRAC(Tabla13[[#This Row],[Fecha nacimiento]],TODAY()))</f>
        <v>30</v>
      </c>
      <c r="Z38" s="1">
        <v>971732870</v>
      </c>
      <c r="AA38" s="1" t="s">
        <v>288</v>
      </c>
      <c r="AB38" s="1" t="s">
        <v>268</v>
      </c>
      <c r="AC38" s="1" t="s">
        <v>269</v>
      </c>
      <c r="AD38" s="102" t="s">
        <v>402</v>
      </c>
      <c r="AE38" s="75" t="s">
        <v>27</v>
      </c>
    </row>
    <row r="39" spans="1:31" hidden="1" x14ac:dyDescent="0.3">
      <c r="A39" s="186" t="s">
        <v>163</v>
      </c>
      <c r="B39" s="1" t="s">
        <v>48</v>
      </c>
      <c r="C39" s="186" t="s">
        <v>245</v>
      </c>
      <c r="D39" s="1" t="s">
        <v>28</v>
      </c>
      <c r="E39" s="1" t="str">
        <f>Tabla13[[#This Row],[VAR]]&amp;Tabla13[[#This Row],[LOTE]]</f>
        <v>ACD12</v>
      </c>
      <c r="F39" s="186" t="s">
        <v>377</v>
      </c>
      <c r="G39" s="1" t="s">
        <v>388</v>
      </c>
      <c r="H39" s="1">
        <v>2023</v>
      </c>
      <c r="I39" s="6">
        <v>1905</v>
      </c>
      <c r="J39" s="2">
        <f t="shared" si="1"/>
        <v>18.45</v>
      </c>
      <c r="K39" s="2">
        <f t="shared" si="1"/>
        <v>0</v>
      </c>
      <c r="L39" s="2">
        <f t="shared" si="1"/>
        <v>18.45</v>
      </c>
      <c r="M39" s="2">
        <f t="shared" si="1"/>
        <v>0</v>
      </c>
      <c r="N39" s="3">
        <v>35147.25</v>
      </c>
      <c r="O39" s="3">
        <v>0</v>
      </c>
      <c r="P39" s="3">
        <v>35147.25</v>
      </c>
      <c r="Q39" s="3">
        <f>Tabla13[[#This Row],[Total Espacios Censo]]-Tabla13[[#This Row],[Pltas. Prod. Censo]]-Tabla13[[#This Row],[Pltas Formación Censo]]</f>
        <v>0</v>
      </c>
      <c r="R39" s="95">
        <v>1.6</v>
      </c>
      <c r="S39" s="95">
        <v>3.5</v>
      </c>
      <c r="T39" s="2" t="s">
        <v>366</v>
      </c>
      <c r="U39" s="99">
        <v>45122</v>
      </c>
      <c r="V39" s="5">
        <v>0</v>
      </c>
      <c r="W39" s="1" t="s">
        <v>12</v>
      </c>
      <c r="X39" s="99">
        <v>30729</v>
      </c>
      <c r="Y39" s="1">
        <f ca="1">INT(YEARFRAC(Tabla13[[#This Row],[Fecha nacimiento]],TODAY()))</f>
        <v>42</v>
      </c>
      <c r="Z39" s="1">
        <v>934101481</v>
      </c>
      <c r="AA39" s="1" t="s">
        <v>320</v>
      </c>
      <c r="AB39" s="1" t="s">
        <v>275</v>
      </c>
      <c r="AC39" s="1"/>
      <c r="AD39" s="218" t="s">
        <v>319</v>
      </c>
      <c r="AE39" s="76" t="s">
        <v>27</v>
      </c>
    </row>
    <row r="40" spans="1:31" hidden="1" x14ac:dyDescent="0.3">
      <c r="A40" s="186" t="s">
        <v>163</v>
      </c>
      <c r="B40" s="1" t="s">
        <v>50</v>
      </c>
      <c r="C40" s="186" t="s">
        <v>245</v>
      </c>
      <c r="D40" s="1" t="s">
        <v>28</v>
      </c>
      <c r="E40" s="1" t="str">
        <f>Tabla13[[#This Row],[VAR]]&amp;Tabla13[[#This Row],[LOTE]]</f>
        <v>ACD13</v>
      </c>
      <c r="F40" s="186" t="s">
        <v>377</v>
      </c>
      <c r="G40" s="1" t="s">
        <v>388</v>
      </c>
      <c r="H40" s="1">
        <v>2023</v>
      </c>
      <c r="I40" s="6">
        <v>1905</v>
      </c>
      <c r="J40" s="2">
        <f t="shared" si="1"/>
        <v>17.350000000000001</v>
      </c>
      <c r="K40" s="2">
        <f t="shared" si="1"/>
        <v>0</v>
      </c>
      <c r="L40" s="2">
        <f t="shared" si="1"/>
        <v>17.350000000000001</v>
      </c>
      <c r="M40" s="2">
        <f t="shared" si="1"/>
        <v>0</v>
      </c>
      <c r="N40" s="3">
        <v>33051.75</v>
      </c>
      <c r="O40" s="3">
        <v>0</v>
      </c>
      <c r="P40" s="3">
        <v>33051.75</v>
      </c>
      <c r="Q40" s="3">
        <f>Tabla13[[#This Row],[Total Espacios Censo]]-Tabla13[[#This Row],[Pltas. Prod. Censo]]-Tabla13[[#This Row],[Pltas Formación Censo]]</f>
        <v>0</v>
      </c>
      <c r="R40" s="95">
        <v>1.6</v>
      </c>
      <c r="S40" s="95">
        <v>3.5</v>
      </c>
      <c r="T40" s="2" t="s">
        <v>366</v>
      </c>
      <c r="U40" s="99">
        <v>45127</v>
      </c>
      <c r="V40" s="5">
        <v>0</v>
      </c>
      <c r="W40" s="1" t="s">
        <v>12</v>
      </c>
      <c r="X40" s="99">
        <v>30729</v>
      </c>
      <c r="Y40" s="1">
        <f ca="1">INT(YEARFRAC(Tabla13[[#This Row],[Fecha nacimiento]],TODAY()))</f>
        <v>42</v>
      </c>
      <c r="Z40" s="1">
        <v>934101481</v>
      </c>
      <c r="AA40" s="1" t="s">
        <v>320</v>
      </c>
      <c r="AB40" s="1" t="s">
        <v>275</v>
      </c>
      <c r="AC40" s="1"/>
      <c r="AD40" s="218" t="s">
        <v>319</v>
      </c>
      <c r="AE40" s="76" t="s">
        <v>27</v>
      </c>
    </row>
    <row r="41" spans="1:31" hidden="1" x14ac:dyDescent="0.3">
      <c r="A41" s="186" t="s">
        <v>163</v>
      </c>
      <c r="B41" s="1" t="s">
        <v>96</v>
      </c>
      <c r="C41" s="186" t="s">
        <v>245</v>
      </c>
      <c r="D41" s="1" t="s">
        <v>28</v>
      </c>
      <c r="E41" s="1" t="str">
        <f>Tabla13[[#This Row],[VAR]]&amp;Tabla13[[#This Row],[LOTE]]</f>
        <v>ACD14</v>
      </c>
      <c r="F41" s="186" t="s">
        <v>377</v>
      </c>
      <c r="G41" s="1" t="s">
        <v>388</v>
      </c>
      <c r="H41" s="1">
        <v>2023</v>
      </c>
      <c r="I41" s="7">
        <v>1905</v>
      </c>
      <c r="J41" s="2">
        <f t="shared" si="1"/>
        <v>12.07</v>
      </c>
      <c r="K41" s="2">
        <f t="shared" si="1"/>
        <v>9.74</v>
      </c>
      <c r="L41" s="2">
        <f t="shared" si="1"/>
        <v>1.62</v>
      </c>
      <c r="M41" s="2">
        <f t="shared" si="1"/>
        <v>0.71</v>
      </c>
      <c r="N41" s="3">
        <v>22986</v>
      </c>
      <c r="O41" s="3">
        <v>18554.7</v>
      </c>
      <c r="P41" s="3">
        <v>3077</v>
      </c>
      <c r="Q41" s="3">
        <f>Tabla13[[#This Row],[Total Espacios Censo]]-Tabla13[[#This Row],[Pltas. Prod. Censo]]-Tabla13[[#This Row],[Pltas Formación Censo]]</f>
        <v>1354.2999999999993</v>
      </c>
      <c r="R41" s="95">
        <v>1.5</v>
      </c>
      <c r="S41" s="95">
        <v>3.5</v>
      </c>
      <c r="T41" s="2" t="s">
        <v>7</v>
      </c>
      <c r="U41" s="99">
        <v>44806</v>
      </c>
      <c r="V41" s="5">
        <v>1</v>
      </c>
      <c r="W41" s="1" t="s">
        <v>12</v>
      </c>
      <c r="X41" s="99">
        <v>35710</v>
      </c>
      <c r="Y41" s="1">
        <f ca="1">INT(YEARFRAC(Tabla13[[#This Row],[Fecha nacimiento]],TODAY()))</f>
        <v>28</v>
      </c>
      <c r="Z41" s="1">
        <v>918035466</v>
      </c>
      <c r="AA41" s="1" t="s">
        <v>328</v>
      </c>
      <c r="AB41" s="1" t="s">
        <v>268</v>
      </c>
      <c r="AC41" s="1" t="s">
        <v>272</v>
      </c>
      <c r="AD41" s="218" t="s">
        <v>327</v>
      </c>
      <c r="AE41" s="75" t="s">
        <v>27</v>
      </c>
    </row>
    <row r="42" spans="1:31" hidden="1" x14ac:dyDescent="0.3">
      <c r="A42" s="186" t="s">
        <v>163</v>
      </c>
      <c r="B42" s="1" t="s">
        <v>97</v>
      </c>
      <c r="C42" s="186" t="s">
        <v>245</v>
      </c>
      <c r="D42" s="1" t="s">
        <v>28</v>
      </c>
      <c r="E42" s="1" t="str">
        <f>Tabla13[[#This Row],[VAR]]&amp;Tabla13[[#This Row],[LOTE]]</f>
        <v>ACD15</v>
      </c>
      <c r="F42" s="186" t="s">
        <v>377</v>
      </c>
      <c r="G42" s="1" t="s">
        <v>388</v>
      </c>
      <c r="H42" s="1">
        <v>2023</v>
      </c>
      <c r="I42" s="7">
        <v>1905</v>
      </c>
      <c r="J42" s="2">
        <f t="shared" si="1"/>
        <v>16.93</v>
      </c>
      <c r="K42" s="2">
        <f t="shared" si="1"/>
        <v>15.57</v>
      </c>
      <c r="L42" s="2">
        <f t="shared" si="1"/>
        <v>0.61</v>
      </c>
      <c r="M42" s="2">
        <f t="shared" si="1"/>
        <v>0.75</v>
      </c>
      <c r="N42" s="3">
        <v>32260</v>
      </c>
      <c r="O42" s="3">
        <v>29660.850000000002</v>
      </c>
      <c r="P42" s="3">
        <v>1164</v>
      </c>
      <c r="Q42" s="3">
        <f>Tabla13[[#This Row],[Total Espacios Censo]]-Tabla13[[#This Row],[Pltas. Prod. Censo]]-Tabla13[[#This Row],[Pltas Formación Censo]]</f>
        <v>1435.1499999999978</v>
      </c>
      <c r="R42" s="95">
        <v>1.5</v>
      </c>
      <c r="S42" s="95">
        <v>3.5</v>
      </c>
      <c r="T42" s="2" t="s">
        <v>7</v>
      </c>
      <c r="U42" s="99">
        <v>44800</v>
      </c>
      <c r="V42" s="5">
        <v>1</v>
      </c>
      <c r="W42" s="1" t="s">
        <v>12</v>
      </c>
      <c r="X42" s="99">
        <v>36463</v>
      </c>
      <c r="Y42" s="1">
        <f ca="1">INT(YEARFRAC(Tabla13[[#This Row],[Fecha nacimiento]],TODAY()))</f>
        <v>26</v>
      </c>
      <c r="Z42" s="1">
        <v>935187967</v>
      </c>
      <c r="AA42" s="1" t="s">
        <v>324</v>
      </c>
      <c r="AB42" s="1" t="s">
        <v>275</v>
      </c>
      <c r="AC42" s="1"/>
      <c r="AD42" s="218" t="s">
        <v>333</v>
      </c>
      <c r="AE42" s="75" t="s">
        <v>27</v>
      </c>
    </row>
    <row r="43" spans="1:31" hidden="1" x14ac:dyDescent="0.3">
      <c r="A43" s="186" t="s">
        <v>163</v>
      </c>
      <c r="B43" s="1" t="s">
        <v>98</v>
      </c>
      <c r="C43" s="186" t="s">
        <v>245</v>
      </c>
      <c r="D43" s="1" t="s">
        <v>28</v>
      </c>
      <c r="E43" s="1" t="str">
        <f>Tabla13[[#This Row],[VAR]]&amp;Tabla13[[#This Row],[LOTE]]</f>
        <v>ACE15</v>
      </c>
      <c r="F43" s="186" t="s">
        <v>377</v>
      </c>
      <c r="G43" s="1" t="s">
        <v>388</v>
      </c>
      <c r="H43" s="1">
        <v>2023</v>
      </c>
      <c r="I43" s="7">
        <v>1905</v>
      </c>
      <c r="J43" s="2">
        <f t="shared" si="1"/>
        <v>7.51</v>
      </c>
      <c r="K43" s="2">
        <f t="shared" si="1"/>
        <v>7.02</v>
      </c>
      <c r="L43" s="2">
        <f t="shared" si="1"/>
        <v>0.19</v>
      </c>
      <c r="M43" s="2">
        <f t="shared" si="1"/>
        <v>0.3</v>
      </c>
      <c r="N43" s="3">
        <v>14315</v>
      </c>
      <c r="O43" s="3">
        <v>13373.099999999999</v>
      </c>
      <c r="P43" s="3">
        <v>368</v>
      </c>
      <c r="Q43" s="3">
        <f>Tabla13[[#This Row],[Total Espacios Censo]]-Tabla13[[#This Row],[Pltas. Prod. Censo]]-Tabla13[[#This Row],[Pltas Formación Censo]]</f>
        <v>573.90000000000146</v>
      </c>
      <c r="R43" s="95">
        <v>1.5</v>
      </c>
      <c r="S43" s="95">
        <v>3.5</v>
      </c>
      <c r="T43" s="2" t="s">
        <v>7</v>
      </c>
      <c r="U43" s="99">
        <v>44798</v>
      </c>
      <c r="V43" s="5">
        <v>1</v>
      </c>
      <c r="W43" s="1" t="s">
        <v>12</v>
      </c>
      <c r="X43" s="99">
        <v>36463</v>
      </c>
      <c r="Y43" s="1">
        <f ca="1">INT(YEARFRAC(Tabla13[[#This Row],[Fecha nacimiento]],TODAY()))</f>
        <v>26</v>
      </c>
      <c r="Z43" s="1">
        <v>935187967</v>
      </c>
      <c r="AA43" s="1" t="s">
        <v>324</v>
      </c>
      <c r="AB43" s="1" t="s">
        <v>275</v>
      </c>
      <c r="AC43" s="1"/>
      <c r="AD43" s="218" t="s">
        <v>333</v>
      </c>
      <c r="AE43" s="75" t="s">
        <v>27</v>
      </c>
    </row>
    <row r="44" spans="1:31" x14ac:dyDescent="0.3">
      <c r="A44" s="187" t="s">
        <v>105</v>
      </c>
      <c r="B44" s="191" t="s">
        <v>6</v>
      </c>
      <c r="C44" s="187" t="s">
        <v>242</v>
      </c>
      <c r="D44" s="1" t="s">
        <v>372</v>
      </c>
      <c r="E44" s="1" t="str">
        <f>Tabla13[[#This Row],[VAR]]&amp;Tabla13[[#This Row],[LOTE]]</f>
        <v>TMA04</v>
      </c>
      <c r="F44" s="192" t="s">
        <v>376</v>
      </c>
      <c r="G44" s="1" t="s">
        <v>349</v>
      </c>
      <c r="H44" s="193">
        <v>2023</v>
      </c>
      <c r="I44" s="4">
        <v>1780</v>
      </c>
      <c r="J44" s="2">
        <f t="shared" si="1"/>
        <v>15.06</v>
      </c>
      <c r="K44" s="2">
        <f t="shared" si="1"/>
        <v>14.96</v>
      </c>
      <c r="L44" s="2">
        <f t="shared" si="1"/>
        <v>0.06</v>
      </c>
      <c r="M44" s="2">
        <f t="shared" si="1"/>
        <v>0.04</v>
      </c>
      <c r="N44" s="3">
        <v>26808</v>
      </c>
      <c r="O44" s="3">
        <v>26635</v>
      </c>
      <c r="P44" s="3">
        <v>107</v>
      </c>
      <c r="Q44" s="3">
        <f>Tabla13[[#This Row],[Total Espacios Censo]]-Tabla13[[#This Row],[Pltas. Prod. Censo]]-Tabla13[[#This Row],[Pltas Formación Censo]]</f>
        <v>66</v>
      </c>
      <c r="R44" s="95">
        <v>1.6</v>
      </c>
      <c r="S44" s="95">
        <v>3.5</v>
      </c>
      <c r="T44" s="2" t="s">
        <v>7</v>
      </c>
      <c r="U44" s="99">
        <v>43389</v>
      </c>
      <c r="V44" s="5">
        <v>5</v>
      </c>
      <c r="W44" s="1" t="s">
        <v>8</v>
      </c>
      <c r="X44" s="99">
        <v>28288</v>
      </c>
      <c r="Y44" s="1">
        <f ca="1">INT(YEARFRAC(Tabla13[[#This Row],[Fecha nacimiento]],TODAY()))</f>
        <v>49</v>
      </c>
      <c r="Z44" s="1">
        <v>947296806</v>
      </c>
      <c r="AA44" s="1" t="s">
        <v>304</v>
      </c>
      <c r="AB44" s="1" t="s">
        <v>275</v>
      </c>
      <c r="AC44" s="1"/>
      <c r="AD44" s="102" t="s">
        <v>303</v>
      </c>
      <c r="AE44" s="75" t="s">
        <v>9</v>
      </c>
    </row>
    <row r="45" spans="1:31" x14ac:dyDescent="0.3">
      <c r="A45" s="187" t="s">
        <v>105</v>
      </c>
      <c r="B45" s="191" t="s">
        <v>11</v>
      </c>
      <c r="C45" s="187" t="s">
        <v>242</v>
      </c>
      <c r="D45" s="1" t="s">
        <v>372</v>
      </c>
      <c r="E45" s="1" t="str">
        <f>Tabla13[[#This Row],[VAR]]&amp;Tabla13[[#This Row],[LOTE]]</f>
        <v>TMA05</v>
      </c>
      <c r="F45" s="192" t="s">
        <v>376</v>
      </c>
      <c r="G45" s="1" t="s">
        <v>349</v>
      </c>
      <c r="H45" s="193">
        <v>2023</v>
      </c>
      <c r="I45" s="4">
        <v>2133.3778371161548</v>
      </c>
      <c r="J45" s="2">
        <f t="shared" si="1"/>
        <v>10</v>
      </c>
      <c r="K45" s="2">
        <f t="shared" si="1"/>
        <v>9.93</v>
      </c>
      <c r="L45" s="2">
        <f t="shared" si="1"/>
        <v>7.0000000000000007E-2</v>
      </c>
      <c r="M45" s="2">
        <f t="shared" si="1"/>
        <v>0</v>
      </c>
      <c r="N45" s="3">
        <v>21328</v>
      </c>
      <c r="O45" s="3">
        <v>21184.441922563416</v>
      </c>
      <c r="P45" s="3">
        <v>143</v>
      </c>
      <c r="Q45" s="3">
        <f>Tabla13[[#This Row],[Total Espacios Censo]]-Tabla13[[#This Row],[Pltas. Prod. Censo]]-Tabla13[[#This Row],[Pltas Formación Censo]]</f>
        <v>0.55807743658442632</v>
      </c>
      <c r="R45" s="95">
        <v>1.33</v>
      </c>
      <c r="S45" s="95">
        <v>3.5</v>
      </c>
      <c r="T45" s="2" t="s">
        <v>7</v>
      </c>
      <c r="U45" s="99">
        <v>42593</v>
      </c>
      <c r="V45" s="5">
        <v>7</v>
      </c>
      <c r="W45" s="1" t="s">
        <v>12</v>
      </c>
      <c r="X45" s="1"/>
      <c r="Y45" s="1"/>
      <c r="Z45" s="1"/>
      <c r="AA45" s="1"/>
      <c r="AB45" s="1"/>
      <c r="AC45" s="1"/>
      <c r="AD45" s="102" t="s">
        <v>202</v>
      </c>
      <c r="AE45" s="75" t="s">
        <v>9</v>
      </c>
    </row>
    <row r="46" spans="1:31" x14ac:dyDescent="0.3">
      <c r="A46" s="187" t="s">
        <v>105</v>
      </c>
      <c r="B46" s="191" t="s">
        <v>13</v>
      </c>
      <c r="C46" s="187" t="s">
        <v>242</v>
      </c>
      <c r="D46" s="1" t="s">
        <v>372</v>
      </c>
      <c r="E46" s="1" t="str">
        <f>Tabla13[[#This Row],[VAR]]&amp;Tabla13[[#This Row],[LOTE]]</f>
        <v>TMA06</v>
      </c>
      <c r="F46" s="192" t="s">
        <v>376</v>
      </c>
      <c r="G46" s="1" t="s">
        <v>349</v>
      </c>
      <c r="H46" s="193">
        <v>2023</v>
      </c>
      <c r="I46" s="4">
        <v>2132.2829131652661</v>
      </c>
      <c r="J46" s="2">
        <f t="shared" si="1"/>
        <v>14.28</v>
      </c>
      <c r="K46" s="2">
        <f t="shared" si="1"/>
        <v>13.11</v>
      </c>
      <c r="L46" s="2">
        <f t="shared" si="1"/>
        <v>1.1499999999999999</v>
      </c>
      <c r="M46" s="2">
        <f t="shared" si="1"/>
        <v>0.02</v>
      </c>
      <c r="N46" s="3">
        <v>30449</v>
      </c>
      <c r="O46" s="3">
        <v>27954.228991596636</v>
      </c>
      <c r="P46" s="3">
        <v>2452</v>
      </c>
      <c r="Q46" s="3">
        <f>Tabla13[[#This Row],[Total Espacios Censo]]-Tabla13[[#This Row],[Pltas. Prod. Censo]]-Tabla13[[#This Row],[Pltas Formación Censo]]</f>
        <v>42.771008403364249</v>
      </c>
      <c r="R46" s="95">
        <v>1.33</v>
      </c>
      <c r="S46" s="95">
        <v>3.5</v>
      </c>
      <c r="T46" s="2" t="s">
        <v>7</v>
      </c>
      <c r="U46" s="99">
        <v>42590</v>
      </c>
      <c r="V46" s="5">
        <v>7</v>
      </c>
      <c r="W46" s="1" t="s">
        <v>12</v>
      </c>
      <c r="X46" s="1"/>
      <c r="Y46" s="1"/>
      <c r="Z46" s="1"/>
      <c r="AA46" s="1"/>
      <c r="AB46" s="1"/>
      <c r="AC46" s="1"/>
      <c r="AD46" s="102" t="s">
        <v>202</v>
      </c>
      <c r="AE46" s="75" t="s">
        <v>9</v>
      </c>
    </row>
    <row r="47" spans="1:31" x14ac:dyDescent="0.3">
      <c r="A47" s="187" t="s">
        <v>105</v>
      </c>
      <c r="B47" s="1" t="s">
        <v>14</v>
      </c>
      <c r="C47" s="187" t="s">
        <v>242</v>
      </c>
      <c r="D47" s="1" t="s">
        <v>372</v>
      </c>
      <c r="E47" s="1" t="str">
        <f>Tabla13[[#This Row],[VAR]]&amp;Tabla13[[#This Row],[LOTE]]</f>
        <v>TMB05</v>
      </c>
      <c r="F47" s="186" t="s">
        <v>376</v>
      </c>
      <c r="G47" s="1" t="s">
        <v>349</v>
      </c>
      <c r="H47" s="1">
        <v>2023</v>
      </c>
      <c r="I47" s="4">
        <v>2132</v>
      </c>
      <c r="J47" s="2">
        <f t="shared" si="1"/>
        <v>14.76</v>
      </c>
      <c r="K47" s="2">
        <f t="shared" si="1"/>
        <v>14.69</v>
      </c>
      <c r="L47" s="2">
        <f t="shared" si="1"/>
        <v>0.05</v>
      </c>
      <c r="M47" s="2">
        <f t="shared" si="1"/>
        <v>0.03</v>
      </c>
      <c r="N47" s="3">
        <v>31475</v>
      </c>
      <c r="O47" s="3">
        <v>31314</v>
      </c>
      <c r="P47" s="3">
        <v>104</v>
      </c>
      <c r="Q47" s="3">
        <f>Tabla13[[#This Row],[Total Espacios Censo]]-Tabla13[[#This Row],[Pltas. Prod. Censo]]-Tabla13[[#This Row],[Pltas Formación Censo]]</f>
        <v>57</v>
      </c>
      <c r="R47" s="95">
        <v>1.33</v>
      </c>
      <c r="S47" s="95">
        <v>3.5</v>
      </c>
      <c r="T47" s="2" t="s">
        <v>7</v>
      </c>
      <c r="U47" s="99">
        <v>42597</v>
      </c>
      <c r="V47" s="5">
        <v>7</v>
      </c>
      <c r="W47" s="1" t="s">
        <v>12</v>
      </c>
      <c r="X47" s="1"/>
      <c r="Y47" s="1"/>
      <c r="Z47" s="1"/>
      <c r="AA47" s="1"/>
      <c r="AB47" s="1"/>
      <c r="AC47" s="1"/>
      <c r="AD47" s="102" t="s">
        <v>203</v>
      </c>
      <c r="AE47" s="75" t="s">
        <v>9</v>
      </c>
    </row>
    <row r="48" spans="1:31" x14ac:dyDescent="0.3">
      <c r="A48" s="187" t="s">
        <v>105</v>
      </c>
      <c r="B48" s="1" t="s">
        <v>15</v>
      </c>
      <c r="C48" s="187" t="s">
        <v>242</v>
      </c>
      <c r="D48" s="1" t="s">
        <v>372</v>
      </c>
      <c r="E48" s="1" t="str">
        <f>Tabla13[[#This Row],[VAR]]&amp;Tabla13[[#This Row],[LOTE]]</f>
        <v>TMB06</v>
      </c>
      <c r="F48" s="186" t="s">
        <v>376</v>
      </c>
      <c r="G48" s="1" t="s">
        <v>349</v>
      </c>
      <c r="H48" s="1">
        <v>2023</v>
      </c>
      <c r="I48" s="4">
        <v>2131.9191919191921</v>
      </c>
      <c r="J48" s="2">
        <f t="shared" si="1"/>
        <v>14.85</v>
      </c>
      <c r="K48" s="2">
        <f t="shared" si="1"/>
        <v>14.3</v>
      </c>
      <c r="L48" s="2">
        <f t="shared" si="1"/>
        <v>0.52</v>
      </c>
      <c r="M48" s="2">
        <f t="shared" si="1"/>
        <v>0.03</v>
      </c>
      <c r="N48" s="3">
        <v>31659</v>
      </c>
      <c r="O48" s="3">
        <v>30486.444444444449</v>
      </c>
      <c r="P48" s="3">
        <v>1108</v>
      </c>
      <c r="Q48" s="3">
        <f>Tabla13[[#This Row],[Total Espacios Censo]]-Tabla13[[#This Row],[Pltas. Prod. Censo]]-Tabla13[[#This Row],[Pltas Formación Censo]]</f>
        <v>64.555555555551109</v>
      </c>
      <c r="R48" s="95">
        <v>1.33</v>
      </c>
      <c r="S48" s="95">
        <v>3.5</v>
      </c>
      <c r="T48" s="2" t="s">
        <v>7</v>
      </c>
      <c r="U48" s="99">
        <v>42833</v>
      </c>
      <c r="V48" s="5">
        <v>6</v>
      </c>
      <c r="W48" s="1" t="s">
        <v>12</v>
      </c>
      <c r="X48" s="1"/>
      <c r="Y48" s="1"/>
      <c r="Z48" s="1"/>
      <c r="AA48" s="1"/>
      <c r="AB48" s="1"/>
      <c r="AC48" s="1"/>
      <c r="AD48" s="102" t="s">
        <v>203</v>
      </c>
      <c r="AE48" s="75" t="s">
        <v>9</v>
      </c>
    </row>
    <row r="49" spans="1:31" x14ac:dyDescent="0.3">
      <c r="A49" s="187" t="s">
        <v>105</v>
      </c>
      <c r="B49" s="1" t="s">
        <v>16</v>
      </c>
      <c r="C49" s="187" t="s">
        <v>242</v>
      </c>
      <c r="D49" s="1" t="s">
        <v>372</v>
      </c>
      <c r="E49" s="1" t="str">
        <f>Tabla13[[#This Row],[VAR]]&amp;Tabla13[[#This Row],[LOTE]]</f>
        <v>TMC04</v>
      </c>
      <c r="F49" s="186" t="s">
        <v>377</v>
      </c>
      <c r="G49" s="1" t="s">
        <v>349</v>
      </c>
      <c r="H49" s="1">
        <v>2023</v>
      </c>
      <c r="I49" s="4">
        <v>2070</v>
      </c>
      <c r="J49" s="2">
        <f t="shared" si="1"/>
        <v>14.99</v>
      </c>
      <c r="K49" s="2">
        <f t="shared" si="1"/>
        <v>13.53</v>
      </c>
      <c r="L49" s="2">
        <f t="shared" si="1"/>
        <v>1.1299999999999999</v>
      </c>
      <c r="M49" s="2">
        <f t="shared" si="1"/>
        <v>0.33</v>
      </c>
      <c r="N49" s="3">
        <v>31036</v>
      </c>
      <c r="O49" s="3">
        <v>28001</v>
      </c>
      <c r="P49" s="3">
        <v>2348</v>
      </c>
      <c r="Q49" s="3">
        <f>Tabla13[[#This Row],[Total Espacios Censo]]-Tabla13[[#This Row],[Pltas. Prod. Censo]]-Tabla13[[#This Row],[Pltas Formación Censo]]</f>
        <v>687</v>
      </c>
      <c r="R49" s="95">
        <v>1.6</v>
      </c>
      <c r="S49" s="95">
        <v>3.5</v>
      </c>
      <c r="T49" s="2" t="s">
        <v>7</v>
      </c>
      <c r="U49" s="99">
        <v>43087</v>
      </c>
      <c r="V49" s="5">
        <v>6</v>
      </c>
      <c r="W49" s="1" t="s">
        <v>12</v>
      </c>
      <c r="X49" s="1"/>
      <c r="Y49" s="1"/>
      <c r="Z49" s="1"/>
      <c r="AA49" s="1"/>
      <c r="AB49" s="1"/>
      <c r="AC49" s="1"/>
      <c r="AD49" s="102" t="s">
        <v>204</v>
      </c>
      <c r="AE49" s="75" t="s">
        <v>9</v>
      </c>
    </row>
    <row r="50" spans="1:31" x14ac:dyDescent="0.3">
      <c r="A50" s="187" t="s">
        <v>105</v>
      </c>
      <c r="B50" s="1" t="s">
        <v>18</v>
      </c>
      <c r="C50" s="187" t="s">
        <v>242</v>
      </c>
      <c r="D50" s="1" t="s">
        <v>372</v>
      </c>
      <c r="E50" s="1" t="str">
        <f>Tabla13[[#This Row],[VAR]]&amp;Tabla13[[#This Row],[LOTE]]</f>
        <v>TMC05</v>
      </c>
      <c r="F50" s="186" t="s">
        <v>377</v>
      </c>
      <c r="G50" s="1" t="s">
        <v>349</v>
      </c>
      <c r="H50" s="1">
        <v>2023</v>
      </c>
      <c r="I50" s="4">
        <v>2070</v>
      </c>
      <c r="J50" s="2">
        <f t="shared" si="1"/>
        <v>14.99</v>
      </c>
      <c r="K50" s="2">
        <f t="shared" si="1"/>
        <v>14.98</v>
      </c>
      <c r="L50" s="2">
        <f t="shared" si="1"/>
        <v>0</v>
      </c>
      <c r="M50" s="2">
        <f t="shared" si="1"/>
        <v>0.01</v>
      </c>
      <c r="N50" s="3">
        <v>31038</v>
      </c>
      <c r="O50" s="3">
        <v>31017.307999999997</v>
      </c>
      <c r="P50" s="3">
        <v>10</v>
      </c>
      <c r="Q50" s="3">
        <f>Tabla13[[#This Row],[Total Espacios Censo]]-Tabla13[[#This Row],[Pltas. Prod. Censo]]-Tabla13[[#This Row],[Pltas Formación Censo]]</f>
        <v>10.692000000002736</v>
      </c>
      <c r="R50" s="95">
        <v>1.6</v>
      </c>
      <c r="S50" s="95">
        <v>3.5</v>
      </c>
      <c r="T50" s="2" t="s">
        <v>7</v>
      </c>
      <c r="U50" s="99">
        <v>43088</v>
      </c>
      <c r="V50" s="5">
        <v>6</v>
      </c>
      <c r="W50" s="1" t="s">
        <v>12</v>
      </c>
      <c r="X50" s="1"/>
      <c r="Y50" s="1"/>
      <c r="Z50" s="1"/>
      <c r="AA50" s="1"/>
      <c r="AB50" s="1"/>
      <c r="AC50" s="1"/>
      <c r="AD50" s="102" t="s">
        <v>399</v>
      </c>
      <c r="AE50" s="75" t="s">
        <v>9</v>
      </c>
    </row>
    <row r="51" spans="1:31" x14ac:dyDescent="0.3">
      <c r="A51" s="187" t="s">
        <v>105</v>
      </c>
      <c r="B51" s="1" t="s">
        <v>19</v>
      </c>
      <c r="C51" s="187" t="s">
        <v>242</v>
      </c>
      <c r="D51" s="1" t="s">
        <v>372</v>
      </c>
      <c r="E51" s="1" t="str">
        <f>Tabla13[[#This Row],[VAR]]&amp;Tabla13[[#This Row],[LOTE]]</f>
        <v>TMC06</v>
      </c>
      <c r="F51" s="186" t="s">
        <v>377</v>
      </c>
      <c r="G51" s="1" t="s">
        <v>349</v>
      </c>
      <c r="H51" s="1">
        <v>2023</v>
      </c>
      <c r="I51" s="4">
        <v>2070</v>
      </c>
      <c r="J51" s="2">
        <f t="shared" si="1"/>
        <v>12.8</v>
      </c>
      <c r="K51" s="2">
        <f t="shared" si="1"/>
        <v>12.65</v>
      </c>
      <c r="L51" s="2">
        <f t="shared" si="1"/>
        <v>0.1</v>
      </c>
      <c r="M51" s="2">
        <f t="shared" si="1"/>
        <v>0.04</v>
      </c>
      <c r="N51" s="3">
        <v>26486</v>
      </c>
      <c r="O51" s="3">
        <v>26187</v>
      </c>
      <c r="P51" s="3">
        <v>217</v>
      </c>
      <c r="Q51" s="3">
        <f>Tabla13[[#This Row],[Total Espacios Censo]]-Tabla13[[#This Row],[Pltas. Prod. Censo]]-Tabla13[[#This Row],[Pltas Formación Censo]]</f>
        <v>82</v>
      </c>
      <c r="R51" s="95">
        <v>1.6</v>
      </c>
      <c r="S51" s="95">
        <v>3.5</v>
      </c>
      <c r="T51" s="2" t="s">
        <v>7</v>
      </c>
      <c r="U51" s="99">
        <v>42955</v>
      </c>
      <c r="V51" s="5">
        <v>6</v>
      </c>
      <c r="W51" s="1" t="s">
        <v>12</v>
      </c>
      <c r="X51" s="1"/>
      <c r="Y51" s="1"/>
      <c r="Z51" s="1"/>
      <c r="AA51" s="1"/>
      <c r="AB51" s="1"/>
      <c r="AC51" s="1"/>
      <c r="AD51" s="102" t="s">
        <v>205</v>
      </c>
      <c r="AE51" s="75" t="s">
        <v>9</v>
      </c>
    </row>
    <row r="52" spans="1:31" x14ac:dyDescent="0.3">
      <c r="A52" s="187" t="s">
        <v>105</v>
      </c>
      <c r="B52" s="1" t="s">
        <v>44</v>
      </c>
      <c r="C52" s="187" t="s">
        <v>242</v>
      </c>
      <c r="D52" s="1" t="s">
        <v>372</v>
      </c>
      <c r="E52" s="1" t="str">
        <f>Tabla13[[#This Row],[VAR]]&amp;Tabla13[[#This Row],[LOTE]]</f>
        <v>TMB04</v>
      </c>
      <c r="F52" s="186" t="s">
        <v>377</v>
      </c>
      <c r="G52" s="1" t="s">
        <v>349</v>
      </c>
      <c r="H52" s="1">
        <v>2023</v>
      </c>
      <c r="I52" s="4">
        <v>1780</v>
      </c>
      <c r="J52" s="2">
        <f t="shared" si="1"/>
        <v>14.69</v>
      </c>
      <c r="K52" s="2">
        <f t="shared" si="1"/>
        <v>12.55</v>
      </c>
      <c r="L52" s="2">
        <f t="shared" si="1"/>
        <v>1.58</v>
      </c>
      <c r="M52" s="2">
        <f t="shared" si="1"/>
        <v>0.55000000000000004</v>
      </c>
      <c r="N52" s="3">
        <v>26147</v>
      </c>
      <c r="O52" s="3">
        <v>22339</v>
      </c>
      <c r="P52" s="3">
        <v>2821</v>
      </c>
      <c r="Q52" s="3">
        <f>Tabla13[[#This Row],[Total Espacios Censo]]-Tabla13[[#This Row],[Pltas. Prod. Censo]]-Tabla13[[#This Row],[Pltas Formación Censo]]</f>
        <v>987</v>
      </c>
      <c r="R52" s="95">
        <v>1.6</v>
      </c>
      <c r="S52" s="95">
        <v>3.5</v>
      </c>
      <c r="T52" s="2" t="s">
        <v>7</v>
      </c>
      <c r="U52" s="99">
        <v>44778</v>
      </c>
      <c r="V52" s="5">
        <v>1</v>
      </c>
      <c r="W52" s="1" t="s">
        <v>12</v>
      </c>
      <c r="X52" s="99">
        <v>31656</v>
      </c>
      <c r="Y52" s="1">
        <f ca="1">INT(YEARFRAC(Tabla13[[#This Row],[Fecha nacimiento]],TODAY()))</f>
        <v>39</v>
      </c>
      <c r="Z52" s="1">
        <v>957800460</v>
      </c>
      <c r="AA52" s="1" t="s">
        <v>326</v>
      </c>
      <c r="AB52" s="1" t="s">
        <v>275</v>
      </c>
      <c r="AC52" s="1"/>
      <c r="AD52" s="102" t="s">
        <v>289</v>
      </c>
      <c r="AE52" s="75" t="s">
        <v>9</v>
      </c>
    </row>
    <row r="53" spans="1:31" x14ac:dyDescent="0.3">
      <c r="A53" s="186" t="s">
        <v>109</v>
      </c>
      <c r="B53" s="1" t="s">
        <v>59</v>
      </c>
      <c r="C53" s="186" t="s">
        <v>246</v>
      </c>
      <c r="D53" s="1" t="s">
        <v>372</v>
      </c>
      <c r="E53" s="1" t="str">
        <f>Tabla13[[#This Row],[VAR]]&amp;Tabla13[[#This Row],[LOTE]]</f>
        <v>CCB07</v>
      </c>
      <c r="F53" s="186" t="s">
        <v>376</v>
      </c>
      <c r="G53" s="1" t="s">
        <v>351</v>
      </c>
      <c r="H53" s="1">
        <v>2023</v>
      </c>
      <c r="I53" s="4">
        <v>1905</v>
      </c>
      <c r="J53" s="2">
        <f t="shared" si="1"/>
        <v>7.21</v>
      </c>
      <c r="K53" s="2">
        <f t="shared" si="1"/>
        <v>6.9</v>
      </c>
      <c r="L53" s="2">
        <f t="shared" si="1"/>
        <v>0.01</v>
      </c>
      <c r="M53" s="2">
        <f t="shared" si="1"/>
        <v>0.31</v>
      </c>
      <c r="N53" s="3">
        <v>13740</v>
      </c>
      <c r="O53" s="3">
        <v>13144.5</v>
      </c>
      <c r="P53" s="3">
        <v>12</v>
      </c>
      <c r="Q53" s="3">
        <f>Tabla13[[#This Row],[Total Espacios Censo]]-Tabla13[[#This Row],[Pltas. Prod. Censo]]-Tabla13[[#This Row],[Pltas Formación Censo]]</f>
        <v>583.5</v>
      </c>
      <c r="R53" s="95">
        <v>1.6</v>
      </c>
      <c r="S53" s="95">
        <v>3.5</v>
      </c>
      <c r="T53" s="2" t="s">
        <v>7</v>
      </c>
      <c r="U53" s="99">
        <v>43442</v>
      </c>
      <c r="V53" s="5">
        <v>5</v>
      </c>
      <c r="W53" s="1" t="s">
        <v>8</v>
      </c>
      <c r="X53" s="99">
        <v>33157</v>
      </c>
      <c r="Y53" s="1">
        <f ca="1">INT(YEARFRAC(Tabla13[[#This Row],[Fecha nacimiento]],TODAY()))</f>
        <v>35</v>
      </c>
      <c r="Z53" s="1">
        <v>949903628</v>
      </c>
      <c r="AA53" s="1" t="s">
        <v>297</v>
      </c>
      <c r="AB53" s="1" t="s">
        <v>275</v>
      </c>
      <c r="AC53" s="1"/>
      <c r="AD53" s="102" t="s">
        <v>206</v>
      </c>
      <c r="AE53" s="75" t="s">
        <v>9</v>
      </c>
    </row>
    <row r="54" spans="1:31" x14ac:dyDescent="0.3">
      <c r="A54" s="186" t="s">
        <v>109</v>
      </c>
      <c r="B54" s="1" t="s">
        <v>60</v>
      </c>
      <c r="C54" s="186" t="s">
        <v>246</v>
      </c>
      <c r="D54" s="1" t="s">
        <v>372</v>
      </c>
      <c r="E54" s="1" t="str">
        <f>Tabla13[[#This Row],[VAR]]&amp;Tabla13[[#This Row],[LOTE]]</f>
        <v>CCC07</v>
      </c>
      <c r="F54" s="186" t="s">
        <v>376</v>
      </c>
      <c r="G54" s="1" t="s">
        <v>351</v>
      </c>
      <c r="H54" s="1">
        <v>2023</v>
      </c>
      <c r="I54" s="4">
        <v>1905</v>
      </c>
      <c r="J54" s="2">
        <f t="shared" si="1"/>
        <v>3.77</v>
      </c>
      <c r="K54" s="2">
        <f t="shared" si="1"/>
        <v>3.59</v>
      </c>
      <c r="L54" s="2">
        <f t="shared" si="1"/>
        <v>0.04</v>
      </c>
      <c r="M54" s="2">
        <f t="shared" si="1"/>
        <v>0.13</v>
      </c>
      <c r="N54" s="3">
        <v>7176</v>
      </c>
      <c r="O54" s="3">
        <v>6838.95</v>
      </c>
      <c r="P54" s="3">
        <v>84</v>
      </c>
      <c r="Q54" s="3">
        <f>Tabla13[[#This Row],[Total Espacios Censo]]-Tabla13[[#This Row],[Pltas. Prod. Censo]]-Tabla13[[#This Row],[Pltas Formación Censo]]</f>
        <v>253.05000000000018</v>
      </c>
      <c r="R54" s="95">
        <v>1.6</v>
      </c>
      <c r="S54" s="95">
        <v>3.5</v>
      </c>
      <c r="T54" s="2" t="s">
        <v>7</v>
      </c>
      <c r="U54" s="99">
        <v>43444</v>
      </c>
      <c r="V54" s="5" t="s">
        <v>250</v>
      </c>
      <c r="W54" s="1" t="s">
        <v>8</v>
      </c>
      <c r="X54" s="99">
        <v>33157</v>
      </c>
      <c r="Y54" s="1">
        <f ca="1">INT(YEARFRAC(Tabla13[[#This Row],[Fecha nacimiento]],TODAY()))</f>
        <v>35</v>
      </c>
      <c r="Z54" s="1">
        <v>949903628</v>
      </c>
      <c r="AA54" s="1" t="s">
        <v>297</v>
      </c>
      <c r="AB54" s="1" t="s">
        <v>275</v>
      </c>
      <c r="AC54" s="1"/>
      <c r="AD54" s="102" t="s">
        <v>206</v>
      </c>
      <c r="AE54" s="75" t="s">
        <v>9</v>
      </c>
    </row>
    <row r="55" spans="1:31" hidden="1" x14ac:dyDescent="0.3">
      <c r="A55" s="186" t="s">
        <v>117</v>
      </c>
      <c r="B55" s="1" t="s">
        <v>45</v>
      </c>
      <c r="C55" s="186" t="s">
        <v>243</v>
      </c>
      <c r="D55" s="1" t="s">
        <v>136</v>
      </c>
      <c r="E55" s="1" t="str">
        <f>Tabla13[[#This Row],[VAR]]&amp;Tabla13[[#This Row],[LOTE]]</f>
        <v>CHB13</v>
      </c>
      <c r="F55" s="186" t="s">
        <v>377</v>
      </c>
      <c r="G55" s="1" t="s">
        <v>351</v>
      </c>
      <c r="H55" s="1">
        <v>2023</v>
      </c>
      <c r="I55" s="4">
        <v>1905</v>
      </c>
      <c r="J55" s="2">
        <f t="shared" si="1"/>
        <v>8.36</v>
      </c>
      <c r="K55" s="2">
        <f t="shared" si="1"/>
        <v>0</v>
      </c>
      <c r="L55" s="2">
        <f t="shared" si="1"/>
        <v>8.36</v>
      </c>
      <c r="M55" s="2">
        <f t="shared" si="1"/>
        <v>0</v>
      </c>
      <c r="N55" s="3">
        <v>15921</v>
      </c>
      <c r="O55" s="3">
        <v>0</v>
      </c>
      <c r="P55" s="3">
        <v>15921</v>
      </c>
      <c r="Q55" s="3">
        <f>Tabla13[[#This Row],[Total Espacios Censo]]-Tabla13[[#This Row],[Pltas. Prod. Censo]]-Tabla13[[#This Row],[Pltas Formación Censo]]</f>
        <v>0</v>
      </c>
      <c r="R55" s="95">
        <v>1.6</v>
      </c>
      <c r="S55" s="95">
        <v>3.5</v>
      </c>
      <c r="T55" s="2" t="s">
        <v>366</v>
      </c>
      <c r="U55" s="99">
        <v>45133</v>
      </c>
      <c r="V55" s="5">
        <v>0</v>
      </c>
      <c r="W55" s="1" t="s">
        <v>12</v>
      </c>
      <c r="X55" s="99">
        <v>34866</v>
      </c>
      <c r="Y55" s="1">
        <f ca="1">INT(YEARFRAC(Tabla13[[#This Row],[Fecha nacimiento]],TODAY()))</f>
        <v>31</v>
      </c>
      <c r="Z55" s="1">
        <v>937236386</v>
      </c>
      <c r="AA55" s="1" t="s">
        <v>331</v>
      </c>
      <c r="AB55" s="1" t="s">
        <v>268</v>
      </c>
      <c r="AC55" s="1" t="s">
        <v>332</v>
      </c>
      <c r="AD55" s="102" t="s">
        <v>400</v>
      </c>
      <c r="AE55" s="75" t="s">
        <v>27</v>
      </c>
    </row>
    <row r="56" spans="1:31" hidden="1" x14ac:dyDescent="0.3">
      <c r="A56" s="186" t="s">
        <v>117</v>
      </c>
      <c r="B56" s="1" t="s">
        <v>47</v>
      </c>
      <c r="C56" s="186" t="s">
        <v>243</v>
      </c>
      <c r="D56" s="1" t="s">
        <v>136</v>
      </c>
      <c r="E56" s="1" t="str">
        <f>Tabla13[[#This Row],[VAR]]&amp;Tabla13[[#This Row],[LOTE]]</f>
        <v>CHB14</v>
      </c>
      <c r="F56" s="186" t="s">
        <v>377</v>
      </c>
      <c r="G56" s="1" t="s">
        <v>351</v>
      </c>
      <c r="H56" s="1">
        <v>2023</v>
      </c>
      <c r="I56" s="4">
        <v>1905</v>
      </c>
      <c r="J56" s="2">
        <f t="shared" si="1"/>
        <v>8.99</v>
      </c>
      <c r="K56" s="2">
        <f t="shared" si="1"/>
        <v>0</v>
      </c>
      <c r="L56" s="2">
        <f t="shared" si="1"/>
        <v>8.99</v>
      </c>
      <c r="M56" s="2">
        <f t="shared" si="1"/>
        <v>0</v>
      </c>
      <c r="N56" s="3">
        <v>17129</v>
      </c>
      <c r="O56" s="3">
        <v>0</v>
      </c>
      <c r="P56" s="3">
        <v>17129</v>
      </c>
      <c r="Q56" s="3">
        <f>Tabla13[[#This Row],[Total Espacios Censo]]-Tabla13[[#This Row],[Pltas. Prod. Censo]]-Tabla13[[#This Row],[Pltas Formación Censo]]</f>
        <v>0</v>
      </c>
      <c r="R56" s="95">
        <v>1.6</v>
      </c>
      <c r="S56" s="95">
        <v>3.5</v>
      </c>
      <c r="T56" s="2" t="s">
        <v>366</v>
      </c>
      <c r="U56" s="99">
        <v>45141</v>
      </c>
      <c r="V56" s="5">
        <v>0</v>
      </c>
      <c r="W56" s="1" t="s">
        <v>12</v>
      </c>
      <c r="X56" s="99">
        <v>34866</v>
      </c>
      <c r="Y56" s="1">
        <f ca="1">INT(YEARFRAC(Tabla13[[#This Row],[Fecha nacimiento]],TODAY()))</f>
        <v>31</v>
      </c>
      <c r="Z56" s="1">
        <v>937236386</v>
      </c>
      <c r="AA56" s="1" t="s">
        <v>331</v>
      </c>
      <c r="AB56" s="1" t="s">
        <v>268</v>
      </c>
      <c r="AC56" s="1" t="s">
        <v>332</v>
      </c>
      <c r="AD56" s="102" t="s">
        <v>400</v>
      </c>
      <c r="AE56" s="75" t="s">
        <v>27</v>
      </c>
    </row>
    <row r="57" spans="1:31" hidden="1" x14ac:dyDescent="0.3">
      <c r="A57" s="186" t="s">
        <v>112</v>
      </c>
      <c r="B57" s="1" t="s">
        <v>83</v>
      </c>
      <c r="C57" s="186" t="s">
        <v>247</v>
      </c>
      <c r="D57" s="1" t="s">
        <v>136</v>
      </c>
      <c r="E57" s="1" t="str">
        <f>Tabla13[[#This Row],[VAR]]&amp;Tabla13[[#This Row],[LOTE]]</f>
        <v>SCC12</v>
      </c>
      <c r="F57" s="186" t="s">
        <v>379</v>
      </c>
      <c r="G57" s="1" t="s">
        <v>351</v>
      </c>
      <c r="H57" s="1">
        <v>2023</v>
      </c>
      <c r="I57" s="4">
        <v>1632</v>
      </c>
      <c r="J57" s="2">
        <f t="shared" si="1"/>
        <v>11.59</v>
      </c>
      <c r="K57" s="2">
        <f t="shared" si="1"/>
        <v>10.58</v>
      </c>
      <c r="L57" s="2">
        <f t="shared" si="1"/>
        <v>0.46</v>
      </c>
      <c r="M57" s="2">
        <f t="shared" si="1"/>
        <v>0.55000000000000004</v>
      </c>
      <c r="N57" s="3">
        <v>18922</v>
      </c>
      <c r="O57" s="3">
        <v>17265</v>
      </c>
      <c r="P57" s="3">
        <v>753</v>
      </c>
      <c r="Q57" s="3">
        <f>Tabla13[[#This Row],[Total Espacios Censo]]-Tabla13[[#This Row],[Pltas. Prod. Censo]]-Tabla13[[#This Row],[Pltas Formación Censo]]</f>
        <v>904</v>
      </c>
      <c r="R57" s="95">
        <v>1.75</v>
      </c>
      <c r="S57" s="95">
        <v>3.5</v>
      </c>
      <c r="T57" s="2" t="s">
        <v>7</v>
      </c>
      <c r="U57" s="99">
        <v>42639</v>
      </c>
      <c r="V57" s="5">
        <v>7</v>
      </c>
      <c r="W57" s="1" t="s">
        <v>12</v>
      </c>
      <c r="X57" s="99">
        <v>34587</v>
      </c>
      <c r="Y57" s="1">
        <f ca="1">INT(YEARFRAC(Tabla13[[#This Row],[Fecha nacimiento]],TODAY()))</f>
        <v>31</v>
      </c>
      <c r="Z57" s="1">
        <v>912494688</v>
      </c>
      <c r="AA57" s="1" t="s">
        <v>322</v>
      </c>
      <c r="AB57" s="1" t="s">
        <v>301</v>
      </c>
      <c r="AC57" s="1" t="s">
        <v>323</v>
      </c>
      <c r="AD57" s="102" t="s">
        <v>321</v>
      </c>
      <c r="AE57" s="75" t="s">
        <v>27</v>
      </c>
    </row>
    <row r="58" spans="1:31" hidden="1" x14ac:dyDescent="0.3">
      <c r="A58" s="186" t="s">
        <v>112</v>
      </c>
      <c r="B58" s="1" t="s">
        <v>84</v>
      </c>
      <c r="C58" s="186" t="s">
        <v>247</v>
      </c>
      <c r="D58" s="1" t="s">
        <v>136</v>
      </c>
      <c r="E58" s="1" t="str">
        <f>Tabla13[[#This Row],[VAR]]&amp;Tabla13[[#This Row],[LOTE]]</f>
        <v>SCC13</v>
      </c>
      <c r="F58" s="186" t="s">
        <v>379</v>
      </c>
      <c r="G58" s="1" t="s">
        <v>351</v>
      </c>
      <c r="H58" s="1">
        <v>2023</v>
      </c>
      <c r="I58" s="4">
        <v>1632</v>
      </c>
      <c r="J58" s="2">
        <f t="shared" si="1"/>
        <v>15.24</v>
      </c>
      <c r="K58" s="2">
        <f t="shared" si="1"/>
        <v>10.93</v>
      </c>
      <c r="L58" s="2">
        <f t="shared" si="1"/>
        <v>1.1100000000000001</v>
      </c>
      <c r="M58" s="2">
        <f t="shared" si="1"/>
        <v>3.2</v>
      </c>
      <c r="N58" s="3">
        <v>24864</v>
      </c>
      <c r="O58" s="3">
        <v>17835</v>
      </c>
      <c r="P58" s="3">
        <v>1807</v>
      </c>
      <c r="Q58" s="3">
        <f>Tabla13[[#This Row],[Total Espacios Censo]]-Tabla13[[#This Row],[Pltas. Prod. Censo]]-Tabla13[[#This Row],[Pltas Formación Censo]]</f>
        <v>5222</v>
      </c>
      <c r="R58" s="95">
        <v>1.75</v>
      </c>
      <c r="S58" s="95">
        <v>3.5</v>
      </c>
      <c r="T58" s="2" t="s">
        <v>7</v>
      </c>
      <c r="U58" s="99">
        <v>42640</v>
      </c>
      <c r="V58" s="5">
        <v>7</v>
      </c>
      <c r="W58" s="1" t="s">
        <v>12</v>
      </c>
      <c r="X58" s="99">
        <v>34587</v>
      </c>
      <c r="Y58" s="1">
        <f ca="1">INT(YEARFRAC(Tabla13[[#This Row],[Fecha nacimiento]],TODAY()))</f>
        <v>31</v>
      </c>
      <c r="Z58" s="1">
        <v>912494688</v>
      </c>
      <c r="AA58" s="1" t="s">
        <v>322</v>
      </c>
      <c r="AB58" s="1" t="s">
        <v>301</v>
      </c>
      <c r="AC58" s="1" t="s">
        <v>323</v>
      </c>
      <c r="AD58" s="102" t="s">
        <v>321</v>
      </c>
      <c r="AE58" s="75" t="s">
        <v>27</v>
      </c>
    </row>
    <row r="59" spans="1:31" hidden="1" x14ac:dyDescent="0.3">
      <c r="A59" s="186" t="s">
        <v>112</v>
      </c>
      <c r="B59" s="1" t="s">
        <v>85</v>
      </c>
      <c r="C59" s="186" t="s">
        <v>247</v>
      </c>
      <c r="D59" s="1" t="s">
        <v>136</v>
      </c>
      <c r="E59" s="1" t="str">
        <f>Tabla13[[#This Row],[VAR]]&amp;Tabla13[[#This Row],[LOTE]]</f>
        <v>SCC14</v>
      </c>
      <c r="F59" s="186" t="s">
        <v>380</v>
      </c>
      <c r="G59" s="1" t="s">
        <v>351</v>
      </c>
      <c r="H59" s="1">
        <v>2023</v>
      </c>
      <c r="I59" s="4">
        <v>1632</v>
      </c>
      <c r="J59" s="2">
        <f t="shared" si="1"/>
        <v>15.17</v>
      </c>
      <c r="K59" s="2">
        <f t="shared" si="1"/>
        <v>12.15</v>
      </c>
      <c r="L59" s="2">
        <f t="shared" si="1"/>
        <v>0.85</v>
      </c>
      <c r="M59" s="2">
        <f t="shared" si="1"/>
        <v>2.16</v>
      </c>
      <c r="N59" s="3">
        <v>24753</v>
      </c>
      <c r="O59" s="3">
        <v>19836</v>
      </c>
      <c r="P59" s="3">
        <v>1389</v>
      </c>
      <c r="Q59" s="3">
        <f>Tabla13[[#This Row],[Total Espacios Censo]]-Tabla13[[#This Row],[Pltas. Prod. Censo]]-Tabla13[[#This Row],[Pltas Formación Censo]]</f>
        <v>3528</v>
      </c>
      <c r="R59" s="95">
        <v>1.75</v>
      </c>
      <c r="S59" s="95">
        <v>3.5</v>
      </c>
      <c r="T59" s="2" t="s">
        <v>7</v>
      </c>
      <c r="U59" s="99">
        <v>42641</v>
      </c>
      <c r="V59" s="5">
        <v>7</v>
      </c>
      <c r="W59" s="1" t="s">
        <v>12</v>
      </c>
      <c r="X59" s="99">
        <v>32070</v>
      </c>
      <c r="Y59" s="1">
        <f ca="1">INT(YEARFRAC(Tabla13[[#This Row],[Fecha nacimiento]],TODAY()))</f>
        <v>38</v>
      </c>
      <c r="Z59" s="1">
        <v>990917172</v>
      </c>
      <c r="AA59" s="1" t="s">
        <v>335</v>
      </c>
      <c r="AB59" s="1" t="s">
        <v>275</v>
      </c>
      <c r="AC59" s="1"/>
      <c r="AD59" s="102" t="s">
        <v>334</v>
      </c>
      <c r="AE59" s="75" t="s">
        <v>27</v>
      </c>
    </row>
    <row r="60" spans="1:31" hidden="1" x14ac:dyDescent="0.3">
      <c r="A60" s="186" t="s">
        <v>112</v>
      </c>
      <c r="B60" s="1" t="s">
        <v>86</v>
      </c>
      <c r="C60" s="186" t="s">
        <v>247</v>
      </c>
      <c r="D60" s="1" t="s">
        <v>136</v>
      </c>
      <c r="E60" s="1" t="str">
        <f>Tabla13[[#This Row],[VAR]]&amp;Tabla13[[#This Row],[LOTE]]</f>
        <v>SCC15</v>
      </c>
      <c r="F60" s="186" t="s">
        <v>381</v>
      </c>
      <c r="G60" s="1" t="s">
        <v>351</v>
      </c>
      <c r="H60" s="1">
        <v>2023</v>
      </c>
      <c r="I60" s="4">
        <v>1632</v>
      </c>
      <c r="J60" s="2">
        <f t="shared" si="1"/>
        <v>13.75</v>
      </c>
      <c r="K60" s="2">
        <f t="shared" si="1"/>
        <v>12.92</v>
      </c>
      <c r="L60" s="2">
        <f t="shared" si="1"/>
        <v>0.59</v>
      </c>
      <c r="M60" s="2">
        <f t="shared" si="1"/>
        <v>0.24</v>
      </c>
      <c r="N60" s="3">
        <v>22441</v>
      </c>
      <c r="O60" s="3">
        <v>21091</v>
      </c>
      <c r="P60" s="3">
        <v>965</v>
      </c>
      <c r="Q60" s="3">
        <f>Tabla13[[#This Row],[Total Espacios Censo]]-Tabla13[[#This Row],[Pltas. Prod. Censo]]-Tabla13[[#This Row],[Pltas Formación Censo]]</f>
        <v>385</v>
      </c>
      <c r="R60" s="95">
        <v>1.75</v>
      </c>
      <c r="S60" s="95">
        <v>3.5</v>
      </c>
      <c r="T60" s="2" t="s">
        <v>7</v>
      </c>
      <c r="U60" s="99">
        <v>42642</v>
      </c>
      <c r="V60" s="5">
        <v>7</v>
      </c>
      <c r="W60" s="1" t="s">
        <v>12</v>
      </c>
      <c r="X60" s="99">
        <v>32070</v>
      </c>
      <c r="Y60" s="1">
        <f ca="1">INT(YEARFRAC(Tabla13[[#This Row],[Fecha nacimiento]],TODAY()))</f>
        <v>38</v>
      </c>
      <c r="Z60" s="1">
        <v>990917172</v>
      </c>
      <c r="AA60" s="1" t="s">
        <v>335</v>
      </c>
      <c r="AB60" s="1" t="s">
        <v>275</v>
      </c>
      <c r="AC60" s="1"/>
      <c r="AD60" s="102" t="s">
        <v>334</v>
      </c>
      <c r="AE60" s="75" t="s">
        <v>27</v>
      </c>
    </row>
    <row r="61" spans="1:31" hidden="1" x14ac:dyDescent="0.3">
      <c r="A61" s="186" t="s">
        <v>112</v>
      </c>
      <c r="B61" s="1" t="s">
        <v>87</v>
      </c>
      <c r="C61" s="186" t="s">
        <v>247</v>
      </c>
      <c r="D61" s="1" t="s">
        <v>136</v>
      </c>
      <c r="E61" s="1" t="str">
        <f>Tabla13[[#This Row],[VAR]]&amp;Tabla13[[#This Row],[LOTE]]</f>
        <v>SCB12</v>
      </c>
      <c r="F61" s="186" t="s">
        <v>382</v>
      </c>
      <c r="G61" s="1" t="s">
        <v>351</v>
      </c>
      <c r="H61" s="1">
        <v>2023</v>
      </c>
      <c r="I61" s="4">
        <v>1587</v>
      </c>
      <c r="J61" s="2">
        <f t="shared" si="1"/>
        <v>6.4</v>
      </c>
      <c r="K61" s="2">
        <f t="shared" si="1"/>
        <v>5.8</v>
      </c>
      <c r="L61" s="2">
        <f t="shared" si="1"/>
        <v>0.46</v>
      </c>
      <c r="M61" s="2">
        <f t="shared" si="1"/>
        <v>0.14000000000000001</v>
      </c>
      <c r="N61" s="3">
        <v>10150</v>
      </c>
      <c r="O61" s="3">
        <v>9211</v>
      </c>
      <c r="P61" s="3">
        <v>724</v>
      </c>
      <c r="Q61" s="3">
        <f>Tabla13[[#This Row],[Total Espacios Censo]]-Tabla13[[#This Row],[Pltas. Prod. Censo]]-Tabla13[[#This Row],[Pltas Formación Censo]]</f>
        <v>215</v>
      </c>
      <c r="R61" s="95">
        <v>1.75</v>
      </c>
      <c r="S61" s="95">
        <v>3.5</v>
      </c>
      <c r="T61" s="2" t="s">
        <v>7</v>
      </c>
      <c r="U61" s="99">
        <v>41418</v>
      </c>
      <c r="V61" s="5">
        <v>4</v>
      </c>
      <c r="W61" s="1" t="s">
        <v>12</v>
      </c>
      <c r="X61" s="99">
        <v>34866</v>
      </c>
      <c r="Y61" s="1">
        <f ca="1">INT(YEARFRAC(Tabla13[[#This Row],[Fecha nacimiento]],TODAY()))</f>
        <v>31</v>
      </c>
      <c r="Z61" s="1">
        <v>937236386</v>
      </c>
      <c r="AA61" s="1" t="s">
        <v>331</v>
      </c>
      <c r="AB61" s="1" t="s">
        <v>268</v>
      </c>
      <c r="AC61" s="1" t="s">
        <v>332</v>
      </c>
      <c r="AD61" s="102" t="s">
        <v>400</v>
      </c>
      <c r="AE61" s="75" t="s">
        <v>27</v>
      </c>
    </row>
    <row r="62" spans="1:31" hidden="1" x14ac:dyDescent="0.3">
      <c r="A62" s="186" t="s">
        <v>163</v>
      </c>
      <c r="B62" s="1" t="s">
        <v>99</v>
      </c>
      <c r="C62" s="186" t="s">
        <v>245</v>
      </c>
      <c r="D62" s="1" t="s">
        <v>136</v>
      </c>
      <c r="E62" s="1" t="str">
        <f>Tabla13[[#This Row],[VAR]]&amp;Tabla13[[#This Row],[LOTE]]</f>
        <v>ACA12</v>
      </c>
      <c r="F62" s="186" t="s">
        <v>377</v>
      </c>
      <c r="G62" s="1" t="s">
        <v>388</v>
      </c>
      <c r="H62" s="1">
        <v>2023</v>
      </c>
      <c r="I62" s="8">
        <v>1754</v>
      </c>
      <c r="J62" s="2">
        <f t="shared" si="1"/>
        <v>19.73</v>
      </c>
      <c r="K62" s="2">
        <f t="shared" si="1"/>
        <v>13.65</v>
      </c>
      <c r="L62" s="2">
        <f t="shared" si="1"/>
        <v>4.78</v>
      </c>
      <c r="M62" s="2">
        <f t="shared" si="1"/>
        <v>1.3</v>
      </c>
      <c r="N62" s="3">
        <v>34601</v>
      </c>
      <c r="O62" s="3">
        <v>23942.100000000002</v>
      </c>
      <c r="P62" s="3">
        <v>8376</v>
      </c>
      <c r="Q62" s="3">
        <f>Tabla13[[#This Row],[Total Espacios Censo]]-Tabla13[[#This Row],[Pltas. Prod. Censo]]-Tabla13[[#This Row],[Pltas Formación Censo]]</f>
        <v>2282.8999999999978</v>
      </c>
      <c r="R62" s="95">
        <v>1.5</v>
      </c>
      <c r="S62" s="95">
        <v>3.8</v>
      </c>
      <c r="T62" s="2" t="s">
        <v>7</v>
      </c>
      <c r="U62" s="99">
        <v>44809</v>
      </c>
      <c r="V62" s="5">
        <v>1</v>
      </c>
      <c r="W62" s="1" t="s">
        <v>8</v>
      </c>
      <c r="X62" s="99">
        <v>32826</v>
      </c>
      <c r="Y62" s="1">
        <f ca="1">INT(YEARFRAC(Tabla13[[#This Row],[Fecha nacimiento]],TODAY()))</f>
        <v>36</v>
      </c>
      <c r="Z62" s="1">
        <v>964673857</v>
      </c>
      <c r="AA62" s="1" t="s">
        <v>336</v>
      </c>
      <c r="AB62" s="1" t="s">
        <v>301</v>
      </c>
      <c r="AC62" s="1" t="s">
        <v>337</v>
      </c>
      <c r="AD62" s="102" t="s">
        <v>401</v>
      </c>
      <c r="AE62" s="75" t="s">
        <v>27</v>
      </c>
    </row>
    <row r="63" spans="1:31" hidden="1" x14ac:dyDescent="0.3">
      <c r="A63" s="186" t="s">
        <v>163</v>
      </c>
      <c r="B63" s="1" t="s">
        <v>100</v>
      </c>
      <c r="C63" s="186" t="s">
        <v>245</v>
      </c>
      <c r="D63" s="1" t="s">
        <v>136</v>
      </c>
      <c r="E63" s="1" t="str">
        <f>Tabla13[[#This Row],[VAR]]&amp;Tabla13[[#This Row],[LOTE]]</f>
        <v>ACA13</v>
      </c>
      <c r="F63" s="186" t="s">
        <v>377</v>
      </c>
      <c r="G63" s="1" t="s">
        <v>388</v>
      </c>
      <c r="H63" s="1">
        <v>2023</v>
      </c>
      <c r="I63" s="8">
        <v>1754</v>
      </c>
      <c r="J63" s="2">
        <f t="shared" si="1"/>
        <v>6.72</v>
      </c>
      <c r="K63" s="2">
        <f t="shared" si="1"/>
        <v>5.87</v>
      </c>
      <c r="L63" s="2">
        <f t="shared" si="1"/>
        <v>0.54</v>
      </c>
      <c r="M63" s="2">
        <f t="shared" si="1"/>
        <v>0.31</v>
      </c>
      <c r="N63" s="3">
        <v>11781</v>
      </c>
      <c r="O63" s="3">
        <v>10295.98</v>
      </c>
      <c r="P63" s="3">
        <v>939</v>
      </c>
      <c r="Q63" s="3">
        <f>Tabla13[[#This Row],[Total Espacios Censo]]-Tabla13[[#This Row],[Pltas. Prod. Censo]]-Tabla13[[#This Row],[Pltas Formación Censo]]</f>
        <v>546.02000000000044</v>
      </c>
      <c r="R63" s="95">
        <v>1.5</v>
      </c>
      <c r="S63" s="95">
        <v>3.8</v>
      </c>
      <c r="T63" s="2" t="s">
        <v>7</v>
      </c>
      <c r="U63" s="99">
        <v>44812</v>
      </c>
      <c r="V63" s="5">
        <v>1</v>
      </c>
      <c r="W63" s="1" t="s">
        <v>8</v>
      </c>
      <c r="X63" s="99">
        <v>32826</v>
      </c>
      <c r="Y63" s="1">
        <f ca="1">INT(YEARFRAC(Tabla13[[#This Row],[Fecha nacimiento]],TODAY()))</f>
        <v>36</v>
      </c>
      <c r="Z63" s="1">
        <v>964673857</v>
      </c>
      <c r="AA63" s="1" t="s">
        <v>336</v>
      </c>
      <c r="AB63" s="1" t="s">
        <v>301</v>
      </c>
      <c r="AC63" s="1" t="s">
        <v>337</v>
      </c>
      <c r="AD63" s="102" t="s">
        <v>401</v>
      </c>
      <c r="AE63" s="75" t="s">
        <v>27</v>
      </c>
    </row>
    <row r="64" spans="1:31" hidden="1" x14ac:dyDescent="0.3">
      <c r="A64" s="187" t="s">
        <v>167</v>
      </c>
      <c r="B64" s="1" t="s">
        <v>20</v>
      </c>
      <c r="C64" s="187" t="s">
        <v>244</v>
      </c>
      <c r="D64" s="1" t="s">
        <v>153</v>
      </c>
      <c r="E64" s="1" t="str">
        <f>Tabla13[[#This Row],[VAR]]&amp;Tabla13[[#This Row],[LOTE]]</f>
        <v>JSD01</v>
      </c>
      <c r="F64" s="186" t="s">
        <v>377</v>
      </c>
      <c r="G64" s="1" t="s">
        <v>351</v>
      </c>
      <c r="H64" s="193">
        <v>2023</v>
      </c>
      <c r="I64" s="4">
        <v>1905</v>
      </c>
      <c r="J64" s="2">
        <f t="shared" si="1"/>
        <v>11.72</v>
      </c>
      <c r="K64" s="2">
        <f t="shared" si="1"/>
        <v>0</v>
      </c>
      <c r="L64" s="2">
        <f t="shared" si="1"/>
        <v>11.72</v>
      </c>
      <c r="M64" s="2">
        <f t="shared" si="1"/>
        <v>0</v>
      </c>
      <c r="N64" s="3">
        <v>22320</v>
      </c>
      <c r="O64" s="3">
        <v>0</v>
      </c>
      <c r="P64" s="3">
        <v>22320</v>
      </c>
      <c r="Q64" s="3">
        <f>Tabla13[[#This Row],[Total Espacios Censo]]-Tabla13[[#This Row],[Pltas. Prod. Censo]]-Tabla13[[#This Row],[Pltas Formación Censo]]</f>
        <v>0</v>
      </c>
      <c r="R64" s="95">
        <v>1.33</v>
      </c>
      <c r="S64" s="95">
        <v>3.5</v>
      </c>
      <c r="T64" s="2" t="s">
        <v>366</v>
      </c>
      <c r="U64" s="99">
        <v>45144</v>
      </c>
      <c r="V64" s="5">
        <v>8</v>
      </c>
      <c r="W64" s="1" t="s">
        <v>12</v>
      </c>
      <c r="X64" s="99">
        <v>33079</v>
      </c>
      <c r="Y64" s="1">
        <f ca="1">INT(YEARFRAC(Tabla13[[#This Row],[Fecha nacimiento]],TODAY()))</f>
        <v>36</v>
      </c>
      <c r="Z64" s="1">
        <v>943941266</v>
      </c>
      <c r="AA64" s="1" t="s">
        <v>310</v>
      </c>
      <c r="AB64" s="1" t="s">
        <v>275</v>
      </c>
      <c r="AC64" s="1"/>
      <c r="AD64" s="102" t="s">
        <v>309</v>
      </c>
      <c r="AE64" s="75" t="s">
        <v>9</v>
      </c>
    </row>
    <row r="65" spans="1:31" hidden="1" x14ac:dyDescent="0.3">
      <c r="A65" s="187" t="s">
        <v>167</v>
      </c>
      <c r="B65" s="1" t="s">
        <v>21</v>
      </c>
      <c r="C65" s="187" t="s">
        <v>244</v>
      </c>
      <c r="D65" s="1" t="s">
        <v>153</v>
      </c>
      <c r="E65" s="1" t="str">
        <f>Tabla13[[#This Row],[VAR]]&amp;Tabla13[[#This Row],[LOTE]]</f>
        <v>JSD02</v>
      </c>
      <c r="F65" s="186" t="s">
        <v>377</v>
      </c>
      <c r="G65" s="1" t="s">
        <v>351</v>
      </c>
      <c r="H65" s="193">
        <v>2023</v>
      </c>
      <c r="I65" s="4">
        <v>1905</v>
      </c>
      <c r="J65" s="2">
        <f t="shared" si="1"/>
        <v>10.83</v>
      </c>
      <c r="K65" s="2">
        <f t="shared" si="1"/>
        <v>0</v>
      </c>
      <c r="L65" s="2">
        <f t="shared" si="1"/>
        <v>10.83</v>
      </c>
      <c r="M65" s="2">
        <f t="shared" si="1"/>
        <v>0</v>
      </c>
      <c r="N65" s="3">
        <v>20637</v>
      </c>
      <c r="O65" s="3">
        <v>0</v>
      </c>
      <c r="P65" s="3">
        <v>20637</v>
      </c>
      <c r="Q65" s="3">
        <f>Tabla13[[#This Row],[Total Espacios Censo]]-Tabla13[[#This Row],[Pltas. Prod. Censo]]-Tabla13[[#This Row],[Pltas Formación Censo]]</f>
        <v>0</v>
      </c>
      <c r="R65" s="95">
        <v>1.33</v>
      </c>
      <c r="S65" s="95">
        <v>3.5</v>
      </c>
      <c r="T65" s="2" t="s">
        <v>366</v>
      </c>
      <c r="U65" s="99">
        <v>45140</v>
      </c>
      <c r="V65" s="5">
        <v>8</v>
      </c>
      <c r="W65" s="1" t="s">
        <v>12</v>
      </c>
      <c r="X65" s="99">
        <v>33079</v>
      </c>
      <c r="Y65" s="1">
        <f ca="1">INT(YEARFRAC(Tabla13[[#This Row],[Fecha nacimiento]],TODAY()))</f>
        <v>36</v>
      </c>
      <c r="Z65" s="1">
        <v>943941266</v>
      </c>
      <c r="AA65" s="1" t="s">
        <v>310</v>
      </c>
      <c r="AB65" s="1" t="s">
        <v>275</v>
      </c>
      <c r="AC65" s="1"/>
      <c r="AD65" s="102" t="s">
        <v>307</v>
      </c>
      <c r="AE65" s="75" t="s">
        <v>9</v>
      </c>
    </row>
    <row r="66" spans="1:31" hidden="1" x14ac:dyDescent="0.3">
      <c r="A66" s="187" t="s">
        <v>105</v>
      </c>
      <c r="B66" s="216" t="s">
        <v>22</v>
      </c>
      <c r="C66" s="187" t="s">
        <v>242</v>
      </c>
      <c r="D66" s="1" t="s">
        <v>371</v>
      </c>
      <c r="E66" s="1" t="str">
        <f>Tabla13[[#This Row],[VAR]]&amp;Tabla13[[#This Row],[LOTE]]</f>
        <v>TMD03</v>
      </c>
      <c r="F66" s="186" t="s">
        <v>376</v>
      </c>
      <c r="G66" s="1" t="s">
        <v>349</v>
      </c>
      <c r="H66" s="193">
        <v>2023</v>
      </c>
      <c r="I66" s="4">
        <v>2132</v>
      </c>
      <c r="J66" s="2">
        <f t="shared" ref="J66:M90" si="2">ROUND(N66/$I66,2)</f>
        <v>14.53</v>
      </c>
      <c r="K66" s="2">
        <f t="shared" si="2"/>
        <v>12.73</v>
      </c>
      <c r="L66" s="2">
        <f t="shared" si="2"/>
        <v>1.32</v>
      </c>
      <c r="M66" s="2">
        <f t="shared" si="2"/>
        <v>0.48</v>
      </c>
      <c r="N66" s="3">
        <v>30981</v>
      </c>
      <c r="O66" s="3">
        <v>27140.36</v>
      </c>
      <c r="P66" s="3">
        <v>2821</v>
      </c>
      <c r="Q66" s="3">
        <f>Tabla13[[#This Row],[Total Espacios Censo]]-Tabla13[[#This Row],[Pltas. Prod. Censo]]-Tabla13[[#This Row],[Pltas Formación Censo]]</f>
        <v>1019.6399999999994</v>
      </c>
      <c r="R66" s="95">
        <v>1.33</v>
      </c>
      <c r="S66" s="95">
        <v>3.5</v>
      </c>
      <c r="T66" s="2" t="s">
        <v>7</v>
      </c>
      <c r="U66" s="99">
        <v>42064</v>
      </c>
      <c r="V66" s="5">
        <v>8</v>
      </c>
      <c r="W66" s="1" t="s">
        <v>12</v>
      </c>
      <c r="X66" s="99">
        <v>31842</v>
      </c>
      <c r="Y66" s="1">
        <f ca="1">INT(YEARFRAC(Tabla13[[#This Row],[Fecha nacimiento]],TODAY()))</f>
        <v>39</v>
      </c>
      <c r="Z66" s="1">
        <v>962638155</v>
      </c>
      <c r="AA66" s="1" t="s">
        <v>293</v>
      </c>
      <c r="AB66" s="1" t="s">
        <v>275</v>
      </c>
      <c r="AC66" s="1"/>
      <c r="AD66" s="102" t="s">
        <v>187</v>
      </c>
      <c r="AE66" s="75" t="s">
        <v>9</v>
      </c>
    </row>
    <row r="67" spans="1:31" hidden="1" x14ac:dyDescent="0.3">
      <c r="A67" s="186" t="s">
        <v>163</v>
      </c>
      <c r="B67" s="216" t="s">
        <v>93</v>
      </c>
      <c r="C67" s="186" t="s">
        <v>245</v>
      </c>
      <c r="D67" s="1" t="s">
        <v>49</v>
      </c>
      <c r="E67" s="1" t="str">
        <f>Tabla13[[#This Row],[VAR]]&amp;Tabla13[[#This Row],[LOTE]]</f>
        <v>ACC01</v>
      </c>
      <c r="F67" s="186" t="s">
        <v>377</v>
      </c>
      <c r="G67" s="1" t="s">
        <v>388</v>
      </c>
      <c r="H67" s="1">
        <v>2023</v>
      </c>
      <c r="I67" s="7">
        <v>1905</v>
      </c>
      <c r="J67" s="2">
        <f t="shared" si="2"/>
        <v>14.9</v>
      </c>
      <c r="K67" s="2">
        <f t="shared" si="2"/>
        <v>14.01</v>
      </c>
      <c r="L67" s="2">
        <f t="shared" si="2"/>
        <v>0.61</v>
      </c>
      <c r="M67" s="2">
        <f t="shared" si="2"/>
        <v>0.28000000000000003</v>
      </c>
      <c r="N67" s="3">
        <v>28376</v>
      </c>
      <c r="O67" s="3">
        <v>26689.05</v>
      </c>
      <c r="P67" s="3">
        <v>1157</v>
      </c>
      <c r="Q67" s="3">
        <f>Tabla13[[#This Row],[Total Espacios Censo]]-Tabla13[[#This Row],[Pltas. Prod. Censo]]-Tabla13[[#This Row],[Pltas Formación Censo]]</f>
        <v>529.95000000000073</v>
      </c>
      <c r="R67" s="95">
        <v>1.5</v>
      </c>
      <c r="S67" s="95">
        <v>3.5</v>
      </c>
      <c r="T67" s="2" t="s">
        <v>7</v>
      </c>
      <c r="U67" s="99">
        <v>44776</v>
      </c>
      <c r="V67" s="5">
        <v>1</v>
      </c>
      <c r="W67" s="1" t="s">
        <v>8</v>
      </c>
      <c r="X67" s="99">
        <v>34269</v>
      </c>
      <c r="Y67" s="1">
        <f ca="1">INT(YEARFRAC(Tabla13[[#This Row],[Fecha nacimiento]],TODAY()))</f>
        <v>32</v>
      </c>
      <c r="Z67" s="1">
        <v>934012411</v>
      </c>
      <c r="AA67" s="1" t="s">
        <v>308</v>
      </c>
      <c r="AB67" s="1" t="s">
        <v>275</v>
      </c>
      <c r="AC67" s="1"/>
      <c r="AD67" s="102" t="s">
        <v>408</v>
      </c>
      <c r="AE67" s="75" t="s">
        <v>9</v>
      </c>
    </row>
    <row r="68" spans="1:31" hidden="1" x14ac:dyDescent="0.3">
      <c r="A68" s="186" t="s">
        <v>163</v>
      </c>
      <c r="B68" s="216" t="s">
        <v>94</v>
      </c>
      <c r="C68" s="186" t="s">
        <v>245</v>
      </c>
      <c r="D68" s="1" t="s">
        <v>49</v>
      </c>
      <c r="E68" s="1" t="str">
        <f>Tabla13[[#This Row],[VAR]]&amp;Tabla13[[#This Row],[LOTE]]</f>
        <v>ACC02</v>
      </c>
      <c r="F68" s="186" t="s">
        <v>377</v>
      </c>
      <c r="G68" s="1" t="s">
        <v>388</v>
      </c>
      <c r="H68" s="1">
        <v>2023</v>
      </c>
      <c r="I68" s="7">
        <v>1905</v>
      </c>
      <c r="J68" s="2">
        <f t="shared" si="2"/>
        <v>14.9</v>
      </c>
      <c r="K68" s="2">
        <f t="shared" si="2"/>
        <v>13.41</v>
      </c>
      <c r="L68" s="2">
        <f t="shared" si="2"/>
        <v>1.01</v>
      </c>
      <c r="M68" s="2">
        <f t="shared" si="2"/>
        <v>0.47</v>
      </c>
      <c r="N68" s="3">
        <v>28376</v>
      </c>
      <c r="O68" s="3">
        <v>25546.05</v>
      </c>
      <c r="P68" s="3">
        <v>1928</v>
      </c>
      <c r="Q68" s="3">
        <f>Tabla13[[#This Row],[Total Espacios Censo]]-Tabla13[[#This Row],[Pltas. Prod. Censo]]-Tabla13[[#This Row],[Pltas Formación Censo]]</f>
        <v>901.95000000000073</v>
      </c>
      <c r="R68" s="95">
        <v>1.5</v>
      </c>
      <c r="S68" s="95">
        <v>3.5</v>
      </c>
      <c r="T68" s="2" t="s">
        <v>7</v>
      </c>
      <c r="U68" s="99">
        <v>44769</v>
      </c>
      <c r="V68" s="5">
        <v>1</v>
      </c>
      <c r="W68" s="1" t="s">
        <v>8</v>
      </c>
      <c r="X68" s="99">
        <v>34269</v>
      </c>
      <c r="Y68" s="1">
        <f ca="1">INT(YEARFRAC(Tabla13[[#This Row],[Fecha nacimiento]],TODAY()))</f>
        <v>32</v>
      </c>
      <c r="Z68" s="1">
        <v>934012411</v>
      </c>
      <c r="AA68" s="1" t="s">
        <v>308</v>
      </c>
      <c r="AB68" s="1" t="s">
        <v>275</v>
      </c>
      <c r="AC68" s="1"/>
      <c r="AD68" s="102" t="s">
        <v>409</v>
      </c>
      <c r="AE68" s="75" t="s">
        <v>9</v>
      </c>
    </row>
    <row r="69" spans="1:31" hidden="1" x14ac:dyDescent="0.3">
      <c r="A69" s="186" t="s">
        <v>163</v>
      </c>
      <c r="B69" s="216" t="s">
        <v>95</v>
      </c>
      <c r="C69" s="186" t="s">
        <v>245</v>
      </c>
      <c r="D69" s="1" t="s">
        <v>49</v>
      </c>
      <c r="E69" s="1" t="str">
        <f>Tabla13[[#This Row],[VAR]]&amp;Tabla13[[#This Row],[LOTE]]</f>
        <v>ACC03</v>
      </c>
      <c r="F69" s="186" t="s">
        <v>377</v>
      </c>
      <c r="G69" s="1" t="s">
        <v>388</v>
      </c>
      <c r="H69" s="1">
        <v>2023</v>
      </c>
      <c r="I69" s="7">
        <v>1905</v>
      </c>
      <c r="J69" s="2">
        <f t="shared" si="2"/>
        <v>14.9</v>
      </c>
      <c r="K69" s="2">
        <f t="shared" si="2"/>
        <v>13.84</v>
      </c>
      <c r="L69" s="2">
        <f t="shared" si="2"/>
        <v>0.5</v>
      </c>
      <c r="M69" s="2">
        <f t="shared" si="2"/>
        <v>0.56000000000000005</v>
      </c>
      <c r="N69" s="3">
        <v>28380</v>
      </c>
      <c r="O69" s="3">
        <v>26365.200000000001</v>
      </c>
      <c r="P69" s="3">
        <v>948</v>
      </c>
      <c r="Q69" s="3">
        <f>Tabla13[[#This Row],[Total Espacios Censo]]-Tabla13[[#This Row],[Pltas. Prod. Censo]]-Tabla13[[#This Row],[Pltas Formación Censo]]</f>
        <v>1066.7999999999993</v>
      </c>
      <c r="R69" s="95">
        <v>1.5</v>
      </c>
      <c r="S69" s="95">
        <v>3.5</v>
      </c>
      <c r="T69" s="2" t="s">
        <v>7</v>
      </c>
      <c r="U69" s="99">
        <v>44738</v>
      </c>
      <c r="V69" s="5">
        <v>1</v>
      </c>
      <c r="W69" s="1" t="s">
        <v>8</v>
      </c>
      <c r="X69" s="1"/>
      <c r="Y69" s="1"/>
      <c r="Z69" s="1"/>
      <c r="AA69" s="1"/>
      <c r="AB69" s="1"/>
      <c r="AC69" s="1"/>
      <c r="AD69" s="102" t="s">
        <v>410</v>
      </c>
      <c r="AE69" s="75" t="s">
        <v>9</v>
      </c>
    </row>
    <row r="70" spans="1:31" hidden="1" x14ac:dyDescent="0.3">
      <c r="A70" s="187" t="s">
        <v>105</v>
      </c>
      <c r="B70" s="188" t="s">
        <v>26</v>
      </c>
      <c r="C70" s="187" t="s">
        <v>242</v>
      </c>
      <c r="D70" s="1" t="s">
        <v>28</v>
      </c>
      <c r="E70" s="1" t="str">
        <f>Tabla13[[#This Row],[VAR]]&amp;Tabla13[[#This Row],[LOTE]]</f>
        <v>TME12</v>
      </c>
      <c r="F70" s="189" t="s">
        <v>376</v>
      </c>
      <c r="G70" s="1" t="s">
        <v>349</v>
      </c>
      <c r="H70" s="190">
        <v>2023</v>
      </c>
      <c r="I70" s="4">
        <v>1905</v>
      </c>
      <c r="J70" s="2">
        <f t="shared" si="2"/>
        <v>12.63</v>
      </c>
      <c r="K70" s="2">
        <f t="shared" si="2"/>
        <v>12.32</v>
      </c>
      <c r="L70" s="2">
        <f t="shared" si="2"/>
        <v>0.02</v>
      </c>
      <c r="M70" s="2">
        <f t="shared" si="2"/>
        <v>0.28999999999999998</v>
      </c>
      <c r="N70" s="3">
        <v>24054</v>
      </c>
      <c r="O70" s="3">
        <v>23469.600000000002</v>
      </c>
      <c r="P70" s="3">
        <v>35</v>
      </c>
      <c r="Q70" s="3">
        <f>Tabla13[[#This Row],[Total Espacios Censo]]-Tabla13[[#This Row],[Pltas. Prod. Censo]]-Tabla13[[#This Row],[Pltas Formación Censo]]</f>
        <v>549.39999999999782</v>
      </c>
      <c r="R70" s="95">
        <v>1.75</v>
      </c>
      <c r="S70" s="95">
        <v>3</v>
      </c>
      <c r="T70" s="2" t="s">
        <v>7</v>
      </c>
      <c r="U70" s="99">
        <v>42125</v>
      </c>
      <c r="V70" s="5">
        <v>8</v>
      </c>
      <c r="W70" s="1" t="s">
        <v>8</v>
      </c>
      <c r="X70" s="99">
        <v>33385</v>
      </c>
      <c r="Y70" s="1">
        <f ca="1">INT(YEARFRAC(Tabla13[[#This Row],[Fecha nacimiento]],TODAY()))</f>
        <v>35</v>
      </c>
      <c r="Z70" s="1">
        <v>944451931</v>
      </c>
      <c r="AA70" s="1" t="s">
        <v>329</v>
      </c>
      <c r="AB70" s="1" t="s">
        <v>301</v>
      </c>
      <c r="AC70" s="1" t="s">
        <v>330</v>
      </c>
      <c r="AD70" s="218" t="s">
        <v>208</v>
      </c>
      <c r="AE70" s="75" t="s">
        <v>27</v>
      </c>
    </row>
    <row r="71" spans="1:31" hidden="1" x14ac:dyDescent="0.3">
      <c r="A71" s="187" t="s">
        <v>105</v>
      </c>
      <c r="B71" s="188" t="s">
        <v>29</v>
      </c>
      <c r="C71" s="187" t="s">
        <v>242</v>
      </c>
      <c r="D71" s="1" t="s">
        <v>28</v>
      </c>
      <c r="E71" s="1" t="str">
        <f>Tabla13[[#This Row],[VAR]]&amp;Tabla13[[#This Row],[LOTE]]</f>
        <v>TME13</v>
      </c>
      <c r="F71" s="189" t="s">
        <v>376</v>
      </c>
      <c r="G71" s="1" t="s">
        <v>349</v>
      </c>
      <c r="H71" s="190">
        <v>2023</v>
      </c>
      <c r="I71" s="4">
        <v>1905</v>
      </c>
      <c r="J71" s="2">
        <f t="shared" si="2"/>
        <v>11.78</v>
      </c>
      <c r="K71" s="2">
        <f t="shared" si="2"/>
        <v>10.78</v>
      </c>
      <c r="L71" s="2">
        <f t="shared" si="2"/>
        <v>0.15</v>
      </c>
      <c r="M71" s="2">
        <f t="shared" si="2"/>
        <v>0.85</v>
      </c>
      <c r="N71" s="3">
        <v>22435</v>
      </c>
      <c r="O71" s="3">
        <v>20531</v>
      </c>
      <c r="P71" s="3">
        <v>287</v>
      </c>
      <c r="Q71" s="3">
        <f>Tabla13[[#This Row],[Total Espacios Censo]]-Tabla13[[#This Row],[Pltas. Prod. Censo]]-Tabla13[[#This Row],[Pltas Formación Censo]]</f>
        <v>1617</v>
      </c>
      <c r="R71" s="95">
        <v>1.75</v>
      </c>
      <c r="S71" s="95">
        <v>3</v>
      </c>
      <c r="T71" s="2" t="s">
        <v>7</v>
      </c>
      <c r="U71" s="99">
        <v>42125</v>
      </c>
      <c r="V71" s="5">
        <v>6</v>
      </c>
      <c r="W71" s="1" t="s">
        <v>8</v>
      </c>
      <c r="X71" s="99">
        <v>33385</v>
      </c>
      <c r="Y71" s="1">
        <f ca="1">INT(YEARFRAC(Tabla13[[#This Row],[Fecha nacimiento]],TODAY()))</f>
        <v>35</v>
      </c>
      <c r="Z71" s="1">
        <v>944451931</v>
      </c>
      <c r="AA71" s="1" t="s">
        <v>329</v>
      </c>
      <c r="AB71" s="1" t="s">
        <v>301</v>
      </c>
      <c r="AC71" s="1" t="s">
        <v>330</v>
      </c>
      <c r="AD71" s="218" t="s">
        <v>208</v>
      </c>
      <c r="AE71" s="75" t="s">
        <v>27</v>
      </c>
    </row>
    <row r="72" spans="1:31" hidden="1" x14ac:dyDescent="0.3">
      <c r="A72" s="187" t="s">
        <v>105</v>
      </c>
      <c r="B72" s="1" t="s">
        <v>30</v>
      </c>
      <c r="C72" s="187" t="s">
        <v>242</v>
      </c>
      <c r="D72" s="1" t="s">
        <v>28</v>
      </c>
      <c r="E72" s="1" t="str">
        <f>Tabla13[[#This Row],[VAR]]&amp;Tabla13[[#This Row],[LOTE]]</f>
        <v>TME14</v>
      </c>
      <c r="F72" s="186" t="s">
        <v>376</v>
      </c>
      <c r="G72" s="1" t="s">
        <v>349</v>
      </c>
      <c r="H72" s="1">
        <v>2023</v>
      </c>
      <c r="I72" s="4">
        <v>1953</v>
      </c>
      <c r="J72" s="2">
        <f t="shared" si="2"/>
        <v>16.3</v>
      </c>
      <c r="K72" s="2">
        <f t="shared" si="2"/>
        <v>16.16</v>
      </c>
      <c r="L72" s="2">
        <f t="shared" si="2"/>
        <v>0.03</v>
      </c>
      <c r="M72" s="2">
        <f t="shared" si="2"/>
        <v>0.11</v>
      </c>
      <c r="N72" s="3">
        <v>31843</v>
      </c>
      <c r="O72" s="3">
        <v>31558</v>
      </c>
      <c r="P72" s="3">
        <v>66</v>
      </c>
      <c r="Q72" s="3">
        <f>Tabla13[[#This Row],[Total Espacios Censo]]-Tabla13[[#This Row],[Pltas. Prod. Censo]]-Tabla13[[#This Row],[Pltas Formación Censo]]</f>
        <v>219</v>
      </c>
      <c r="R72" s="95">
        <v>1.7</v>
      </c>
      <c r="S72" s="95">
        <v>3.2</v>
      </c>
      <c r="T72" s="2" t="s">
        <v>7</v>
      </c>
      <c r="U72" s="99">
        <v>43302</v>
      </c>
      <c r="V72" s="5">
        <v>5</v>
      </c>
      <c r="W72" s="1" t="s">
        <v>8</v>
      </c>
      <c r="X72" s="99">
        <v>33034</v>
      </c>
      <c r="Y72" s="1">
        <f ca="1">INT(YEARFRAC(Tabla13[[#This Row],[Fecha nacimiento]],TODAY()))</f>
        <v>36</v>
      </c>
      <c r="Z72" s="1">
        <v>957630946</v>
      </c>
      <c r="AA72" s="1" t="s">
        <v>315</v>
      </c>
      <c r="AB72" s="1" t="s">
        <v>275</v>
      </c>
      <c r="AC72" s="1"/>
      <c r="AD72" s="218" t="s">
        <v>208</v>
      </c>
      <c r="AE72" s="75" t="s">
        <v>27</v>
      </c>
    </row>
    <row r="73" spans="1:31" hidden="1" x14ac:dyDescent="0.3">
      <c r="A73" s="187" t="s">
        <v>105</v>
      </c>
      <c r="B73" s="216" t="s">
        <v>31</v>
      </c>
      <c r="C73" s="187" t="s">
        <v>242</v>
      </c>
      <c r="D73" s="1" t="s">
        <v>34</v>
      </c>
      <c r="E73" s="1" t="str">
        <f>Tabla13[[#This Row],[VAR]]&amp;Tabla13[[#This Row],[LOTE]]</f>
        <v>TMF12</v>
      </c>
      <c r="F73" s="186" t="s">
        <v>377</v>
      </c>
      <c r="G73" s="1" t="s">
        <v>349</v>
      </c>
      <c r="H73" s="1">
        <v>2023</v>
      </c>
      <c r="I73" s="4">
        <v>1905.1398337112623</v>
      </c>
      <c r="J73" s="2">
        <f t="shared" si="2"/>
        <v>13.23</v>
      </c>
      <c r="K73" s="2">
        <f t="shared" si="2"/>
        <v>12.73</v>
      </c>
      <c r="L73" s="2">
        <f t="shared" si="2"/>
        <v>0.03</v>
      </c>
      <c r="M73" s="2">
        <f t="shared" si="2"/>
        <v>0.47</v>
      </c>
      <c r="N73" s="3">
        <v>25206</v>
      </c>
      <c r="O73" s="3">
        <v>24252.430083144369</v>
      </c>
      <c r="P73" s="3">
        <v>56</v>
      </c>
      <c r="Q73" s="3">
        <f>Tabla13[[#This Row],[Total Espacios Censo]]-Tabla13[[#This Row],[Pltas. Prod. Censo]]-Tabla13[[#This Row],[Pltas Formación Censo]]</f>
        <v>897.56991685563116</v>
      </c>
      <c r="R73" s="95">
        <v>1.75</v>
      </c>
      <c r="S73" s="95">
        <v>3</v>
      </c>
      <c r="T73" s="2" t="s">
        <v>7</v>
      </c>
      <c r="U73" s="99">
        <v>42695</v>
      </c>
      <c r="V73" s="5">
        <v>7</v>
      </c>
      <c r="W73" s="1" t="s">
        <v>8</v>
      </c>
      <c r="X73" s="99">
        <v>33034</v>
      </c>
      <c r="Y73" s="1">
        <f ca="1">INT(YEARFRAC(Tabla13[[#This Row],[Fecha nacimiento]],TODAY()))</f>
        <v>36</v>
      </c>
      <c r="Z73" s="1">
        <v>957630946</v>
      </c>
      <c r="AA73" s="1" t="s">
        <v>315</v>
      </c>
      <c r="AB73" s="1" t="s">
        <v>275</v>
      </c>
      <c r="AC73" s="1"/>
      <c r="AD73" s="102" t="s">
        <v>209</v>
      </c>
      <c r="AE73" s="75" t="s">
        <v>27</v>
      </c>
    </row>
    <row r="74" spans="1:31" hidden="1" x14ac:dyDescent="0.3">
      <c r="A74" s="187" t="s">
        <v>105</v>
      </c>
      <c r="B74" s="216" t="s">
        <v>32</v>
      </c>
      <c r="C74" s="187" t="s">
        <v>242</v>
      </c>
      <c r="D74" s="1" t="s">
        <v>34</v>
      </c>
      <c r="E74" s="1" t="str">
        <f>Tabla13[[#This Row],[VAR]]&amp;Tabla13[[#This Row],[LOTE]]</f>
        <v>TMF13</v>
      </c>
      <c r="F74" s="186" t="s">
        <v>377</v>
      </c>
      <c r="G74" s="1" t="s">
        <v>349</v>
      </c>
      <c r="H74" s="1">
        <v>2023</v>
      </c>
      <c r="I74" s="4">
        <v>1953</v>
      </c>
      <c r="J74" s="2">
        <f t="shared" si="2"/>
        <v>13.8</v>
      </c>
      <c r="K74" s="2">
        <f t="shared" si="2"/>
        <v>13.78</v>
      </c>
      <c r="L74" s="2">
        <f t="shared" si="2"/>
        <v>0.01</v>
      </c>
      <c r="M74" s="2">
        <f t="shared" si="2"/>
        <v>0.02</v>
      </c>
      <c r="N74" s="3">
        <v>26954</v>
      </c>
      <c r="O74" s="3">
        <v>26912.34</v>
      </c>
      <c r="P74" s="3">
        <v>10</v>
      </c>
      <c r="Q74" s="3">
        <f>Tabla13[[#This Row],[Total Espacios Censo]]-Tabla13[[#This Row],[Pltas. Prod. Censo]]-Tabla13[[#This Row],[Pltas Formación Censo]]</f>
        <v>31.659999999999854</v>
      </c>
      <c r="R74" s="95">
        <v>1.7</v>
      </c>
      <c r="S74" s="95">
        <v>3.2</v>
      </c>
      <c r="T74" s="2" t="s">
        <v>7</v>
      </c>
      <c r="U74" s="99">
        <v>41821</v>
      </c>
      <c r="V74" s="5">
        <v>9</v>
      </c>
      <c r="W74" s="1" t="s">
        <v>8</v>
      </c>
      <c r="X74" s="99">
        <v>33034</v>
      </c>
      <c r="Y74" s="1">
        <f ca="1">INT(YEARFRAC(Tabla13[[#This Row],[Fecha nacimiento]],TODAY()))</f>
        <v>36</v>
      </c>
      <c r="Z74" s="1">
        <v>957630946</v>
      </c>
      <c r="AA74" s="1" t="s">
        <v>315</v>
      </c>
      <c r="AB74" s="1" t="s">
        <v>275</v>
      </c>
      <c r="AC74" s="1"/>
      <c r="AD74" s="102" t="s">
        <v>209</v>
      </c>
      <c r="AE74" s="75" t="s">
        <v>27</v>
      </c>
    </row>
    <row r="75" spans="1:31" hidden="1" x14ac:dyDescent="0.3">
      <c r="A75" s="186" t="s">
        <v>163</v>
      </c>
      <c r="B75" s="191" t="s">
        <v>103</v>
      </c>
      <c r="C75" s="186" t="s">
        <v>245</v>
      </c>
      <c r="D75" s="1" t="s">
        <v>28</v>
      </c>
      <c r="E75" s="1" t="str">
        <f>Tabla13[[#This Row],[VAR]]&amp;Tabla13[[#This Row],[LOTE]]</f>
        <v>ACI13</v>
      </c>
      <c r="F75" s="192" t="s">
        <v>377</v>
      </c>
      <c r="G75" s="1" t="s">
        <v>388</v>
      </c>
      <c r="H75" s="1">
        <v>2023</v>
      </c>
      <c r="I75" s="6">
        <v>1905</v>
      </c>
      <c r="J75" s="2">
        <f t="shared" si="2"/>
        <v>9.81</v>
      </c>
      <c r="K75" s="2">
        <f t="shared" si="2"/>
        <v>0</v>
      </c>
      <c r="L75" s="2">
        <f t="shared" si="2"/>
        <v>0</v>
      </c>
      <c r="M75" s="2">
        <f t="shared" si="2"/>
        <v>9.81</v>
      </c>
      <c r="N75" s="3">
        <v>18688</v>
      </c>
      <c r="O75" s="3">
        <v>0</v>
      </c>
      <c r="P75" s="3">
        <v>0</v>
      </c>
      <c r="Q75" s="3">
        <f>Tabla13[[#This Row],[Total Espacios Censo]]-Tabla13[[#This Row],[Pltas. Prod. Censo]]-Tabla13[[#This Row],[Pltas Formación Censo]]</f>
        <v>18688</v>
      </c>
      <c r="R75" s="95">
        <v>1.6</v>
      </c>
      <c r="S75" s="95">
        <v>3.5</v>
      </c>
      <c r="T75" s="2" t="s">
        <v>338</v>
      </c>
      <c r="U75" s="1">
        <v>2024</v>
      </c>
      <c r="V75" s="5">
        <v>0</v>
      </c>
      <c r="W75" s="1" t="s">
        <v>12</v>
      </c>
      <c r="X75" s="99">
        <v>33562</v>
      </c>
      <c r="Y75" s="1">
        <f ca="1">INT(YEARFRAC(Tabla13[[#This Row],[Fecha nacimiento]],TODAY()))</f>
        <v>34</v>
      </c>
      <c r="Z75" s="1">
        <v>965358037</v>
      </c>
      <c r="AA75" s="1" t="s">
        <v>271</v>
      </c>
      <c r="AB75" s="1" t="s">
        <v>268</v>
      </c>
      <c r="AC75" s="1" t="s">
        <v>269</v>
      </c>
      <c r="AD75" s="102"/>
      <c r="AE75" s="76" t="s">
        <v>27</v>
      </c>
    </row>
    <row r="76" spans="1:31" hidden="1" x14ac:dyDescent="0.3">
      <c r="A76" s="186" t="s">
        <v>163</v>
      </c>
      <c r="B76" s="191" t="s">
        <v>104</v>
      </c>
      <c r="C76" s="186" t="s">
        <v>245</v>
      </c>
      <c r="D76" s="1" t="s">
        <v>28</v>
      </c>
      <c r="E76" s="1" t="str">
        <f>Tabla13[[#This Row],[VAR]]&amp;Tabla13[[#This Row],[LOTE]]</f>
        <v>ACI14</v>
      </c>
      <c r="F76" s="192" t="s">
        <v>377</v>
      </c>
      <c r="G76" s="1" t="s">
        <v>388</v>
      </c>
      <c r="H76" s="1">
        <v>2023</v>
      </c>
      <c r="I76" s="6">
        <v>1905</v>
      </c>
      <c r="J76" s="2">
        <f t="shared" si="2"/>
        <v>7.36</v>
      </c>
      <c r="K76" s="2">
        <f t="shared" si="2"/>
        <v>0</v>
      </c>
      <c r="L76" s="2">
        <f t="shared" si="2"/>
        <v>0</v>
      </c>
      <c r="M76" s="2">
        <f t="shared" si="2"/>
        <v>7.36</v>
      </c>
      <c r="N76" s="3">
        <v>14021</v>
      </c>
      <c r="O76" s="3">
        <v>0</v>
      </c>
      <c r="P76" s="3">
        <v>0</v>
      </c>
      <c r="Q76" s="3">
        <f>Tabla13[[#This Row],[Total Espacios Censo]]-Tabla13[[#This Row],[Pltas. Prod. Censo]]-Tabla13[[#This Row],[Pltas Formación Censo]]</f>
        <v>14021</v>
      </c>
      <c r="R76" s="95">
        <v>1.6</v>
      </c>
      <c r="S76" s="95">
        <v>3.5</v>
      </c>
      <c r="T76" s="2" t="s">
        <v>338</v>
      </c>
      <c r="U76" s="1">
        <v>2024</v>
      </c>
      <c r="V76" s="5">
        <v>0</v>
      </c>
      <c r="W76" s="1" t="s">
        <v>12</v>
      </c>
      <c r="X76" s="99">
        <v>33562</v>
      </c>
      <c r="Y76" s="1">
        <f ca="1">INT(YEARFRAC(Tabla13[[#This Row],[Fecha nacimiento]],TODAY()))</f>
        <v>34</v>
      </c>
      <c r="Z76" s="1">
        <v>965358037</v>
      </c>
      <c r="AA76" s="1" t="s">
        <v>271</v>
      </c>
      <c r="AB76" s="1" t="s">
        <v>268</v>
      </c>
      <c r="AC76" s="1" t="s">
        <v>269</v>
      </c>
      <c r="AD76" s="102"/>
      <c r="AE76" s="76" t="s">
        <v>27</v>
      </c>
    </row>
    <row r="77" spans="1:31" hidden="1" x14ac:dyDescent="0.3">
      <c r="A77" s="186" t="s">
        <v>163</v>
      </c>
      <c r="B77" s="191" t="s">
        <v>101</v>
      </c>
      <c r="C77" s="186" t="s">
        <v>245</v>
      </c>
      <c r="D77" s="1" t="s">
        <v>28</v>
      </c>
      <c r="E77" s="1" t="str">
        <f>Tabla13[[#This Row],[VAR]]&amp;Tabla13[[#This Row],[LOTE]]</f>
        <v>ACH14</v>
      </c>
      <c r="F77" s="192" t="s">
        <v>377</v>
      </c>
      <c r="G77" s="1" t="s">
        <v>388</v>
      </c>
      <c r="H77" s="1">
        <v>2023</v>
      </c>
      <c r="I77" s="6">
        <v>1905</v>
      </c>
      <c r="J77" s="2">
        <f t="shared" si="2"/>
        <v>12.9</v>
      </c>
      <c r="K77" s="2">
        <f t="shared" si="2"/>
        <v>0</v>
      </c>
      <c r="L77" s="2">
        <f t="shared" si="2"/>
        <v>0</v>
      </c>
      <c r="M77" s="2">
        <f t="shared" si="2"/>
        <v>12.9</v>
      </c>
      <c r="N77" s="3">
        <v>24575</v>
      </c>
      <c r="O77" s="3">
        <v>0</v>
      </c>
      <c r="P77" s="3">
        <v>0</v>
      </c>
      <c r="Q77" s="3">
        <f>Tabla13[[#This Row],[Total Espacios Censo]]-Tabla13[[#This Row],[Pltas. Prod. Censo]]-Tabla13[[#This Row],[Pltas Formación Censo]]</f>
        <v>24575</v>
      </c>
      <c r="R77" s="95">
        <v>1.6</v>
      </c>
      <c r="S77" s="95">
        <v>3.5</v>
      </c>
      <c r="T77" s="2" t="s">
        <v>338</v>
      </c>
      <c r="U77" s="1">
        <v>2024</v>
      </c>
      <c r="V77" s="5">
        <v>0</v>
      </c>
      <c r="W77" s="1" t="s">
        <v>12</v>
      </c>
      <c r="X77" s="99">
        <v>33562</v>
      </c>
      <c r="Y77" s="1">
        <f ca="1">INT(YEARFRAC(Tabla13[[#This Row],[Fecha nacimiento]],TODAY()))</f>
        <v>34</v>
      </c>
      <c r="Z77" s="1">
        <v>965358037</v>
      </c>
      <c r="AA77" s="1" t="s">
        <v>271</v>
      </c>
      <c r="AB77" s="1" t="s">
        <v>268</v>
      </c>
      <c r="AC77" s="1" t="s">
        <v>269</v>
      </c>
      <c r="AD77" s="102"/>
      <c r="AE77" s="76" t="s">
        <v>27</v>
      </c>
    </row>
    <row r="78" spans="1:31" hidden="1" x14ac:dyDescent="0.3">
      <c r="A78" s="187" t="s">
        <v>105</v>
      </c>
      <c r="B78" s="216" t="s">
        <v>40</v>
      </c>
      <c r="C78" s="187" t="s">
        <v>242</v>
      </c>
      <c r="D78" s="1" t="s">
        <v>34</v>
      </c>
      <c r="E78" s="1" t="str">
        <f>Tabla13[[#This Row],[VAR]]&amp;Tabla13[[#This Row],[LOTE]]</f>
        <v>TME08</v>
      </c>
      <c r="F78" s="186" t="s">
        <v>377</v>
      </c>
      <c r="G78" s="1" t="s">
        <v>349</v>
      </c>
      <c r="H78" s="1">
        <v>2023</v>
      </c>
      <c r="I78" s="4">
        <v>1780</v>
      </c>
      <c r="J78" s="2">
        <f t="shared" si="2"/>
        <v>13.73</v>
      </c>
      <c r="K78" s="2">
        <f t="shared" si="2"/>
        <v>13.26</v>
      </c>
      <c r="L78" s="2">
        <f t="shared" si="2"/>
        <v>0.05</v>
      </c>
      <c r="M78" s="2">
        <f t="shared" si="2"/>
        <v>0.41</v>
      </c>
      <c r="N78" s="3">
        <v>24434</v>
      </c>
      <c r="O78" s="3">
        <v>23606</v>
      </c>
      <c r="P78" s="3">
        <v>97</v>
      </c>
      <c r="Q78" s="3">
        <f>Tabla13[[#This Row],[Total Espacios Censo]]-Tabla13[[#This Row],[Pltas. Prod. Censo]]-Tabla13[[#This Row],[Pltas Formación Censo]]</f>
        <v>731</v>
      </c>
      <c r="R78" s="95">
        <v>1.6</v>
      </c>
      <c r="S78" s="95">
        <v>3.5</v>
      </c>
      <c r="T78" s="2" t="s">
        <v>7</v>
      </c>
      <c r="U78" s="99">
        <v>44019</v>
      </c>
      <c r="V78" s="5">
        <v>3</v>
      </c>
      <c r="W78" s="1" t="s">
        <v>12</v>
      </c>
      <c r="X78" s="99">
        <v>32228</v>
      </c>
      <c r="Y78" s="1">
        <f ca="1">INT(YEARFRAC(Tabla13[[#This Row],[Fecha nacimiento]],TODAY()))</f>
        <v>38</v>
      </c>
      <c r="Z78" s="1">
        <v>966986285</v>
      </c>
      <c r="AA78" s="1" t="s">
        <v>296</v>
      </c>
      <c r="AB78" s="1" t="s">
        <v>275</v>
      </c>
      <c r="AC78" s="1"/>
      <c r="AD78" s="102" t="s">
        <v>173</v>
      </c>
      <c r="AE78" s="75" t="s">
        <v>27</v>
      </c>
    </row>
    <row r="79" spans="1:31" hidden="1" x14ac:dyDescent="0.3">
      <c r="A79" s="187" t="s">
        <v>105</v>
      </c>
      <c r="B79" s="216" t="s">
        <v>41</v>
      </c>
      <c r="C79" s="187" t="s">
        <v>242</v>
      </c>
      <c r="D79" s="1" t="s">
        <v>34</v>
      </c>
      <c r="E79" s="1" t="str">
        <f>Tabla13[[#This Row],[VAR]]&amp;Tabla13[[#This Row],[LOTE]]</f>
        <v>TME09</v>
      </c>
      <c r="F79" s="186" t="s">
        <v>377</v>
      </c>
      <c r="G79" s="1" t="s">
        <v>349</v>
      </c>
      <c r="H79" s="1">
        <v>2023</v>
      </c>
      <c r="I79" s="4">
        <v>1780</v>
      </c>
      <c r="J79" s="2">
        <f t="shared" si="2"/>
        <v>12.29</v>
      </c>
      <c r="K79" s="2">
        <f t="shared" si="2"/>
        <v>11.65</v>
      </c>
      <c r="L79" s="2">
        <f t="shared" si="2"/>
        <v>0.01</v>
      </c>
      <c r="M79" s="2">
        <f t="shared" si="2"/>
        <v>0.63</v>
      </c>
      <c r="N79" s="3">
        <v>21876</v>
      </c>
      <c r="O79" s="3">
        <v>20734</v>
      </c>
      <c r="P79" s="3">
        <v>13</v>
      </c>
      <c r="Q79" s="3">
        <f>Tabla13[[#This Row],[Total Espacios Censo]]-Tabla13[[#This Row],[Pltas. Prod. Censo]]-Tabla13[[#This Row],[Pltas Formación Censo]]</f>
        <v>1129</v>
      </c>
      <c r="R79" s="95">
        <v>1.6</v>
      </c>
      <c r="S79" s="95">
        <v>3.5</v>
      </c>
      <c r="T79" s="2" t="s">
        <v>7</v>
      </c>
      <c r="U79" s="99">
        <v>44021</v>
      </c>
      <c r="V79" s="5">
        <v>3</v>
      </c>
      <c r="W79" s="1" t="s">
        <v>12</v>
      </c>
      <c r="X79" s="99">
        <v>32228</v>
      </c>
      <c r="Y79" s="1">
        <f ca="1">INT(YEARFRAC(Tabla13[[#This Row],[Fecha nacimiento]],TODAY()))</f>
        <v>38</v>
      </c>
      <c r="Z79" s="1">
        <v>966986285</v>
      </c>
      <c r="AA79" s="1" t="s">
        <v>296</v>
      </c>
      <c r="AB79" s="1" t="s">
        <v>275</v>
      </c>
      <c r="AC79" s="1"/>
      <c r="AD79" s="102" t="s">
        <v>173</v>
      </c>
      <c r="AE79" s="75" t="s">
        <v>27</v>
      </c>
    </row>
    <row r="80" spans="1:31" hidden="1" x14ac:dyDescent="0.3">
      <c r="A80" s="187" t="s">
        <v>105</v>
      </c>
      <c r="B80" s="216" t="s">
        <v>42</v>
      </c>
      <c r="C80" s="187" t="s">
        <v>242</v>
      </c>
      <c r="D80" s="1" t="s">
        <v>34</v>
      </c>
      <c r="E80" s="1" t="str">
        <f>Tabla13[[#This Row],[VAR]]&amp;Tabla13[[#This Row],[LOTE]]</f>
        <v>TMF08</v>
      </c>
      <c r="F80" s="186" t="s">
        <v>377</v>
      </c>
      <c r="G80" s="1" t="s">
        <v>349</v>
      </c>
      <c r="H80" s="1">
        <v>2023</v>
      </c>
      <c r="I80" s="4">
        <v>1780</v>
      </c>
      <c r="J80" s="2">
        <f t="shared" si="2"/>
        <v>15</v>
      </c>
      <c r="K80" s="2">
        <f t="shared" si="2"/>
        <v>14.77</v>
      </c>
      <c r="L80" s="2">
        <f t="shared" si="2"/>
        <v>0.02</v>
      </c>
      <c r="M80" s="2">
        <f t="shared" si="2"/>
        <v>0.21</v>
      </c>
      <c r="N80" s="3">
        <v>26703</v>
      </c>
      <c r="O80" s="3">
        <v>26290.6</v>
      </c>
      <c r="P80" s="3">
        <v>39</v>
      </c>
      <c r="Q80" s="3">
        <f>Tabla13[[#This Row],[Total Espacios Censo]]-Tabla13[[#This Row],[Pltas. Prod. Censo]]-Tabla13[[#This Row],[Pltas Formación Censo]]</f>
        <v>373.40000000000146</v>
      </c>
      <c r="R80" s="95">
        <v>1.6</v>
      </c>
      <c r="S80" s="95">
        <v>3.5</v>
      </c>
      <c r="T80" s="2" t="s">
        <v>7</v>
      </c>
      <c r="U80" s="99">
        <v>44026</v>
      </c>
      <c r="V80" s="5">
        <v>3</v>
      </c>
      <c r="W80" s="1" t="s">
        <v>12</v>
      </c>
      <c r="X80" s="99">
        <v>34846</v>
      </c>
      <c r="Y80" s="1">
        <f ca="1">INT(YEARFRAC(Tabla13[[#This Row],[Fecha nacimiento]],TODAY()))</f>
        <v>31</v>
      </c>
      <c r="Z80" s="1">
        <v>969198968</v>
      </c>
      <c r="AA80" s="1" t="s">
        <v>317</v>
      </c>
      <c r="AB80" s="1" t="s">
        <v>268</v>
      </c>
      <c r="AC80" s="1" t="s">
        <v>318</v>
      </c>
      <c r="AD80" s="102" t="s">
        <v>172</v>
      </c>
      <c r="AE80" s="75" t="s">
        <v>27</v>
      </c>
    </row>
    <row r="81" spans="1:33" hidden="1" x14ac:dyDescent="0.3">
      <c r="A81" s="187" t="s">
        <v>105</v>
      </c>
      <c r="B81" s="216" t="s">
        <v>43</v>
      </c>
      <c r="C81" s="187" t="s">
        <v>242</v>
      </c>
      <c r="D81" s="1" t="s">
        <v>34</v>
      </c>
      <c r="E81" s="1" t="str">
        <f>Tabla13[[#This Row],[VAR]]&amp;Tabla13[[#This Row],[LOTE]]</f>
        <v>TMF09</v>
      </c>
      <c r="F81" s="186" t="s">
        <v>377</v>
      </c>
      <c r="G81" s="1" t="s">
        <v>349</v>
      </c>
      <c r="H81" s="1">
        <v>2023</v>
      </c>
      <c r="I81" s="4">
        <v>1780</v>
      </c>
      <c r="J81" s="2">
        <f t="shared" si="2"/>
        <v>15</v>
      </c>
      <c r="K81" s="2">
        <f t="shared" si="2"/>
        <v>14.66</v>
      </c>
      <c r="L81" s="2">
        <f t="shared" si="2"/>
        <v>0.01</v>
      </c>
      <c r="M81" s="2">
        <f t="shared" si="2"/>
        <v>0.33</v>
      </c>
      <c r="N81" s="3">
        <v>26703</v>
      </c>
      <c r="O81" s="3">
        <v>26094.799999999999</v>
      </c>
      <c r="P81" s="3">
        <v>13</v>
      </c>
      <c r="Q81" s="3">
        <f>Tabla13[[#This Row],[Total Espacios Censo]]-Tabla13[[#This Row],[Pltas. Prod. Censo]]-Tabla13[[#This Row],[Pltas Formación Censo]]</f>
        <v>595.20000000000073</v>
      </c>
      <c r="R81" s="95">
        <v>1.6</v>
      </c>
      <c r="S81" s="95">
        <v>3.5</v>
      </c>
      <c r="T81" s="2" t="s">
        <v>7</v>
      </c>
      <c r="U81" s="99">
        <v>44023</v>
      </c>
      <c r="V81" s="5">
        <v>3</v>
      </c>
      <c r="W81" s="1" t="s">
        <v>12</v>
      </c>
      <c r="X81" s="99">
        <v>34846</v>
      </c>
      <c r="Y81" s="1">
        <f ca="1">INT(YEARFRAC(Tabla13[[#This Row],[Fecha nacimiento]],TODAY()))</f>
        <v>31</v>
      </c>
      <c r="Z81" s="1">
        <v>969198968</v>
      </c>
      <c r="AA81" s="1" t="s">
        <v>317</v>
      </c>
      <c r="AB81" s="1" t="s">
        <v>268</v>
      </c>
      <c r="AC81" s="1" t="s">
        <v>318</v>
      </c>
      <c r="AD81" s="102" t="s">
        <v>172</v>
      </c>
      <c r="AE81" s="75" t="s">
        <v>27</v>
      </c>
      <c r="AG81" s="81"/>
    </row>
    <row r="82" spans="1:33" hidden="1" x14ac:dyDescent="0.3">
      <c r="A82" s="186" t="s">
        <v>109</v>
      </c>
      <c r="B82" s="216" t="s">
        <v>65</v>
      </c>
      <c r="C82" s="186" t="s">
        <v>246</v>
      </c>
      <c r="D82" s="1" t="s">
        <v>34</v>
      </c>
      <c r="E82" s="1" t="str">
        <f>Tabla13[[#This Row],[VAR]]&amp;Tabla13[[#This Row],[LOTE]]</f>
        <v>CCG13</v>
      </c>
      <c r="F82" s="186" t="s">
        <v>376</v>
      </c>
      <c r="G82" s="1" t="s">
        <v>351</v>
      </c>
      <c r="H82" s="1">
        <v>2023</v>
      </c>
      <c r="I82" s="7">
        <v>1838</v>
      </c>
      <c r="J82" s="2">
        <f t="shared" si="2"/>
        <v>13.12</v>
      </c>
      <c r="K82" s="2">
        <f t="shared" si="2"/>
        <v>8.7899999999999991</v>
      </c>
      <c r="L82" s="2">
        <f t="shared" si="2"/>
        <v>0.05</v>
      </c>
      <c r="M82" s="2">
        <f t="shared" si="2"/>
        <v>4.28</v>
      </c>
      <c r="N82" s="3">
        <v>24115</v>
      </c>
      <c r="O82" s="3">
        <v>16156.019999999999</v>
      </c>
      <c r="P82" s="3">
        <v>86</v>
      </c>
      <c r="Q82" s="3">
        <f>Tabla13[[#This Row],[Total Espacios Censo]]-Tabla13[[#This Row],[Pltas. Prod. Censo]]-Tabla13[[#This Row],[Pltas Formación Censo]]</f>
        <v>7872.9800000000014</v>
      </c>
      <c r="R82" s="95">
        <v>1.6</v>
      </c>
      <c r="S82" s="95">
        <v>3.5</v>
      </c>
      <c r="T82" s="2" t="s">
        <v>7</v>
      </c>
      <c r="U82" s="99">
        <v>44428</v>
      </c>
      <c r="V82" s="5">
        <v>2</v>
      </c>
      <c r="W82" s="1" t="s">
        <v>12</v>
      </c>
      <c r="X82" s="99">
        <v>30229</v>
      </c>
      <c r="Y82" s="1">
        <f ca="1">INT(YEARFRAC(Tabla13[[#This Row],[Fecha nacimiento]],TODAY()))</f>
        <v>43</v>
      </c>
      <c r="Z82" s="1">
        <v>962939551</v>
      </c>
      <c r="AA82" s="1" t="s">
        <v>277</v>
      </c>
      <c r="AB82" s="1" t="s">
        <v>275</v>
      </c>
      <c r="AC82" s="1"/>
      <c r="AD82" s="102" t="s">
        <v>276</v>
      </c>
      <c r="AE82" s="75" t="s">
        <v>27</v>
      </c>
      <c r="AG82" s="81"/>
    </row>
    <row r="83" spans="1:33" hidden="1" x14ac:dyDescent="0.3">
      <c r="A83" s="186" t="s">
        <v>109</v>
      </c>
      <c r="B83" s="216" t="s">
        <v>66</v>
      </c>
      <c r="C83" s="186" t="s">
        <v>246</v>
      </c>
      <c r="D83" s="1" t="s">
        <v>34</v>
      </c>
      <c r="E83" s="1" t="str">
        <f>Tabla13[[#This Row],[VAR]]&amp;Tabla13[[#This Row],[LOTE]]</f>
        <v>CCH13</v>
      </c>
      <c r="F83" s="186" t="s">
        <v>376</v>
      </c>
      <c r="G83" s="1" t="s">
        <v>351</v>
      </c>
      <c r="H83" s="1">
        <v>2023</v>
      </c>
      <c r="I83" s="7">
        <v>1838</v>
      </c>
      <c r="J83" s="2">
        <f t="shared" si="2"/>
        <v>12.72</v>
      </c>
      <c r="K83" s="2">
        <f t="shared" si="2"/>
        <v>9.5399999999999991</v>
      </c>
      <c r="L83" s="2">
        <f t="shared" si="2"/>
        <v>0.08</v>
      </c>
      <c r="M83" s="2">
        <f t="shared" si="2"/>
        <v>3.09</v>
      </c>
      <c r="N83" s="3">
        <v>23375</v>
      </c>
      <c r="O83" s="3">
        <v>17534.519999999997</v>
      </c>
      <c r="P83" s="3">
        <v>154</v>
      </c>
      <c r="Q83" s="3">
        <f>Tabla13[[#This Row],[Total Espacios Censo]]-Tabla13[[#This Row],[Pltas. Prod. Censo]]-Tabla13[[#This Row],[Pltas Formación Censo]]</f>
        <v>5686.4800000000032</v>
      </c>
      <c r="R83" s="95">
        <v>1.6</v>
      </c>
      <c r="S83" s="95">
        <v>3.5</v>
      </c>
      <c r="T83" s="2" t="s">
        <v>7</v>
      </c>
      <c r="U83" s="99">
        <v>44394</v>
      </c>
      <c r="V83" s="5">
        <v>2</v>
      </c>
      <c r="W83" s="1" t="s">
        <v>12</v>
      </c>
      <c r="X83" s="99">
        <v>30229</v>
      </c>
      <c r="Y83" s="1">
        <f ca="1">INT(YEARFRAC(Tabla13[[#This Row],[Fecha nacimiento]],TODAY()))</f>
        <v>43</v>
      </c>
      <c r="Z83" s="1">
        <v>962939551</v>
      </c>
      <c r="AA83" s="1" t="s">
        <v>277</v>
      </c>
      <c r="AB83" s="1" t="s">
        <v>275</v>
      </c>
      <c r="AC83" s="1"/>
      <c r="AD83" s="102" t="s">
        <v>276</v>
      </c>
      <c r="AE83" s="75" t="s">
        <v>27</v>
      </c>
      <c r="AG83" s="81"/>
    </row>
    <row r="84" spans="1:33" hidden="1" x14ac:dyDescent="0.3">
      <c r="A84" s="186" t="s">
        <v>163</v>
      </c>
      <c r="B84" s="216" t="s">
        <v>88</v>
      </c>
      <c r="C84" s="186" t="s">
        <v>245</v>
      </c>
      <c r="D84" s="1" t="s">
        <v>34</v>
      </c>
      <c r="E84" s="1" t="str">
        <f>Tabla13[[#This Row],[VAR]]&amp;Tabla13[[#This Row],[LOTE]]</f>
        <v>ACG14</v>
      </c>
      <c r="F84" s="186" t="s">
        <v>377</v>
      </c>
      <c r="G84" s="1" t="s">
        <v>388</v>
      </c>
      <c r="H84" s="1">
        <v>2023</v>
      </c>
      <c r="I84" s="4">
        <v>1838</v>
      </c>
      <c r="J84" s="2">
        <f t="shared" si="2"/>
        <v>15.46</v>
      </c>
      <c r="K84" s="2">
        <f t="shared" si="2"/>
        <v>12.37</v>
      </c>
      <c r="L84" s="2">
        <f t="shared" si="2"/>
        <v>2.33</v>
      </c>
      <c r="M84" s="2">
        <f t="shared" si="2"/>
        <v>0.76</v>
      </c>
      <c r="N84" s="3">
        <v>28416</v>
      </c>
      <c r="O84" s="3">
        <v>22736.059999999998</v>
      </c>
      <c r="P84" s="3">
        <v>4277</v>
      </c>
      <c r="Q84" s="3">
        <f>Tabla13[[#This Row],[Total Espacios Censo]]-Tabla13[[#This Row],[Pltas. Prod. Censo]]-Tabla13[[#This Row],[Pltas Formación Censo]]</f>
        <v>1402.9400000000023</v>
      </c>
      <c r="R84" s="95">
        <v>1.6</v>
      </c>
      <c r="S84" s="95">
        <v>3.5</v>
      </c>
      <c r="T84" s="2" t="s">
        <v>7</v>
      </c>
      <c r="U84" s="99">
        <v>44460</v>
      </c>
      <c r="V84" s="5">
        <v>2</v>
      </c>
      <c r="W84" s="1" t="s">
        <v>12</v>
      </c>
      <c r="X84" s="99">
        <v>36199</v>
      </c>
      <c r="Y84" s="1">
        <f ca="1">INT(YEARFRAC(Tabla13[[#This Row],[Fecha nacimiento]],TODAY()))</f>
        <v>27</v>
      </c>
      <c r="Z84" s="1">
        <v>915218460</v>
      </c>
      <c r="AA84" s="1" t="s">
        <v>267</v>
      </c>
      <c r="AB84" s="1" t="s">
        <v>268</v>
      </c>
      <c r="AC84" s="1" t="s">
        <v>269</v>
      </c>
      <c r="AD84" s="102" t="s">
        <v>270</v>
      </c>
      <c r="AE84" s="75" t="s">
        <v>27</v>
      </c>
    </row>
    <row r="85" spans="1:33" hidden="1" x14ac:dyDescent="0.3">
      <c r="A85" s="194" t="s">
        <v>163</v>
      </c>
      <c r="B85" s="217" t="s">
        <v>89</v>
      </c>
      <c r="C85" s="194" t="s">
        <v>245</v>
      </c>
      <c r="D85" s="1" t="s">
        <v>34</v>
      </c>
      <c r="E85" s="1" t="str">
        <f>Tabla13[[#This Row],[VAR]]&amp;Tabla13[[#This Row],[LOTE]]</f>
        <v>ACG15</v>
      </c>
      <c r="F85" s="194" t="s">
        <v>377</v>
      </c>
      <c r="G85" s="79" t="s">
        <v>388</v>
      </c>
      <c r="H85" s="79">
        <v>2023</v>
      </c>
      <c r="I85" s="101">
        <v>1838</v>
      </c>
      <c r="J85" s="2">
        <f t="shared" si="2"/>
        <v>11.39</v>
      </c>
      <c r="K85" s="2">
        <f t="shared" si="2"/>
        <v>10.63</v>
      </c>
      <c r="L85" s="2">
        <f t="shared" si="2"/>
        <v>0.48</v>
      </c>
      <c r="M85" s="2">
        <f t="shared" si="2"/>
        <v>0.28000000000000003</v>
      </c>
      <c r="N85" s="3">
        <v>20932</v>
      </c>
      <c r="O85" s="3">
        <v>19537.940000000002</v>
      </c>
      <c r="P85" s="3">
        <v>879</v>
      </c>
      <c r="Q85" s="3">
        <f>Tabla13[[#This Row],[Total Espacios Censo]]-Tabla13[[#This Row],[Pltas. Prod. Censo]]-Tabla13[[#This Row],[Pltas Formación Censo]]</f>
        <v>515.05999999999767</v>
      </c>
      <c r="R85" s="95">
        <v>1.6</v>
      </c>
      <c r="S85" s="95">
        <v>3.5</v>
      </c>
      <c r="T85" s="77" t="s">
        <v>7</v>
      </c>
      <c r="U85" s="99">
        <v>44467</v>
      </c>
      <c r="V85" s="78">
        <v>2</v>
      </c>
      <c r="W85" s="79" t="s">
        <v>12</v>
      </c>
      <c r="X85" s="99">
        <v>36199</v>
      </c>
      <c r="Y85" s="1">
        <f ca="1">INT(YEARFRAC(Tabla13[[#This Row],[Fecha nacimiento]],TODAY()))</f>
        <v>27</v>
      </c>
      <c r="Z85" s="1">
        <v>915218460</v>
      </c>
      <c r="AA85" s="1" t="s">
        <v>267</v>
      </c>
      <c r="AB85" s="1" t="s">
        <v>268</v>
      </c>
      <c r="AC85" s="1" t="s">
        <v>269</v>
      </c>
      <c r="AD85" s="102" t="s">
        <v>171</v>
      </c>
      <c r="AE85" s="80" t="s">
        <v>27</v>
      </c>
    </row>
    <row r="86" spans="1:33" x14ac:dyDescent="0.3">
      <c r="A86" s="194" t="s">
        <v>163</v>
      </c>
      <c r="B86" s="79" t="s">
        <v>363</v>
      </c>
      <c r="C86" s="194" t="s">
        <v>245</v>
      </c>
      <c r="D86" s="1" t="s">
        <v>372</v>
      </c>
      <c r="E86" s="1" t="str">
        <f>Tabla13[[#This Row],[VAR]]&amp;Tabla13[[#This Row],[LOTE]]</f>
        <v>ACB08</v>
      </c>
      <c r="F86" s="194" t="s">
        <v>377</v>
      </c>
      <c r="G86" s="79" t="s">
        <v>388</v>
      </c>
      <c r="H86" s="79">
        <v>2023</v>
      </c>
      <c r="I86" s="101">
        <v>1905</v>
      </c>
      <c r="J86" s="2">
        <f t="shared" si="2"/>
        <v>3.8</v>
      </c>
      <c r="K86" s="2">
        <f t="shared" si="2"/>
        <v>0</v>
      </c>
      <c r="L86" s="2">
        <f t="shared" si="2"/>
        <v>0</v>
      </c>
      <c r="M86" s="2">
        <f t="shared" si="2"/>
        <v>3.8</v>
      </c>
      <c r="N86" s="3">
        <v>7239</v>
      </c>
      <c r="O86" s="3">
        <v>0</v>
      </c>
      <c r="P86" s="3">
        <v>0</v>
      </c>
      <c r="Q86" s="3">
        <f>Tabla13[[#This Row],[Total Espacios Censo]]-Tabla13[[#This Row],[Pltas. Prod. Censo]]-Tabla13[[#This Row],[Pltas Formación Censo]]</f>
        <v>7239</v>
      </c>
      <c r="R86" s="95">
        <v>1.5</v>
      </c>
      <c r="S86" s="95">
        <v>3.5</v>
      </c>
      <c r="T86" s="77" t="s">
        <v>338</v>
      </c>
      <c r="U86" s="1">
        <v>2024</v>
      </c>
      <c r="V86" s="78" t="s">
        <v>365</v>
      </c>
      <c r="W86" s="79" t="s">
        <v>9</v>
      </c>
      <c r="X86" s="99"/>
      <c r="Y86" s="1"/>
      <c r="Z86" s="1"/>
      <c r="AA86" s="1"/>
      <c r="AB86" s="1"/>
      <c r="AC86" s="1"/>
      <c r="AD86" s="102"/>
      <c r="AE86" s="80" t="s">
        <v>9</v>
      </c>
    </row>
    <row r="87" spans="1:33" x14ac:dyDescent="0.3">
      <c r="A87" s="194" t="s">
        <v>163</v>
      </c>
      <c r="B87" s="79" t="s">
        <v>364</v>
      </c>
      <c r="C87" s="194" t="s">
        <v>245</v>
      </c>
      <c r="D87" s="1" t="s">
        <v>372</v>
      </c>
      <c r="E87" s="1" t="str">
        <f>Tabla13[[#This Row],[VAR]]&amp;Tabla13[[#This Row],[LOTE]]</f>
        <v>ACD07</v>
      </c>
      <c r="F87" s="194" t="s">
        <v>377</v>
      </c>
      <c r="G87" s="79" t="s">
        <v>388</v>
      </c>
      <c r="H87" s="79">
        <v>2023</v>
      </c>
      <c r="I87" s="101">
        <v>1905</v>
      </c>
      <c r="J87" s="2">
        <f t="shared" si="2"/>
        <v>13</v>
      </c>
      <c r="K87" s="2">
        <f t="shared" si="2"/>
        <v>0</v>
      </c>
      <c r="L87" s="2">
        <f t="shared" si="2"/>
        <v>0</v>
      </c>
      <c r="M87" s="2">
        <f t="shared" si="2"/>
        <v>13</v>
      </c>
      <c r="N87" s="3">
        <v>24765</v>
      </c>
      <c r="O87" s="3">
        <v>0</v>
      </c>
      <c r="P87" s="3">
        <v>0</v>
      </c>
      <c r="Q87" s="3">
        <f>Tabla13[[#This Row],[Total Espacios Censo]]-Tabla13[[#This Row],[Pltas. Prod. Censo]]-Tabla13[[#This Row],[Pltas Formación Censo]]</f>
        <v>24765</v>
      </c>
      <c r="R87" s="95">
        <v>1.5</v>
      </c>
      <c r="S87" s="95">
        <v>3.5</v>
      </c>
      <c r="T87" s="77" t="s">
        <v>338</v>
      </c>
      <c r="U87" s="1">
        <v>2024</v>
      </c>
      <c r="V87" s="78" t="s">
        <v>365</v>
      </c>
      <c r="W87" s="79" t="s">
        <v>9</v>
      </c>
      <c r="X87" s="99"/>
      <c r="Y87" s="1"/>
      <c r="Z87" s="1"/>
      <c r="AA87" s="1"/>
      <c r="AB87" s="1"/>
      <c r="AC87" s="1"/>
      <c r="AD87" s="102"/>
      <c r="AE87" s="80" t="s">
        <v>9</v>
      </c>
    </row>
    <row r="88" spans="1:33" hidden="1" x14ac:dyDescent="0.3">
      <c r="A88" s="194" t="s">
        <v>163</v>
      </c>
      <c r="B88" s="79" t="s">
        <v>102</v>
      </c>
      <c r="C88" s="194" t="s">
        <v>245</v>
      </c>
      <c r="D88" s="1" t="s">
        <v>28</v>
      </c>
      <c r="E88" s="1" t="str">
        <f>Tabla13[[#This Row],[VAR]]&amp;Tabla13[[#This Row],[LOTE]]</f>
        <v>ACI12</v>
      </c>
      <c r="F88" s="194" t="s">
        <v>377</v>
      </c>
      <c r="G88" s="79" t="s">
        <v>388</v>
      </c>
      <c r="H88" s="79">
        <v>2023</v>
      </c>
      <c r="I88" s="101">
        <v>1905</v>
      </c>
      <c r="J88" s="2">
        <f t="shared" si="2"/>
        <v>9.81</v>
      </c>
      <c r="K88" s="2">
        <f t="shared" si="2"/>
        <v>0</v>
      </c>
      <c r="L88" s="2">
        <f t="shared" si="2"/>
        <v>0</v>
      </c>
      <c r="M88" s="2">
        <f t="shared" si="2"/>
        <v>9.81</v>
      </c>
      <c r="N88" s="3">
        <v>18688</v>
      </c>
      <c r="O88" s="3">
        <v>0</v>
      </c>
      <c r="P88" s="3">
        <v>0</v>
      </c>
      <c r="Q88" s="3">
        <f>Tabla13[[#This Row],[Total Espacios Censo]]-Tabla13[[#This Row],[Pltas. Prod. Censo]]-Tabla13[[#This Row],[Pltas Formación Censo]]</f>
        <v>18688</v>
      </c>
      <c r="R88" s="95">
        <v>1.6</v>
      </c>
      <c r="S88" s="95">
        <v>3.5</v>
      </c>
      <c r="T88" s="77" t="s">
        <v>338</v>
      </c>
      <c r="U88" s="1">
        <v>2024</v>
      </c>
      <c r="V88" s="78">
        <v>0</v>
      </c>
      <c r="W88" s="79" t="s">
        <v>12</v>
      </c>
      <c r="X88" s="99">
        <v>33562</v>
      </c>
      <c r="Y88" s="1">
        <f ca="1">INT(YEARFRAC(Tabla13[[#This Row],[Fecha nacimiento]],TODAY()))</f>
        <v>34</v>
      </c>
      <c r="Z88" s="1">
        <v>965358037</v>
      </c>
      <c r="AA88" s="1" t="s">
        <v>271</v>
      </c>
      <c r="AB88" s="1" t="s">
        <v>268</v>
      </c>
      <c r="AC88" s="1" t="s">
        <v>269</v>
      </c>
      <c r="AD88" s="102"/>
      <c r="AE88" s="80" t="s">
        <v>27</v>
      </c>
    </row>
    <row r="89" spans="1:33" hidden="1" x14ac:dyDescent="0.3">
      <c r="A89" s="194" t="s">
        <v>163</v>
      </c>
      <c r="B89" s="79" t="s">
        <v>368</v>
      </c>
      <c r="C89" s="194" t="s">
        <v>245</v>
      </c>
      <c r="D89" s="1" t="s">
        <v>28</v>
      </c>
      <c r="E89" s="1" t="str">
        <f>Tabla13[[#This Row],[VAR]]&amp;Tabla13[[#This Row],[LOTE]]</f>
        <v>ACI15</v>
      </c>
      <c r="F89" s="194" t="s">
        <v>377</v>
      </c>
      <c r="G89" s="79" t="s">
        <v>388</v>
      </c>
      <c r="H89" s="79">
        <v>2023</v>
      </c>
      <c r="I89" s="101">
        <v>1905</v>
      </c>
      <c r="J89" s="2">
        <f t="shared" si="2"/>
        <v>7.36</v>
      </c>
      <c r="K89" s="2">
        <f t="shared" si="2"/>
        <v>0</v>
      </c>
      <c r="L89" s="2">
        <f t="shared" si="2"/>
        <v>0</v>
      </c>
      <c r="M89" s="2">
        <f t="shared" si="2"/>
        <v>7.36</v>
      </c>
      <c r="N89" s="3">
        <v>14021</v>
      </c>
      <c r="O89" s="3">
        <v>0</v>
      </c>
      <c r="P89" s="3">
        <v>0</v>
      </c>
      <c r="Q89" s="3">
        <f>Tabla13[[#This Row],[Total Espacios Censo]]-Tabla13[[#This Row],[Pltas. Prod. Censo]]-Tabla13[[#This Row],[Pltas Formación Censo]]</f>
        <v>14021</v>
      </c>
      <c r="R89" s="95">
        <v>1.6</v>
      </c>
      <c r="S89" s="95">
        <v>3.5</v>
      </c>
      <c r="T89" s="77" t="s">
        <v>338</v>
      </c>
      <c r="U89" s="1">
        <v>2024</v>
      </c>
      <c r="V89" s="78">
        <v>0</v>
      </c>
      <c r="W89" s="79" t="s">
        <v>12</v>
      </c>
      <c r="X89" s="99">
        <v>33562</v>
      </c>
      <c r="Y89" s="1">
        <f ca="1">INT(YEARFRAC(Tabla13[[#This Row],[Fecha nacimiento]],TODAY()))</f>
        <v>34</v>
      </c>
      <c r="Z89" s="1">
        <v>965358037</v>
      </c>
      <c r="AA89" s="1" t="s">
        <v>271</v>
      </c>
      <c r="AB89" s="1" t="s">
        <v>268</v>
      </c>
      <c r="AC89" s="1" t="s">
        <v>269</v>
      </c>
      <c r="AD89" s="102"/>
      <c r="AE89" s="80" t="s">
        <v>27</v>
      </c>
    </row>
    <row r="90" spans="1:33" hidden="1" x14ac:dyDescent="0.3">
      <c r="A90" s="194" t="s">
        <v>163</v>
      </c>
      <c r="B90" s="79" t="s">
        <v>369</v>
      </c>
      <c r="C90" s="194" t="s">
        <v>245</v>
      </c>
      <c r="D90" s="1" t="s">
        <v>28</v>
      </c>
      <c r="E90" s="1" t="str">
        <f>Tabla13[[#This Row],[VAR]]&amp;Tabla13[[#This Row],[LOTE]]</f>
        <v>ACH15</v>
      </c>
      <c r="F90" s="194" t="s">
        <v>377</v>
      </c>
      <c r="G90" s="79" t="s">
        <v>388</v>
      </c>
      <c r="H90" s="79">
        <v>2023</v>
      </c>
      <c r="I90" s="101">
        <v>1905</v>
      </c>
      <c r="J90" s="2">
        <f t="shared" si="2"/>
        <v>12.9</v>
      </c>
      <c r="K90" s="2">
        <f t="shared" si="2"/>
        <v>0</v>
      </c>
      <c r="L90" s="2">
        <f t="shared" si="2"/>
        <v>0</v>
      </c>
      <c r="M90" s="2">
        <f t="shared" si="2"/>
        <v>12.9</v>
      </c>
      <c r="N90" s="3">
        <v>24575</v>
      </c>
      <c r="O90" s="3">
        <v>0</v>
      </c>
      <c r="P90" s="3">
        <v>0</v>
      </c>
      <c r="Q90" s="3">
        <f>Tabla13[[#This Row],[Total Espacios Censo]]-Tabla13[[#This Row],[Pltas. Prod. Censo]]-Tabla13[[#This Row],[Pltas Formación Censo]]</f>
        <v>24575</v>
      </c>
      <c r="R90" s="95">
        <v>1.6</v>
      </c>
      <c r="S90" s="95">
        <v>3.5</v>
      </c>
      <c r="T90" s="77" t="s">
        <v>338</v>
      </c>
      <c r="U90" s="1">
        <v>2024</v>
      </c>
      <c r="V90" s="78">
        <v>0</v>
      </c>
      <c r="W90" s="79" t="s">
        <v>12</v>
      </c>
      <c r="X90" s="99">
        <v>33562</v>
      </c>
      <c r="Y90" s="1">
        <f ca="1">INT(YEARFRAC(Tabla13[[#This Row],[Fecha nacimiento]],TODAY()))</f>
        <v>34</v>
      </c>
      <c r="Z90" s="1">
        <v>965358037</v>
      </c>
      <c r="AA90" s="1" t="s">
        <v>271</v>
      </c>
      <c r="AB90" s="1" t="s">
        <v>268</v>
      </c>
      <c r="AC90" s="1" t="s">
        <v>269</v>
      </c>
      <c r="AD90" s="102"/>
      <c r="AE90" s="80" t="s">
        <v>27</v>
      </c>
    </row>
    <row r="91" spans="1:33" x14ac:dyDescent="0.3">
      <c r="M91" s="82"/>
    </row>
    <row r="92" spans="1:33" x14ac:dyDescent="0.3">
      <c r="M92" s="82"/>
    </row>
    <row r="93" spans="1:33" x14ac:dyDescent="0.3">
      <c r="M93" s="82"/>
    </row>
    <row r="94" spans="1:33" x14ac:dyDescent="0.3">
      <c r="M94" s="82"/>
    </row>
    <row r="95" spans="1:33" x14ac:dyDescent="0.3">
      <c r="M95" s="82"/>
    </row>
    <row r="96" spans="1:33" x14ac:dyDescent="0.3">
      <c r="M96" s="82"/>
    </row>
    <row r="97" spans="13:17" x14ac:dyDescent="0.3">
      <c r="M97" s="82"/>
    </row>
    <row r="98" spans="13:17" x14ac:dyDescent="0.3">
      <c r="M98" s="82"/>
      <c r="P98" s="96"/>
      <c r="Q98" s="96"/>
    </row>
    <row r="99" spans="13:17" x14ac:dyDescent="0.3">
      <c r="M99" s="82"/>
      <c r="P99" s="96"/>
      <c r="Q99" s="96"/>
    </row>
    <row r="100" spans="13:17" x14ac:dyDescent="0.3">
      <c r="M100" s="82"/>
      <c r="P100" s="96"/>
      <c r="Q100" s="96"/>
    </row>
    <row r="101" spans="13:17" x14ac:dyDescent="0.3">
      <c r="M101" s="82"/>
      <c r="P101" s="96"/>
      <c r="Q101" s="96"/>
    </row>
    <row r="102" spans="13:17" x14ac:dyDescent="0.3">
      <c r="M102" s="82"/>
      <c r="P102" s="96"/>
      <c r="Q102" s="96"/>
    </row>
    <row r="103" spans="13:17" x14ac:dyDescent="0.3">
      <c r="M103" s="82"/>
      <c r="P103" s="96"/>
      <c r="Q103" s="96"/>
    </row>
    <row r="104" spans="13:17" x14ac:dyDescent="0.3">
      <c r="M104" s="82"/>
      <c r="P104" s="96"/>
      <c r="Q104" s="96"/>
    </row>
    <row r="105" spans="13:17" x14ac:dyDescent="0.3">
      <c r="M105" s="82"/>
      <c r="P105" s="96"/>
      <c r="Q105" s="96"/>
    </row>
    <row r="106" spans="13:17" x14ac:dyDescent="0.3">
      <c r="M106" s="82"/>
      <c r="P106" s="96"/>
      <c r="Q106" s="96"/>
    </row>
    <row r="107" spans="13:17" x14ac:dyDescent="0.3">
      <c r="M107" s="82"/>
      <c r="P107" s="96"/>
      <c r="Q107" s="96"/>
    </row>
    <row r="108" spans="13:17" x14ac:dyDescent="0.3">
      <c r="M108" s="82"/>
    </row>
    <row r="109" spans="13:17" x14ac:dyDescent="0.3">
      <c r="M109" s="82"/>
    </row>
    <row r="110" spans="13:17" x14ac:dyDescent="0.3">
      <c r="M110" s="82"/>
    </row>
    <row r="111" spans="13:17" x14ac:dyDescent="0.3">
      <c r="M111" s="82"/>
    </row>
    <row r="112" spans="13:17" x14ac:dyDescent="0.3">
      <c r="M112" s="82"/>
    </row>
    <row r="113" spans="13:13" x14ac:dyDescent="0.3">
      <c r="M113" s="82"/>
    </row>
    <row r="114" spans="13:13" x14ac:dyDescent="0.3">
      <c r="M114" s="82"/>
    </row>
    <row r="115" spans="13:13" x14ac:dyDescent="0.3">
      <c r="M115" s="82"/>
    </row>
    <row r="116" spans="13:13" x14ac:dyDescent="0.3">
      <c r="M116" s="82"/>
    </row>
    <row r="117" spans="13:13" x14ac:dyDescent="0.3">
      <c r="M117" s="82"/>
    </row>
    <row r="118" spans="13:13" x14ac:dyDescent="0.3">
      <c r="M118" s="82"/>
    </row>
    <row r="119" spans="13:13" x14ac:dyDescent="0.3">
      <c r="M119" s="82"/>
    </row>
    <row r="120" spans="13:13" x14ac:dyDescent="0.3">
      <c r="M120" s="82"/>
    </row>
    <row r="121" spans="13:13" x14ac:dyDescent="0.3">
      <c r="M121" s="82"/>
    </row>
    <row r="122" spans="13:13" x14ac:dyDescent="0.3">
      <c r="M122" s="82"/>
    </row>
    <row r="123" spans="13:13" x14ac:dyDescent="0.3">
      <c r="M123" s="82"/>
    </row>
    <row r="124" spans="13:13" x14ac:dyDescent="0.3">
      <c r="M124" s="82"/>
    </row>
    <row r="125" spans="13:13" x14ac:dyDescent="0.3">
      <c r="M125" s="82"/>
    </row>
    <row r="126" spans="13:13" x14ac:dyDescent="0.3">
      <c r="M126" s="82"/>
    </row>
    <row r="127" spans="13:13" x14ac:dyDescent="0.3">
      <c r="M127" s="82"/>
    </row>
    <row r="128" spans="13:13" x14ac:dyDescent="0.3">
      <c r="M128" s="82"/>
    </row>
    <row r="129" spans="13:13" x14ac:dyDescent="0.3">
      <c r="M129" s="82"/>
    </row>
    <row r="130" spans="13:13" x14ac:dyDescent="0.3">
      <c r="M130" s="82"/>
    </row>
    <row r="131" spans="13:13" x14ac:dyDescent="0.3">
      <c r="M131" s="82"/>
    </row>
    <row r="132" spans="13:13" x14ac:dyDescent="0.3">
      <c r="M132" s="82"/>
    </row>
    <row r="133" spans="13:13" x14ac:dyDescent="0.3">
      <c r="M133" s="82"/>
    </row>
    <row r="134" spans="13:13" x14ac:dyDescent="0.3">
      <c r="M134" s="82"/>
    </row>
    <row r="135" spans="13:13" x14ac:dyDescent="0.3">
      <c r="M135" s="82"/>
    </row>
    <row r="136" spans="13:13" x14ac:dyDescent="0.3">
      <c r="M136" s="82"/>
    </row>
    <row r="137" spans="13:13" x14ac:dyDescent="0.3">
      <c r="M137" s="82"/>
    </row>
    <row r="138" spans="13:13" x14ac:dyDescent="0.3">
      <c r="M138" s="82"/>
    </row>
    <row r="139" spans="13:13" x14ac:dyDescent="0.3">
      <c r="M139" s="82"/>
    </row>
    <row r="140" spans="13:13" x14ac:dyDescent="0.3">
      <c r="M140" s="82"/>
    </row>
    <row r="141" spans="13:13" x14ac:dyDescent="0.3">
      <c r="M141" s="82"/>
    </row>
    <row r="142" spans="13:13" x14ac:dyDescent="0.3">
      <c r="M142" s="82"/>
    </row>
    <row r="143" spans="13:13" x14ac:dyDescent="0.3">
      <c r="M143" s="82"/>
    </row>
    <row r="144" spans="13:13" x14ac:dyDescent="0.3">
      <c r="M144" s="82"/>
    </row>
    <row r="145" spans="13:13" x14ac:dyDescent="0.3">
      <c r="M145" s="82"/>
    </row>
    <row r="146" spans="13:13" x14ac:dyDescent="0.3">
      <c r="M146" s="82"/>
    </row>
    <row r="147" spans="13:13" x14ac:dyDescent="0.3">
      <c r="M147" s="82"/>
    </row>
    <row r="148" spans="13:13" x14ac:dyDescent="0.3">
      <c r="M148" s="82"/>
    </row>
    <row r="149" spans="13:13" x14ac:dyDescent="0.3">
      <c r="M149" s="82"/>
    </row>
    <row r="150" spans="13:13" x14ac:dyDescent="0.3">
      <c r="M150" s="82"/>
    </row>
    <row r="151" spans="13:13" x14ac:dyDescent="0.3">
      <c r="M151" s="82"/>
    </row>
    <row r="152" spans="13:13" x14ac:dyDescent="0.3">
      <c r="M152" s="82"/>
    </row>
    <row r="153" spans="13:13" x14ac:dyDescent="0.3">
      <c r="M153" s="82"/>
    </row>
    <row r="154" spans="13:13" x14ac:dyDescent="0.3">
      <c r="M154" s="82"/>
    </row>
    <row r="155" spans="13:13" x14ac:dyDescent="0.3">
      <c r="M155" s="82"/>
    </row>
    <row r="156" spans="13:13" x14ac:dyDescent="0.3">
      <c r="M156" s="82"/>
    </row>
    <row r="157" spans="13:13" x14ac:dyDescent="0.3">
      <c r="M157" s="82"/>
    </row>
    <row r="158" spans="13:13" x14ac:dyDescent="0.3">
      <c r="M158" s="82"/>
    </row>
    <row r="159" spans="13:13" x14ac:dyDescent="0.3">
      <c r="M159" s="82"/>
    </row>
    <row r="160" spans="13:13" x14ac:dyDescent="0.3">
      <c r="M160" s="82"/>
    </row>
    <row r="161" spans="13:13" x14ac:dyDescent="0.3">
      <c r="M161" s="82"/>
    </row>
    <row r="162" spans="13:13" x14ac:dyDescent="0.3">
      <c r="M162" s="82"/>
    </row>
    <row r="163" spans="13:13" x14ac:dyDescent="0.3">
      <c r="M163" s="82"/>
    </row>
    <row r="164" spans="13:13" x14ac:dyDescent="0.3">
      <c r="M164" s="82"/>
    </row>
    <row r="165" spans="13:13" x14ac:dyDescent="0.3">
      <c r="M165" s="82"/>
    </row>
    <row r="166" spans="13:13" x14ac:dyDescent="0.3">
      <c r="M166" s="82"/>
    </row>
  </sheetData>
  <pageMargins left="0.7" right="0.7" top="0.75" bottom="0.75" header="0.3" footer="0.3"/>
  <tableParts count="1">
    <tablePart r:id="rId1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Hoja29"/>
  <dimension ref="B1:C4"/>
  <sheetViews>
    <sheetView workbookViewId="0"/>
  </sheetViews>
  <sheetFormatPr baseColWidth="10" defaultRowHeight="14.4" x14ac:dyDescent="0.3"/>
  <sheetData>
    <row r="1" spans="2:3" x14ac:dyDescent="0.3">
      <c r="B1" t="s">
        <v>389</v>
      </c>
      <c r="C1" t="s">
        <v>390</v>
      </c>
    </row>
    <row r="2" spans="2:3" x14ac:dyDescent="0.3">
      <c r="B2" t="s">
        <v>391</v>
      </c>
      <c r="C2" t="s">
        <v>392</v>
      </c>
    </row>
    <row r="3" spans="2:3" x14ac:dyDescent="0.3">
      <c r="B3" t="s">
        <v>393</v>
      </c>
      <c r="C3" t="s">
        <v>394</v>
      </c>
    </row>
    <row r="4" spans="2:3" x14ac:dyDescent="0.3">
      <c r="B4" t="s">
        <v>397</v>
      </c>
      <c r="C4" t="s">
        <v>398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Hoja31"/>
  <dimension ref="B3:F18"/>
  <sheetViews>
    <sheetView workbookViewId="0"/>
  </sheetViews>
  <sheetFormatPr baseColWidth="10" defaultRowHeight="14.4" x14ac:dyDescent="0.3"/>
  <sheetData>
    <row r="3" spans="2:6" x14ac:dyDescent="0.3">
      <c r="B3" s="19" t="s">
        <v>138</v>
      </c>
      <c r="C3" t="s">
        <v>384</v>
      </c>
      <c r="D3" t="s">
        <v>385</v>
      </c>
      <c r="E3" t="s">
        <v>383</v>
      </c>
      <c r="F3" t="s">
        <v>367</v>
      </c>
    </row>
    <row r="4" spans="2:6" x14ac:dyDescent="0.3">
      <c r="B4" s="20" t="s">
        <v>7</v>
      </c>
      <c r="C4" s="21">
        <v>921.74</v>
      </c>
      <c r="D4">
        <v>19.36</v>
      </c>
      <c r="E4">
        <v>33.11</v>
      </c>
      <c r="F4">
        <v>974.21</v>
      </c>
    </row>
    <row r="5" spans="2:6" x14ac:dyDescent="0.3">
      <c r="B5" s="184" t="s">
        <v>108</v>
      </c>
      <c r="C5" s="21">
        <v>65.660000000000011</v>
      </c>
      <c r="D5">
        <v>1.4800000000000002</v>
      </c>
      <c r="E5">
        <v>2.5299999999999985</v>
      </c>
      <c r="F5">
        <v>69.67</v>
      </c>
    </row>
    <row r="6" spans="2:6" x14ac:dyDescent="0.3">
      <c r="B6" s="184" t="s">
        <v>163</v>
      </c>
      <c r="C6" s="21">
        <v>196.15999999999997</v>
      </c>
      <c r="D6">
        <v>6.8400000000000007</v>
      </c>
      <c r="E6">
        <v>6.6599999999999993</v>
      </c>
      <c r="F6">
        <v>209.66000000000003</v>
      </c>
    </row>
    <row r="7" spans="2:6" x14ac:dyDescent="0.3">
      <c r="B7" s="184" t="s">
        <v>117</v>
      </c>
      <c r="C7" s="21">
        <v>17.420000000000002</v>
      </c>
      <c r="D7">
        <v>0</v>
      </c>
      <c r="E7">
        <v>0</v>
      </c>
      <c r="F7">
        <v>17.420000000000002</v>
      </c>
    </row>
    <row r="8" spans="2:6" x14ac:dyDescent="0.3">
      <c r="B8" s="184" t="s">
        <v>109</v>
      </c>
      <c r="C8" s="21">
        <v>67.31</v>
      </c>
      <c r="D8">
        <v>0.12</v>
      </c>
      <c r="E8">
        <v>8.1300000000000026</v>
      </c>
      <c r="F8">
        <v>75.56</v>
      </c>
    </row>
    <row r="9" spans="2:6" x14ac:dyDescent="0.3">
      <c r="B9" s="184" t="s">
        <v>167</v>
      </c>
      <c r="C9" s="21">
        <v>156.15</v>
      </c>
      <c r="D9">
        <v>1.89</v>
      </c>
      <c r="E9">
        <v>2.9000000000000021</v>
      </c>
      <c r="F9">
        <v>160.93999999999997</v>
      </c>
    </row>
    <row r="10" spans="2:6" x14ac:dyDescent="0.3">
      <c r="B10" s="184" t="s">
        <v>135</v>
      </c>
      <c r="C10" s="21">
        <v>1.77</v>
      </c>
      <c r="D10">
        <v>0.04</v>
      </c>
      <c r="E10">
        <v>0.37000000000000016</v>
      </c>
      <c r="F10">
        <v>2.1800000000000002</v>
      </c>
    </row>
    <row r="11" spans="2:6" x14ac:dyDescent="0.3">
      <c r="B11" s="184" t="s">
        <v>112</v>
      </c>
      <c r="C11" s="21">
        <v>89.37</v>
      </c>
      <c r="D11">
        <v>4.6900000000000004</v>
      </c>
      <c r="E11">
        <v>4.5199999999999996</v>
      </c>
      <c r="F11">
        <v>98.58</v>
      </c>
    </row>
    <row r="12" spans="2:6" x14ac:dyDescent="0.3">
      <c r="B12" s="184" t="s">
        <v>105</v>
      </c>
      <c r="C12" s="21">
        <v>327.90000000000003</v>
      </c>
      <c r="D12">
        <v>4.3</v>
      </c>
      <c r="E12">
        <v>8</v>
      </c>
      <c r="F12">
        <v>340.20000000000005</v>
      </c>
    </row>
    <row r="13" spans="2:6" x14ac:dyDescent="0.3">
      <c r="B13" s="20" t="s">
        <v>338</v>
      </c>
      <c r="C13" s="21">
        <v>52.089999999999996</v>
      </c>
      <c r="D13">
        <v>1.3499999999999999</v>
      </c>
      <c r="E13">
        <v>77.640000000000015</v>
      </c>
      <c r="F13">
        <v>131.08000000000001</v>
      </c>
    </row>
    <row r="14" spans="2:6" x14ac:dyDescent="0.3">
      <c r="B14" s="184" t="s">
        <v>163</v>
      </c>
      <c r="C14" s="21">
        <v>0</v>
      </c>
      <c r="D14">
        <v>0</v>
      </c>
      <c r="E14">
        <v>76.940000000000012</v>
      </c>
      <c r="F14">
        <v>76.940000000000012</v>
      </c>
    </row>
    <row r="15" spans="2:6" x14ac:dyDescent="0.3">
      <c r="B15" s="184" t="s">
        <v>105</v>
      </c>
      <c r="C15" s="21">
        <v>52.089999999999996</v>
      </c>
      <c r="D15">
        <v>1.3499999999999999</v>
      </c>
      <c r="E15">
        <v>0.69999999999999907</v>
      </c>
      <c r="F15">
        <v>54.14</v>
      </c>
    </row>
    <row r="16" spans="2:6" x14ac:dyDescent="0.3">
      <c r="B16" s="20" t="s">
        <v>126</v>
      </c>
      <c r="C16" s="21">
        <v>973.83</v>
      </c>
      <c r="D16">
        <v>20.71</v>
      </c>
      <c r="E16">
        <v>110.75000000000001</v>
      </c>
      <c r="F16">
        <v>1105.2900000000002</v>
      </c>
    </row>
    <row r="18" spans="3:3" x14ac:dyDescent="0.3">
      <c r="C18" s="185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Hoja33"/>
  <dimension ref="B3:F15"/>
  <sheetViews>
    <sheetView workbookViewId="0"/>
  </sheetViews>
  <sheetFormatPr baseColWidth="10" defaultRowHeight="14.4" x14ac:dyDescent="0.3"/>
  <sheetData>
    <row r="3" spans="2:6" x14ac:dyDescent="0.3">
      <c r="B3" s="19" t="s">
        <v>138</v>
      </c>
      <c r="C3" t="s">
        <v>384</v>
      </c>
      <c r="D3" t="s">
        <v>385</v>
      </c>
      <c r="E3" t="s">
        <v>383</v>
      </c>
      <c r="F3" t="s">
        <v>386</v>
      </c>
    </row>
    <row r="4" spans="2:6" x14ac:dyDescent="0.3">
      <c r="B4" s="20" t="s">
        <v>7</v>
      </c>
      <c r="C4" s="21">
        <v>1028.73</v>
      </c>
      <c r="D4">
        <v>8.92</v>
      </c>
      <c r="E4">
        <v>25.010000000000005</v>
      </c>
      <c r="F4">
        <v>1062.6599999999999</v>
      </c>
    </row>
    <row r="5" spans="2:6" x14ac:dyDescent="0.3">
      <c r="B5" s="184" t="s">
        <v>108</v>
      </c>
      <c r="C5" s="21">
        <v>66.92</v>
      </c>
      <c r="D5">
        <v>0.73000000000000009</v>
      </c>
      <c r="E5">
        <v>2.0199999999999996</v>
      </c>
      <c r="F5">
        <v>69.67</v>
      </c>
    </row>
    <row r="6" spans="2:6" x14ac:dyDescent="0.3">
      <c r="B6" s="184" t="s">
        <v>163</v>
      </c>
      <c r="C6" s="21">
        <v>315.12</v>
      </c>
      <c r="D6">
        <v>3.4</v>
      </c>
      <c r="E6">
        <v>7.2100000000000026</v>
      </c>
      <c r="F6">
        <v>325.73</v>
      </c>
    </row>
    <row r="7" spans="2:6" x14ac:dyDescent="0.3">
      <c r="B7" s="184" t="s">
        <v>117</v>
      </c>
      <c r="C7" s="21">
        <v>17.420000000000002</v>
      </c>
      <c r="D7">
        <v>0</v>
      </c>
      <c r="E7">
        <v>0</v>
      </c>
      <c r="F7">
        <v>17.420000000000002</v>
      </c>
    </row>
    <row r="8" spans="2:6" x14ac:dyDescent="0.3">
      <c r="B8" s="184" t="s">
        <v>109</v>
      </c>
      <c r="C8" s="21">
        <v>71.36</v>
      </c>
      <c r="D8">
        <v>0.06</v>
      </c>
      <c r="E8">
        <v>4.1400000000000006</v>
      </c>
      <c r="F8">
        <v>75.56</v>
      </c>
    </row>
    <row r="9" spans="2:6" x14ac:dyDescent="0.3">
      <c r="B9" s="184" t="s">
        <v>167</v>
      </c>
      <c r="C9" s="21">
        <v>172.04</v>
      </c>
      <c r="D9">
        <v>0.95</v>
      </c>
      <c r="E9">
        <v>2.4000000000000004</v>
      </c>
      <c r="F9">
        <v>175.38999999999996</v>
      </c>
    </row>
    <row r="10" spans="2:6" x14ac:dyDescent="0.3">
      <c r="B10" s="184" t="s">
        <v>135</v>
      </c>
      <c r="C10" s="21">
        <v>1.96</v>
      </c>
      <c r="D10">
        <v>0.02</v>
      </c>
      <c r="E10">
        <v>0.20000000000000021</v>
      </c>
      <c r="F10">
        <v>2.1800000000000002</v>
      </c>
    </row>
    <row r="11" spans="2:6" x14ac:dyDescent="0.3">
      <c r="B11" s="184" t="s">
        <v>112</v>
      </c>
      <c r="C11" s="21">
        <v>91.64</v>
      </c>
      <c r="D11">
        <v>2.34</v>
      </c>
      <c r="E11">
        <v>4.6000000000000014</v>
      </c>
      <c r="F11">
        <v>98.58</v>
      </c>
    </row>
    <row r="12" spans="2:6" x14ac:dyDescent="0.3">
      <c r="B12" s="184" t="s">
        <v>105</v>
      </c>
      <c r="C12" s="21">
        <v>292.27</v>
      </c>
      <c r="D12">
        <v>1.4200000000000002</v>
      </c>
      <c r="E12">
        <v>4.4399999999999986</v>
      </c>
      <c r="F12">
        <v>298.13</v>
      </c>
    </row>
    <row r="13" spans="2:6" x14ac:dyDescent="0.3">
      <c r="B13" s="20" t="s">
        <v>370</v>
      </c>
      <c r="C13" s="21">
        <v>0</v>
      </c>
      <c r="D13">
        <v>0</v>
      </c>
      <c r="E13">
        <v>42.07</v>
      </c>
      <c r="F13">
        <v>42.07</v>
      </c>
    </row>
    <row r="14" spans="2:6" x14ac:dyDescent="0.3">
      <c r="B14" s="184" t="s">
        <v>105</v>
      </c>
      <c r="C14" s="21">
        <v>0</v>
      </c>
      <c r="D14">
        <v>0</v>
      </c>
      <c r="E14">
        <v>42.07</v>
      </c>
      <c r="F14">
        <v>42.07</v>
      </c>
    </row>
    <row r="15" spans="2:6" x14ac:dyDescent="0.3">
      <c r="B15" s="20" t="s">
        <v>126</v>
      </c>
      <c r="C15" s="21">
        <v>1028.73</v>
      </c>
      <c r="D15">
        <v>8.92</v>
      </c>
      <c r="E15">
        <v>67.080000000000013</v>
      </c>
      <c r="F15">
        <v>1104.7299999999998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Hoja34"/>
  <dimension ref="A1:S96"/>
  <sheetViews>
    <sheetView workbookViewId="0"/>
  </sheetViews>
  <sheetFormatPr baseColWidth="10" defaultRowHeight="14.4" x14ac:dyDescent="0.3"/>
  <sheetData>
    <row r="1" spans="1:19" ht="18" x14ac:dyDescent="0.3">
      <c r="D1" s="105"/>
      <c r="E1" s="105"/>
      <c r="F1" s="105"/>
      <c r="G1" s="105"/>
    </row>
    <row r="2" spans="1:19" ht="18" x14ac:dyDescent="0.3">
      <c r="D2" s="198" t="s">
        <v>340</v>
      </c>
      <c r="E2" s="198"/>
      <c r="F2" s="198"/>
      <c r="G2" s="198"/>
      <c r="H2" s="200" t="s">
        <v>341</v>
      </c>
      <c r="I2" s="201"/>
      <c r="J2" s="201"/>
      <c r="K2" s="201"/>
      <c r="L2" s="201"/>
      <c r="M2" s="201"/>
      <c r="N2" s="201"/>
      <c r="O2" s="201"/>
      <c r="P2" s="201"/>
      <c r="Q2" s="201"/>
      <c r="R2" s="201"/>
      <c r="S2" s="202"/>
    </row>
    <row r="3" spans="1:19" ht="18" x14ac:dyDescent="0.3">
      <c r="D3" s="199"/>
      <c r="E3" s="199"/>
      <c r="F3" s="199"/>
      <c r="G3" s="199"/>
      <c r="H3" s="203" t="s">
        <v>148</v>
      </c>
      <c r="I3" s="204"/>
      <c r="J3" s="204"/>
      <c r="K3" s="204"/>
      <c r="L3" s="203" t="s">
        <v>149</v>
      </c>
      <c r="M3" s="204"/>
      <c r="N3" s="204"/>
      <c r="O3" s="204"/>
      <c r="P3" s="204"/>
      <c r="Q3" s="204"/>
      <c r="R3" s="204"/>
      <c r="S3" s="205"/>
    </row>
    <row r="4" spans="1:19" ht="28.8" x14ac:dyDescent="0.3">
      <c r="B4" s="106"/>
      <c r="C4" s="107"/>
      <c r="D4" s="108" t="s">
        <v>164</v>
      </c>
      <c r="E4" s="109" t="s">
        <v>0</v>
      </c>
      <c r="F4" s="110" t="s">
        <v>342</v>
      </c>
      <c r="G4" s="110" t="s">
        <v>343</v>
      </c>
      <c r="H4" s="110" t="s">
        <v>165</v>
      </c>
      <c r="I4" s="110" t="s">
        <v>166</v>
      </c>
      <c r="J4" s="110" t="s">
        <v>162</v>
      </c>
      <c r="K4" s="110" t="s">
        <v>344</v>
      </c>
      <c r="L4" s="109" t="s">
        <v>165</v>
      </c>
      <c r="M4" s="109" t="s">
        <v>166</v>
      </c>
      <c r="N4" s="111" t="s">
        <v>162</v>
      </c>
      <c r="O4" s="109" t="s">
        <v>344</v>
      </c>
      <c r="P4" s="110" t="s">
        <v>345</v>
      </c>
      <c r="Q4" s="110" t="s">
        <v>346</v>
      </c>
      <c r="R4" s="110" t="s">
        <v>347</v>
      </c>
      <c r="S4" s="110" t="s">
        <v>348</v>
      </c>
    </row>
    <row r="5" spans="1:19" ht="15.6" x14ac:dyDescent="0.3">
      <c r="A5" s="112">
        <v>0</v>
      </c>
      <c r="B5" s="113">
        <v>0</v>
      </c>
      <c r="C5" s="195" t="s">
        <v>242</v>
      </c>
      <c r="D5" s="32" t="s">
        <v>6</v>
      </c>
      <c r="E5" s="114">
        <v>1788.3922615076717</v>
      </c>
      <c r="F5" s="32" t="s">
        <v>349</v>
      </c>
      <c r="G5" s="32">
        <v>2018</v>
      </c>
      <c r="H5" s="28">
        <v>15.06</v>
      </c>
      <c r="I5" s="28">
        <v>14.96</v>
      </c>
      <c r="J5" s="28">
        <v>0.03</v>
      </c>
      <c r="K5" s="28">
        <v>7.0000000000000284E-2</v>
      </c>
      <c r="L5" s="114">
        <v>26808</v>
      </c>
      <c r="M5" s="115">
        <v>26752</v>
      </c>
      <c r="N5" s="115">
        <v>52</v>
      </c>
      <c r="O5" s="115">
        <v>4</v>
      </c>
      <c r="P5" s="115">
        <v>0</v>
      </c>
      <c r="Q5" s="115">
        <v>4</v>
      </c>
      <c r="R5" s="42">
        <v>0</v>
      </c>
      <c r="S5" s="42">
        <v>0</v>
      </c>
    </row>
    <row r="6" spans="1:19" ht="15.6" x14ac:dyDescent="0.3">
      <c r="A6" s="112">
        <v>-10432</v>
      </c>
      <c r="B6" s="113">
        <v>-4.8999999999999986</v>
      </c>
      <c r="C6" s="196"/>
      <c r="D6" s="33" t="s">
        <v>11</v>
      </c>
      <c r="E6" s="117">
        <v>2133.3778371161548</v>
      </c>
      <c r="F6" s="33" t="s">
        <v>349</v>
      </c>
      <c r="G6" s="33">
        <v>2016</v>
      </c>
      <c r="H6" s="29">
        <v>10.090000000000002</v>
      </c>
      <c r="I6" s="29">
        <v>9.9600000000000009</v>
      </c>
      <c r="J6" s="29">
        <v>0.13</v>
      </c>
      <c r="K6" s="29">
        <v>0</v>
      </c>
      <c r="L6" s="117">
        <v>21526</v>
      </c>
      <c r="M6" s="118">
        <v>21245</v>
      </c>
      <c r="N6" s="118">
        <v>274</v>
      </c>
      <c r="O6" s="118">
        <v>7</v>
      </c>
      <c r="P6" s="118">
        <v>0</v>
      </c>
      <c r="Q6" s="118">
        <v>7</v>
      </c>
      <c r="R6" s="43">
        <v>0</v>
      </c>
      <c r="S6" s="43">
        <v>0</v>
      </c>
    </row>
    <row r="7" spans="1:19" ht="15.6" x14ac:dyDescent="0.3">
      <c r="A7" s="112">
        <v>-657</v>
      </c>
      <c r="B7" s="113">
        <v>-0.29999999999999893</v>
      </c>
      <c r="C7" s="196"/>
      <c r="D7" s="33" t="s">
        <v>13</v>
      </c>
      <c r="E7" s="117">
        <v>2132.2829131652661</v>
      </c>
      <c r="F7" s="33" t="s">
        <v>349</v>
      </c>
      <c r="G7" s="33">
        <v>2016</v>
      </c>
      <c r="H7" s="29">
        <v>13.98</v>
      </c>
      <c r="I7" s="29">
        <v>11.32</v>
      </c>
      <c r="J7" s="29">
        <v>0.25</v>
      </c>
      <c r="K7" s="29">
        <v>2.41</v>
      </c>
      <c r="L7" s="117">
        <v>29792</v>
      </c>
      <c r="M7" s="118">
        <v>29251</v>
      </c>
      <c r="N7" s="118">
        <v>523</v>
      </c>
      <c r="O7" s="118">
        <v>18</v>
      </c>
      <c r="P7" s="118">
        <v>0</v>
      </c>
      <c r="Q7" s="118">
        <v>18</v>
      </c>
      <c r="R7" s="43">
        <v>0</v>
      </c>
      <c r="S7" s="43">
        <v>0</v>
      </c>
    </row>
    <row r="8" spans="1:19" ht="15.6" x14ac:dyDescent="0.3">
      <c r="A8" s="112">
        <v>0</v>
      </c>
      <c r="B8" s="113">
        <v>0</v>
      </c>
      <c r="C8" s="196"/>
      <c r="D8" s="33" t="s">
        <v>14</v>
      </c>
      <c r="E8" s="117">
        <v>2141.1564625850342</v>
      </c>
      <c r="F8" s="33" t="s">
        <v>349</v>
      </c>
      <c r="G8" s="33">
        <v>2016</v>
      </c>
      <c r="H8" s="29">
        <v>14.76</v>
      </c>
      <c r="I8" s="29">
        <v>14.51</v>
      </c>
      <c r="J8" s="29">
        <v>7.0000000000000007E-2</v>
      </c>
      <c r="K8" s="29">
        <v>0.17999999999999972</v>
      </c>
      <c r="L8" s="117">
        <v>31475</v>
      </c>
      <c r="M8" s="118">
        <v>31272</v>
      </c>
      <c r="N8" s="118">
        <v>151</v>
      </c>
      <c r="O8" s="118">
        <v>52</v>
      </c>
      <c r="P8" s="118">
        <v>0</v>
      </c>
      <c r="Q8" s="118">
        <v>52</v>
      </c>
      <c r="R8" s="43">
        <v>0</v>
      </c>
      <c r="S8" s="43">
        <v>0</v>
      </c>
    </row>
    <row r="9" spans="1:19" ht="15.6" x14ac:dyDescent="0.3">
      <c r="A9" s="112">
        <v>0</v>
      </c>
      <c r="B9" s="113">
        <v>0</v>
      </c>
      <c r="C9" s="196"/>
      <c r="D9" s="33" t="s">
        <v>15</v>
      </c>
      <c r="E9" s="117">
        <v>2131.9191919191921</v>
      </c>
      <c r="F9" s="33" t="s">
        <v>349</v>
      </c>
      <c r="G9" s="33">
        <v>2017</v>
      </c>
      <c r="H9" s="29">
        <v>14.85</v>
      </c>
      <c r="I9" s="29">
        <v>11.71</v>
      </c>
      <c r="J9" s="29">
        <v>0.1</v>
      </c>
      <c r="K9" s="29">
        <v>3.0399999999999991</v>
      </c>
      <c r="L9" s="117">
        <v>31659</v>
      </c>
      <c r="M9" s="118">
        <v>31403</v>
      </c>
      <c r="N9" s="118">
        <v>223</v>
      </c>
      <c r="O9" s="118">
        <v>33</v>
      </c>
      <c r="P9" s="118">
        <v>0</v>
      </c>
      <c r="Q9" s="118">
        <v>33</v>
      </c>
      <c r="R9" s="43">
        <v>0</v>
      </c>
      <c r="S9" s="43">
        <v>0</v>
      </c>
    </row>
    <row r="10" spans="1:19" ht="15.6" x14ac:dyDescent="0.3">
      <c r="A10" s="112">
        <v>0</v>
      </c>
      <c r="B10" s="113">
        <v>0</v>
      </c>
      <c r="C10" s="196"/>
      <c r="D10" s="33" t="s">
        <v>16</v>
      </c>
      <c r="E10" s="117">
        <v>2069.0666666666666</v>
      </c>
      <c r="F10" s="33" t="s">
        <v>349</v>
      </c>
      <c r="G10" s="33">
        <v>2017</v>
      </c>
      <c r="H10" s="29">
        <v>14.99</v>
      </c>
      <c r="I10" s="29">
        <v>14.28</v>
      </c>
      <c r="J10" s="29">
        <v>0.01</v>
      </c>
      <c r="K10" s="29">
        <v>0.70000000000000107</v>
      </c>
      <c r="L10" s="117">
        <v>31036</v>
      </c>
      <c r="M10" s="118">
        <v>30998</v>
      </c>
      <c r="N10" s="118">
        <v>25</v>
      </c>
      <c r="O10" s="118">
        <v>13</v>
      </c>
      <c r="P10" s="118">
        <v>0</v>
      </c>
      <c r="Q10" s="118">
        <v>13</v>
      </c>
      <c r="R10" s="43">
        <v>0</v>
      </c>
      <c r="S10" s="43">
        <v>0</v>
      </c>
    </row>
    <row r="11" spans="1:19" ht="15.6" x14ac:dyDescent="0.3">
      <c r="A11" s="112">
        <v>0</v>
      </c>
      <c r="B11" s="113">
        <v>0</v>
      </c>
      <c r="C11" s="196"/>
      <c r="D11" s="33" t="s">
        <v>18</v>
      </c>
      <c r="E11" s="117">
        <v>2069.1999999999998</v>
      </c>
      <c r="F11" s="33" t="s">
        <v>349</v>
      </c>
      <c r="G11" s="33">
        <v>2017</v>
      </c>
      <c r="H11" s="30">
        <v>14.99</v>
      </c>
      <c r="I11" s="29">
        <v>14.78</v>
      </c>
      <c r="J11" s="29">
        <v>0.01</v>
      </c>
      <c r="K11" s="29">
        <v>0.20000000000000107</v>
      </c>
      <c r="L11" s="117">
        <v>31038</v>
      </c>
      <c r="M11" s="118">
        <v>31006</v>
      </c>
      <c r="N11" s="118">
        <v>15</v>
      </c>
      <c r="O11" s="118">
        <v>17</v>
      </c>
      <c r="P11" s="118">
        <v>0</v>
      </c>
      <c r="Q11" s="118">
        <v>17</v>
      </c>
      <c r="R11" s="43">
        <v>0</v>
      </c>
      <c r="S11" s="43">
        <v>0</v>
      </c>
    </row>
    <row r="12" spans="1:19" ht="15.6" x14ac:dyDescent="0.3">
      <c r="A12" s="112">
        <v>0</v>
      </c>
      <c r="B12" s="113">
        <v>0</v>
      </c>
      <c r="C12" s="196"/>
      <c r="D12" s="33" t="s">
        <v>19</v>
      </c>
      <c r="E12" s="117">
        <v>2069.21875</v>
      </c>
      <c r="F12" s="33" t="s">
        <v>349</v>
      </c>
      <c r="G12" s="33">
        <v>2017</v>
      </c>
      <c r="H12" s="30">
        <v>12.8</v>
      </c>
      <c r="I12" s="29">
        <v>12.69</v>
      </c>
      <c r="J12" s="29">
        <v>0.06</v>
      </c>
      <c r="K12" s="29">
        <v>5.0000000000000711E-2</v>
      </c>
      <c r="L12" s="117">
        <v>26486</v>
      </c>
      <c r="M12" s="118">
        <v>26310</v>
      </c>
      <c r="N12" s="118">
        <v>125</v>
      </c>
      <c r="O12" s="118">
        <v>51</v>
      </c>
      <c r="P12" s="118">
        <v>0</v>
      </c>
      <c r="Q12" s="118">
        <v>51</v>
      </c>
      <c r="R12" s="43">
        <v>0</v>
      </c>
      <c r="S12" s="43">
        <v>0</v>
      </c>
    </row>
    <row r="13" spans="1:19" ht="15.6" x14ac:dyDescent="0.3">
      <c r="A13" s="112">
        <v>-901</v>
      </c>
      <c r="B13" s="113">
        <v>-0.41999999999999993</v>
      </c>
      <c r="C13" s="196"/>
      <c r="D13" s="33" t="s">
        <v>22</v>
      </c>
      <c r="E13" s="117">
        <v>2132</v>
      </c>
      <c r="F13" s="33" t="s">
        <v>349</v>
      </c>
      <c r="G13" s="33">
        <v>2015</v>
      </c>
      <c r="H13" s="30">
        <v>14.45</v>
      </c>
      <c r="I13" s="29">
        <v>10.08</v>
      </c>
      <c r="J13" s="29">
        <v>0.12</v>
      </c>
      <c r="K13" s="29">
        <v>4.25</v>
      </c>
      <c r="L13" s="117">
        <v>30807</v>
      </c>
      <c r="M13" s="118">
        <v>30535</v>
      </c>
      <c r="N13" s="118">
        <v>262</v>
      </c>
      <c r="O13" s="118">
        <v>10</v>
      </c>
      <c r="P13" s="118">
        <v>0</v>
      </c>
      <c r="Q13" s="118">
        <v>10</v>
      </c>
      <c r="R13" s="43">
        <v>0</v>
      </c>
      <c r="S13" s="43">
        <v>0</v>
      </c>
    </row>
    <row r="14" spans="1:19" ht="15.6" x14ac:dyDescent="0.3">
      <c r="A14" s="112">
        <v>0</v>
      </c>
      <c r="B14" s="113">
        <v>0</v>
      </c>
      <c r="C14" s="196"/>
      <c r="D14" s="33" t="s">
        <v>23</v>
      </c>
      <c r="E14" s="117">
        <v>2070</v>
      </c>
      <c r="F14" s="33" t="s">
        <v>349</v>
      </c>
      <c r="G14" s="33">
        <v>2016</v>
      </c>
      <c r="H14" s="30">
        <v>14.03</v>
      </c>
      <c r="I14" s="29">
        <v>8.92</v>
      </c>
      <c r="J14" s="29">
        <v>0</v>
      </c>
      <c r="K14" s="29">
        <v>5.1099999999999994</v>
      </c>
      <c r="L14" s="117">
        <v>29040</v>
      </c>
      <c r="M14" s="118">
        <v>29021</v>
      </c>
      <c r="N14" s="118">
        <v>0</v>
      </c>
      <c r="O14" s="118">
        <v>19</v>
      </c>
      <c r="P14" s="118">
        <v>0</v>
      </c>
      <c r="Q14" s="118">
        <v>19</v>
      </c>
      <c r="R14" s="43">
        <v>0</v>
      </c>
      <c r="S14" s="43">
        <v>0</v>
      </c>
    </row>
    <row r="15" spans="1:19" ht="15.6" x14ac:dyDescent="0.3">
      <c r="A15" s="112">
        <v>0</v>
      </c>
      <c r="B15" s="113">
        <v>0</v>
      </c>
      <c r="C15" s="196"/>
      <c r="D15" s="33" t="s">
        <v>24</v>
      </c>
      <c r="E15" s="117">
        <v>2070</v>
      </c>
      <c r="F15" s="33" t="s">
        <v>349</v>
      </c>
      <c r="G15" s="33">
        <v>2017</v>
      </c>
      <c r="H15" s="30">
        <v>13.17</v>
      </c>
      <c r="I15" s="29">
        <v>8.2899999999999991</v>
      </c>
      <c r="J15" s="29">
        <v>0.06</v>
      </c>
      <c r="K15" s="29">
        <v>4.82</v>
      </c>
      <c r="L15" s="117">
        <v>27272</v>
      </c>
      <c r="M15" s="118">
        <v>27101</v>
      </c>
      <c r="N15" s="118">
        <v>119</v>
      </c>
      <c r="O15" s="118">
        <v>52</v>
      </c>
      <c r="P15" s="118">
        <v>0</v>
      </c>
      <c r="Q15" s="118">
        <v>52</v>
      </c>
      <c r="R15" s="43">
        <v>0</v>
      </c>
      <c r="S15" s="43">
        <v>0</v>
      </c>
    </row>
    <row r="16" spans="1:19" ht="15.6" x14ac:dyDescent="0.3">
      <c r="A16" s="112">
        <v>0</v>
      </c>
      <c r="B16" s="113">
        <v>0</v>
      </c>
      <c r="C16" s="196"/>
      <c r="D16" s="33" t="s">
        <v>25</v>
      </c>
      <c r="E16" s="117">
        <v>2070</v>
      </c>
      <c r="F16" s="33" t="s">
        <v>349</v>
      </c>
      <c r="G16" s="33">
        <v>2016</v>
      </c>
      <c r="H16" s="30">
        <v>14.88</v>
      </c>
      <c r="I16" s="29">
        <v>9.11</v>
      </c>
      <c r="J16" s="29">
        <v>0.05</v>
      </c>
      <c r="K16" s="29">
        <v>5.7200000000000006</v>
      </c>
      <c r="L16" s="117">
        <v>30810</v>
      </c>
      <c r="M16" s="118">
        <v>30661</v>
      </c>
      <c r="N16" s="118">
        <v>107</v>
      </c>
      <c r="O16" s="118">
        <v>42</v>
      </c>
      <c r="P16" s="118">
        <v>0</v>
      </c>
      <c r="Q16" s="118">
        <v>42</v>
      </c>
      <c r="R16" s="43">
        <v>0</v>
      </c>
      <c r="S16" s="43">
        <v>0</v>
      </c>
    </row>
    <row r="17" spans="1:19" ht="15.6" x14ac:dyDescent="0.3">
      <c r="A17" s="112">
        <v>0</v>
      </c>
      <c r="B17" s="113">
        <v>0</v>
      </c>
      <c r="C17" s="196"/>
      <c r="D17" s="33" t="s">
        <v>26</v>
      </c>
      <c r="E17" s="117">
        <v>1905</v>
      </c>
      <c r="F17" s="33" t="s">
        <v>349</v>
      </c>
      <c r="G17" s="33">
        <v>2015</v>
      </c>
      <c r="H17" s="30">
        <v>12.63</v>
      </c>
      <c r="I17" s="29">
        <v>12.36</v>
      </c>
      <c r="J17" s="29">
        <v>0.03</v>
      </c>
      <c r="K17" s="29">
        <v>0.24000000000000199</v>
      </c>
      <c r="L17" s="117">
        <v>24054</v>
      </c>
      <c r="M17" s="118">
        <v>23556</v>
      </c>
      <c r="N17" s="118">
        <v>52</v>
      </c>
      <c r="O17" s="118">
        <v>446</v>
      </c>
      <c r="P17" s="118">
        <v>0</v>
      </c>
      <c r="Q17" s="118">
        <v>446</v>
      </c>
      <c r="R17" s="43">
        <v>0</v>
      </c>
      <c r="S17" s="43">
        <v>0</v>
      </c>
    </row>
    <row r="18" spans="1:19" ht="15.6" x14ac:dyDescent="0.3">
      <c r="A18" s="112">
        <v>0</v>
      </c>
      <c r="B18" s="113">
        <v>0</v>
      </c>
      <c r="C18" s="196"/>
      <c r="D18" s="33" t="s">
        <v>29</v>
      </c>
      <c r="E18" s="117">
        <v>1905</v>
      </c>
      <c r="F18" s="33" t="s">
        <v>349</v>
      </c>
      <c r="G18" s="33">
        <v>2017</v>
      </c>
      <c r="H18" s="30">
        <v>11.78</v>
      </c>
      <c r="I18" s="29">
        <v>10.8</v>
      </c>
      <c r="J18" s="29">
        <v>0.17</v>
      </c>
      <c r="K18" s="29">
        <v>0.80999999999999872</v>
      </c>
      <c r="L18" s="117">
        <v>22435</v>
      </c>
      <c r="M18" s="118">
        <v>20573</v>
      </c>
      <c r="N18" s="118">
        <v>318</v>
      </c>
      <c r="O18" s="118">
        <v>1544</v>
      </c>
      <c r="P18" s="118">
        <v>0</v>
      </c>
      <c r="Q18" s="118">
        <v>1544</v>
      </c>
      <c r="R18" s="43">
        <v>0</v>
      </c>
      <c r="S18" s="43">
        <v>0</v>
      </c>
    </row>
    <row r="19" spans="1:19" ht="15.6" x14ac:dyDescent="0.3">
      <c r="A19" s="112">
        <v>0</v>
      </c>
      <c r="B19" s="113">
        <v>0</v>
      </c>
      <c r="C19" s="196"/>
      <c r="D19" s="33" t="s">
        <v>30</v>
      </c>
      <c r="E19" s="117">
        <v>1953</v>
      </c>
      <c r="F19" s="33" t="s">
        <v>349</v>
      </c>
      <c r="G19" s="33">
        <v>2018</v>
      </c>
      <c r="H19" s="29">
        <v>16.3</v>
      </c>
      <c r="I19" s="29">
        <v>16.170000000000002</v>
      </c>
      <c r="J19" s="29">
        <v>7.0000000000000007E-2</v>
      </c>
      <c r="K19" s="29">
        <v>5.9999999999998721E-2</v>
      </c>
      <c r="L19" s="117">
        <v>31843</v>
      </c>
      <c r="M19" s="118">
        <v>31624</v>
      </c>
      <c r="N19" s="118">
        <v>127</v>
      </c>
      <c r="O19" s="118">
        <v>92</v>
      </c>
      <c r="P19" s="118">
        <v>0</v>
      </c>
      <c r="Q19" s="118">
        <v>92</v>
      </c>
      <c r="R19" s="43">
        <v>0</v>
      </c>
      <c r="S19" s="43">
        <v>0</v>
      </c>
    </row>
    <row r="20" spans="1:19" ht="15.6" x14ac:dyDescent="0.3">
      <c r="A20" s="112">
        <v>0</v>
      </c>
      <c r="B20" s="113">
        <v>0</v>
      </c>
      <c r="C20" s="196"/>
      <c r="D20" s="33" t="s">
        <v>31</v>
      </c>
      <c r="E20" s="117">
        <v>1905.1398337112623</v>
      </c>
      <c r="F20" s="33" t="s">
        <v>349</v>
      </c>
      <c r="G20" s="33">
        <v>2016</v>
      </c>
      <c r="H20" s="29">
        <v>13.23</v>
      </c>
      <c r="I20" s="29">
        <v>13.12</v>
      </c>
      <c r="J20" s="29">
        <v>0.04</v>
      </c>
      <c r="K20" s="29">
        <v>7.0000000000002061E-2</v>
      </c>
      <c r="L20" s="117">
        <v>25205</v>
      </c>
      <c r="M20" s="118">
        <v>25017</v>
      </c>
      <c r="N20" s="118">
        <v>81</v>
      </c>
      <c r="O20" s="118">
        <v>107</v>
      </c>
      <c r="P20" s="118">
        <v>0</v>
      </c>
      <c r="Q20" s="118">
        <v>107</v>
      </c>
      <c r="R20" s="43">
        <v>0</v>
      </c>
      <c r="S20" s="43">
        <v>0</v>
      </c>
    </row>
    <row r="21" spans="1:19" ht="15.6" x14ac:dyDescent="0.3">
      <c r="A21" s="112">
        <v>0</v>
      </c>
      <c r="B21" s="113">
        <v>0</v>
      </c>
      <c r="C21" s="196"/>
      <c r="D21" s="33" t="s">
        <v>32</v>
      </c>
      <c r="E21" s="117">
        <v>1953</v>
      </c>
      <c r="F21" s="33" t="s">
        <v>349</v>
      </c>
      <c r="G21" s="33">
        <v>2014</v>
      </c>
      <c r="H21" s="29">
        <v>13.99</v>
      </c>
      <c r="I21" s="29">
        <v>13.97</v>
      </c>
      <c r="J21" s="29">
        <v>0</v>
      </c>
      <c r="K21" s="29">
        <v>1.9999999999999574E-2</v>
      </c>
      <c r="L21" s="117">
        <v>27332</v>
      </c>
      <c r="M21" s="118">
        <v>27330</v>
      </c>
      <c r="N21" s="118"/>
      <c r="O21" s="118">
        <v>2</v>
      </c>
      <c r="P21" s="118">
        <v>0</v>
      </c>
      <c r="Q21" s="118">
        <v>2</v>
      </c>
      <c r="R21" s="43">
        <v>0</v>
      </c>
      <c r="S21" s="43">
        <v>0</v>
      </c>
    </row>
    <row r="22" spans="1:19" ht="15.6" x14ac:dyDescent="0.3">
      <c r="A22" s="112">
        <v>0</v>
      </c>
      <c r="B22" s="113">
        <v>0</v>
      </c>
      <c r="C22" s="196"/>
      <c r="D22" s="33" t="s">
        <v>33</v>
      </c>
      <c r="E22" s="117">
        <v>1953</v>
      </c>
      <c r="F22" s="33" t="s">
        <v>349</v>
      </c>
      <c r="G22" s="33">
        <v>2019</v>
      </c>
      <c r="H22" s="29">
        <v>14.41</v>
      </c>
      <c r="I22" s="29">
        <v>13.74</v>
      </c>
      <c r="J22" s="29">
        <v>0.02</v>
      </c>
      <c r="K22" s="29">
        <v>0.65000000000000036</v>
      </c>
      <c r="L22" s="117">
        <v>28152</v>
      </c>
      <c r="M22" s="118">
        <v>28067</v>
      </c>
      <c r="N22" s="118">
        <v>32</v>
      </c>
      <c r="O22" s="118">
        <v>53</v>
      </c>
      <c r="P22" s="118">
        <v>0</v>
      </c>
      <c r="Q22" s="118">
        <v>53</v>
      </c>
      <c r="R22" s="117">
        <v>0</v>
      </c>
      <c r="S22" s="117">
        <v>0</v>
      </c>
    </row>
    <row r="23" spans="1:19" ht="15.6" x14ac:dyDescent="0.3">
      <c r="A23" s="112">
        <v>0</v>
      </c>
      <c r="B23" s="113">
        <v>0</v>
      </c>
      <c r="C23" s="196"/>
      <c r="D23" s="33" t="s">
        <v>35</v>
      </c>
      <c r="E23" s="117">
        <v>1953</v>
      </c>
      <c r="F23" s="33" t="s">
        <v>349</v>
      </c>
      <c r="G23" s="33">
        <v>2019</v>
      </c>
      <c r="H23" s="29">
        <v>14.27</v>
      </c>
      <c r="I23" s="29">
        <v>14.26</v>
      </c>
      <c r="J23" s="29">
        <v>0</v>
      </c>
      <c r="K23" s="119">
        <v>9.9999999999997868E-3</v>
      </c>
      <c r="L23" s="117">
        <v>27869</v>
      </c>
      <c r="M23" s="118">
        <v>27845</v>
      </c>
      <c r="N23" s="118">
        <v>9</v>
      </c>
      <c r="O23" s="118">
        <v>15</v>
      </c>
      <c r="P23" s="118">
        <v>0</v>
      </c>
      <c r="Q23" s="118">
        <v>15</v>
      </c>
      <c r="R23" s="117">
        <v>0</v>
      </c>
      <c r="S23" s="117">
        <v>0</v>
      </c>
    </row>
    <row r="24" spans="1:19" ht="15.6" x14ac:dyDescent="0.3">
      <c r="A24" s="112">
        <v>0</v>
      </c>
      <c r="B24" s="113">
        <v>0</v>
      </c>
      <c r="C24" s="196"/>
      <c r="D24" s="33" t="s">
        <v>36</v>
      </c>
      <c r="E24" s="117">
        <v>1953</v>
      </c>
      <c r="F24" s="33" t="s">
        <v>349</v>
      </c>
      <c r="G24" s="33">
        <v>2019</v>
      </c>
      <c r="H24" s="29">
        <v>14.65</v>
      </c>
      <c r="I24" s="29">
        <v>14.63</v>
      </c>
      <c r="J24" s="29">
        <v>0.01</v>
      </c>
      <c r="K24" s="29">
        <v>9.9999999999997868E-3</v>
      </c>
      <c r="L24" s="117">
        <v>28615</v>
      </c>
      <c r="M24" s="118">
        <v>28573</v>
      </c>
      <c r="N24" s="118">
        <v>16</v>
      </c>
      <c r="O24" s="118">
        <v>26</v>
      </c>
      <c r="P24" s="118">
        <v>0</v>
      </c>
      <c r="Q24" s="118">
        <v>26</v>
      </c>
      <c r="R24" s="117">
        <v>0</v>
      </c>
      <c r="S24" s="117">
        <v>0</v>
      </c>
    </row>
    <row r="25" spans="1:19" ht="15.6" x14ac:dyDescent="0.3">
      <c r="A25" s="112">
        <v>0</v>
      </c>
      <c r="B25" s="113">
        <v>0</v>
      </c>
      <c r="C25" s="196"/>
      <c r="D25" s="33" t="s">
        <v>37</v>
      </c>
      <c r="E25" s="117">
        <v>1780</v>
      </c>
      <c r="F25" s="33" t="s">
        <v>349</v>
      </c>
      <c r="G25" s="33">
        <v>2020</v>
      </c>
      <c r="H25" s="29">
        <v>14.87</v>
      </c>
      <c r="I25" s="29">
        <v>9.1999999999999993</v>
      </c>
      <c r="J25" s="29">
        <v>0.09</v>
      </c>
      <c r="K25" s="29">
        <v>5.58</v>
      </c>
      <c r="L25" s="117">
        <v>26460</v>
      </c>
      <c r="M25" s="118">
        <v>25984</v>
      </c>
      <c r="N25" s="118">
        <v>156</v>
      </c>
      <c r="O25" s="118">
        <v>320</v>
      </c>
      <c r="P25" s="118">
        <v>0</v>
      </c>
      <c r="Q25" s="118">
        <v>320</v>
      </c>
      <c r="R25" s="117">
        <v>0</v>
      </c>
      <c r="S25" s="117">
        <v>0</v>
      </c>
    </row>
    <row r="26" spans="1:19" ht="15.6" x14ac:dyDescent="0.3">
      <c r="A26" s="112">
        <v>0</v>
      </c>
      <c r="B26" s="113">
        <v>0</v>
      </c>
      <c r="C26" s="196"/>
      <c r="D26" s="33" t="s">
        <v>38</v>
      </c>
      <c r="E26" s="117">
        <v>1780</v>
      </c>
      <c r="F26" s="33" t="s">
        <v>349</v>
      </c>
      <c r="G26" s="33">
        <v>2020</v>
      </c>
      <c r="H26" s="29">
        <v>14.74</v>
      </c>
      <c r="I26" s="29">
        <v>14.67</v>
      </c>
      <c r="J26" s="29">
        <v>0.02</v>
      </c>
      <c r="K26" s="29">
        <v>5.0000000000000711E-2</v>
      </c>
      <c r="L26" s="117">
        <v>26240</v>
      </c>
      <c r="M26" s="118">
        <v>26121</v>
      </c>
      <c r="N26" s="118">
        <v>35</v>
      </c>
      <c r="O26" s="118">
        <v>84</v>
      </c>
      <c r="P26" s="118">
        <v>0</v>
      </c>
      <c r="Q26" s="118">
        <v>84</v>
      </c>
      <c r="R26" s="117">
        <v>0</v>
      </c>
      <c r="S26" s="117">
        <v>0</v>
      </c>
    </row>
    <row r="27" spans="1:19" ht="15.6" x14ac:dyDescent="0.3">
      <c r="A27" s="112">
        <v>0</v>
      </c>
      <c r="B27" s="113">
        <v>0</v>
      </c>
      <c r="C27" s="196"/>
      <c r="D27" s="33" t="s">
        <v>39</v>
      </c>
      <c r="E27" s="117">
        <v>1780</v>
      </c>
      <c r="F27" s="33" t="s">
        <v>349</v>
      </c>
      <c r="G27" s="33">
        <v>2020</v>
      </c>
      <c r="H27" s="29">
        <v>14.96</v>
      </c>
      <c r="I27" s="29">
        <v>14.88</v>
      </c>
      <c r="J27" s="29">
        <v>0.02</v>
      </c>
      <c r="K27" s="29">
        <v>6.0000000000000497E-2</v>
      </c>
      <c r="L27" s="117">
        <v>26634</v>
      </c>
      <c r="M27" s="118">
        <v>26482</v>
      </c>
      <c r="N27" s="118">
        <v>40</v>
      </c>
      <c r="O27" s="118">
        <v>112</v>
      </c>
      <c r="P27" s="118">
        <v>0</v>
      </c>
      <c r="Q27" s="118">
        <v>112</v>
      </c>
      <c r="R27" s="117">
        <v>0</v>
      </c>
      <c r="S27" s="117">
        <v>0</v>
      </c>
    </row>
    <row r="28" spans="1:19" ht="15.6" x14ac:dyDescent="0.3">
      <c r="A28" s="112">
        <v>0</v>
      </c>
      <c r="B28" s="113">
        <v>0</v>
      </c>
      <c r="C28" s="196"/>
      <c r="D28" s="33" t="s">
        <v>40</v>
      </c>
      <c r="E28" s="117">
        <v>1780</v>
      </c>
      <c r="F28" s="33" t="s">
        <v>349</v>
      </c>
      <c r="G28" s="33">
        <v>2020</v>
      </c>
      <c r="H28" s="29">
        <v>13.73</v>
      </c>
      <c r="I28" s="29">
        <v>13.52</v>
      </c>
      <c r="J28" s="29">
        <v>0.11</v>
      </c>
      <c r="K28" s="29">
        <v>0.10000000000000142</v>
      </c>
      <c r="L28" s="117">
        <v>24434</v>
      </c>
      <c r="M28" s="118">
        <v>24120</v>
      </c>
      <c r="N28" s="118">
        <v>203</v>
      </c>
      <c r="O28" s="118">
        <v>111</v>
      </c>
      <c r="P28" s="118">
        <v>0</v>
      </c>
      <c r="Q28" s="118">
        <v>111</v>
      </c>
      <c r="R28" s="117">
        <v>0</v>
      </c>
      <c r="S28" s="117">
        <v>0</v>
      </c>
    </row>
    <row r="29" spans="1:19" ht="15.6" x14ac:dyDescent="0.3">
      <c r="A29" s="112">
        <v>0</v>
      </c>
      <c r="B29" s="113">
        <v>0</v>
      </c>
      <c r="C29" s="196"/>
      <c r="D29" s="33" t="s">
        <v>41</v>
      </c>
      <c r="E29" s="117">
        <v>1780</v>
      </c>
      <c r="F29" s="33" t="s">
        <v>349</v>
      </c>
      <c r="G29" s="33">
        <v>2020</v>
      </c>
      <c r="H29" s="29">
        <v>12.29</v>
      </c>
      <c r="I29" s="29">
        <v>11.13</v>
      </c>
      <c r="J29" s="29">
        <v>0.06</v>
      </c>
      <c r="K29" s="29">
        <v>1.0999999999999979</v>
      </c>
      <c r="L29" s="117">
        <v>21876</v>
      </c>
      <c r="M29" s="118">
        <v>21604</v>
      </c>
      <c r="N29" s="118">
        <v>107</v>
      </c>
      <c r="O29" s="118">
        <v>165</v>
      </c>
      <c r="P29" s="118">
        <v>0</v>
      </c>
      <c r="Q29" s="118">
        <v>165</v>
      </c>
      <c r="R29" s="117">
        <v>0</v>
      </c>
      <c r="S29" s="117">
        <v>0</v>
      </c>
    </row>
    <row r="30" spans="1:19" ht="15.6" x14ac:dyDescent="0.3">
      <c r="A30" s="112">
        <v>0</v>
      </c>
      <c r="B30" s="113">
        <v>0</v>
      </c>
      <c r="C30" s="196"/>
      <c r="D30" s="33" t="s">
        <v>42</v>
      </c>
      <c r="E30" s="117">
        <v>1780</v>
      </c>
      <c r="F30" s="33" t="s">
        <v>349</v>
      </c>
      <c r="G30" s="33">
        <v>2020</v>
      </c>
      <c r="H30" s="29">
        <v>15</v>
      </c>
      <c r="I30" s="29">
        <v>14.74</v>
      </c>
      <c r="J30" s="29">
        <v>0.05</v>
      </c>
      <c r="K30" s="29">
        <v>0.20999999999999908</v>
      </c>
      <c r="L30" s="117">
        <v>26703</v>
      </c>
      <c r="M30" s="118">
        <v>26310</v>
      </c>
      <c r="N30" s="118">
        <v>82</v>
      </c>
      <c r="O30" s="118">
        <v>311</v>
      </c>
      <c r="P30" s="118">
        <v>0</v>
      </c>
      <c r="Q30" s="118">
        <v>311</v>
      </c>
      <c r="R30" s="117">
        <v>0</v>
      </c>
      <c r="S30" s="117">
        <v>0</v>
      </c>
    </row>
    <row r="31" spans="1:19" ht="15.6" x14ac:dyDescent="0.3">
      <c r="A31" s="112">
        <v>0</v>
      </c>
      <c r="B31" s="113">
        <v>0</v>
      </c>
      <c r="C31" s="196"/>
      <c r="D31" s="33" t="s">
        <v>43</v>
      </c>
      <c r="E31" s="117">
        <v>1780</v>
      </c>
      <c r="F31" s="33" t="s">
        <v>349</v>
      </c>
      <c r="G31" s="33">
        <v>2020</v>
      </c>
      <c r="H31" s="29">
        <v>15</v>
      </c>
      <c r="I31" s="29">
        <v>14.3</v>
      </c>
      <c r="J31" s="29">
        <v>7.0000000000000007E-2</v>
      </c>
      <c r="K31" s="29">
        <v>0.62999999999999901</v>
      </c>
      <c r="L31" s="117">
        <v>26703</v>
      </c>
      <c r="M31" s="118">
        <v>26119</v>
      </c>
      <c r="N31" s="118">
        <v>133</v>
      </c>
      <c r="O31" s="118">
        <v>451</v>
      </c>
      <c r="P31" s="118">
        <v>0</v>
      </c>
      <c r="Q31" s="118">
        <v>451</v>
      </c>
      <c r="R31" s="117">
        <v>0</v>
      </c>
      <c r="S31" s="117">
        <v>0</v>
      </c>
    </row>
    <row r="32" spans="1:19" ht="15.6" x14ac:dyDescent="0.3">
      <c r="A32" s="112">
        <v>0</v>
      </c>
      <c r="B32" s="113">
        <v>0</v>
      </c>
      <c r="C32" s="197"/>
      <c r="D32" s="35" t="s">
        <v>44</v>
      </c>
      <c r="E32" s="120">
        <v>1780</v>
      </c>
      <c r="F32" s="35" t="s">
        <v>349</v>
      </c>
      <c r="G32" s="35">
        <v>2022</v>
      </c>
      <c r="H32" s="31">
        <v>14.77</v>
      </c>
      <c r="I32" s="31">
        <v>13.77</v>
      </c>
      <c r="J32" s="31">
        <v>0</v>
      </c>
      <c r="K32" s="31">
        <v>1</v>
      </c>
      <c r="L32" s="120">
        <v>26147</v>
      </c>
      <c r="M32" s="122">
        <v>26147</v>
      </c>
      <c r="N32" s="122">
        <v>0</v>
      </c>
      <c r="O32" s="122">
        <v>0</v>
      </c>
      <c r="P32" s="122">
        <v>0</v>
      </c>
      <c r="Q32" s="122"/>
      <c r="R32" s="120">
        <v>0</v>
      </c>
      <c r="S32" s="123">
        <v>0</v>
      </c>
    </row>
    <row r="33" spans="1:19" ht="15.6" x14ac:dyDescent="0.3">
      <c r="A33" s="127"/>
      <c r="B33" s="113">
        <v>0</v>
      </c>
      <c r="C33" s="206" t="s">
        <v>245</v>
      </c>
      <c r="D33" s="25" t="s">
        <v>88</v>
      </c>
      <c r="E33" s="114">
        <v>1838</v>
      </c>
      <c r="F33" s="32" t="s">
        <v>350</v>
      </c>
      <c r="G33" s="78">
        <v>2021</v>
      </c>
      <c r="H33" s="28">
        <v>15.46</v>
      </c>
      <c r="I33" s="28">
        <v>12.85</v>
      </c>
      <c r="J33" s="28">
        <v>2.0299999999999998</v>
      </c>
      <c r="K33" s="28">
        <v>0.58000000000000185</v>
      </c>
      <c r="L33" s="114">
        <v>28415</v>
      </c>
      <c r="M33" s="114">
        <v>24218</v>
      </c>
      <c r="N33" s="114">
        <v>3735</v>
      </c>
      <c r="O33" s="114">
        <v>462</v>
      </c>
      <c r="P33" s="114">
        <v>0</v>
      </c>
      <c r="Q33" s="114">
        <v>462</v>
      </c>
      <c r="R33" s="114">
        <v>0</v>
      </c>
      <c r="S33" s="114">
        <v>0</v>
      </c>
    </row>
    <row r="34" spans="1:19" ht="15.6" x14ac:dyDescent="0.3">
      <c r="A34" s="127"/>
      <c r="B34" s="113">
        <v>0</v>
      </c>
      <c r="C34" s="131"/>
      <c r="D34" s="26" t="s">
        <v>89</v>
      </c>
      <c r="E34" s="117">
        <v>1838</v>
      </c>
      <c r="F34" s="33" t="s">
        <v>350</v>
      </c>
      <c r="G34" s="128">
        <v>2021</v>
      </c>
      <c r="H34" s="29">
        <v>11.38</v>
      </c>
      <c r="I34" s="29">
        <v>9.33</v>
      </c>
      <c r="J34" s="29">
        <v>1.85</v>
      </c>
      <c r="K34" s="29">
        <v>0.20000000000000107</v>
      </c>
      <c r="L34" s="117">
        <v>20843</v>
      </c>
      <c r="M34" s="117">
        <v>17147</v>
      </c>
      <c r="N34" s="117">
        <v>3400</v>
      </c>
      <c r="O34" s="117">
        <v>296</v>
      </c>
      <c r="P34" s="117">
        <v>0</v>
      </c>
      <c r="Q34" s="117">
        <v>296</v>
      </c>
      <c r="R34" s="117">
        <v>0</v>
      </c>
      <c r="S34" s="117">
        <v>0</v>
      </c>
    </row>
    <row r="35" spans="1:19" ht="15.6" x14ac:dyDescent="0.3">
      <c r="A35" s="127"/>
      <c r="B35" s="113">
        <v>0</v>
      </c>
      <c r="C35" s="131"/>
      <c r="D35" s="26" t="s">
        <v>90</v>
      </c>
      <c r="E35" s="116">
        <v>1905</v>
      </c>
      <c r="F35" s="26" t="s">
        <v>350</v>
      </c>
      <c r="G35" s="128">
        <v>2022</v>
      </c>
      <c r="H35" s="30">
        <v>11.87</v>
      </c>
      <c r="I35" s="30">
        <v>11.01</v>
      </c>
      <c r="J35" s="30"/>
      <c r="K35" s="30">
        <v>0.85999999999999943</v>
      </c>
      <c r="L35" s="116">
        <v>22374</v>
      </c>
      <c r="M35" s="116">
        <v>22374</v>
      </c>
      <c r="N35" s="116">
        <v>0</v>
      </c>
      <c r="O35" s="116">
        <v>0</v>
      </c>
      <c r="P35" s="116">
        <v>0</v>
      </c>
      <c r="Q35" s="116">
        <v>0</v>
      </c>
      <c r="R35" s="116">
        <v>0</v>
      </c>
      <c r="S35" s="116">
        <v>0</v>
      </c>
    </row>
    <row r="36" spans="1:19" ht="15.6" x14ac:dyDescent="0.3">
      <c r="A36" s="127"/>
      <c r="B36" s="113">
        <v>0</v>
      </c>
      <c r="C36" s="131"/>
      <c r="D36" s="26" t="s">
        <v>92</v>
      </c>
      <c r="E36" s="116">
        <v>1905</v>
      </c>
      <c r="F36" s="26" t="s">
        <v>350</v>
      </c>
      <c r="G36" s="128">
        <v>2022</v>
      </c>
      <c r="H36" s="30">
        <v>15</v>
      </c>
      <c r="I36" s="30">
        <v>14.89</v>
      </c>
      <c r="J36" s="30"/>
      <c r="K36" s="30">
        <v>0.10999999999999943</v>
      </c>
      <c r="L36" s="116">
        <v>28372</v>
      </c>
      <c r="M36" s="116">
        <v>28372</v>
      </c>
      <c r="N36" s="116">
        <v>0</v>
      </c>
      <c r="O36" s="116">
        <v>0</v>
      </c>
      <c r="P36" s="116">
        <v>0</v>
      </c>
      <c r="Q36" s="116">
        <v>0</v>
      </c>
      <c r="R36" s="116">
        <v>0</v>
      </c>
      <c r="S36" s="116">
        <v>0</v>
      </c>
    </row>
    <row r="37" spans="1:19" ht="15.6" x14ac:dyDescent="0.3">
      <c r="A37" s="127"/>
      <c r="B37" s="113">
        <v>0</v>
      </c>
      <c r="C37" s="131"/>
      <c r="D37" s="26" t="s">
        <v>80</v>
      </c>
      <c r="E37" s="116">
        <v>1780</v>
      </c>
      <c r="F37" s="26" t="s">
        <v>350</v>
      </c>
      <c r="G37" s="128">
        <v>2022</v>
      </c>
      <c r="H37" s="30">
        <v>10.34</v>
      </c>
      <c r="I37" s="30">
        <v>10.17</v>
      </c>
      <c r="J37" s="30"/>
      <c r="K37" s="30">
        <v>0.16999999999999993</v>
      </c>
      <c r="L37" s="116">
        <v>19040</v>
      </c>
      <c r="M37" s="116">
        <v>19040</v>
      </c>
      <c r="N37" s="116">
        <v>0</v>
      </c>
      <c r="O37" s="116">
        <v>0</v>
      </c>
      <c r="P37" s="116">
        <v>0</v>
      </c>
      <c r="Q37" s="116">
        <v>0</v>
      </c>
      <c r="R37" s="116">
        <v>0</v>
      </c>
      <c r="S37" s="116">
        <v>0</v>
      </c>
    </row>
    <row r="38" spans="1:19" ht="15.6" x14ac:dyDescent="0.3">
      <c r="A38" s="127"/>
      <c r="B38" s="113">
        <v>0</v>
      </c>
      <c r="C38" s="131"/>
      <c r="D38" s="26" t="s">
        <v>93</v>
      </c>
      <c r="E38" s="116">
        <v>1905</v>
      </c>
      <c r="F38" s="26" t="s">
        <v>350</v>
      </c>
      <c r="G38" s="128">
        <v>2022</v>
      </c>
      <c r="H38" s="30">
        <v>15</v>
      </c>
      <c r="I38" s="30">
        <v>14.88</v>
      </c>
      <c r="J38" s="30"/>
      <c r="K38" s="30">
        <v>0.11999999999999922</v>
      </c>
      <c r="L38" s="116">
        <v>28376</v>
      </c>
      <c r="M38" s="116">
        <v>28376</v>
      </c>
      <c r="N38" s="116">
        <v>0</v>
      </c>
      <c r="O38" s="116">
        <v>0</v>
      </c>
      <c r="P38" s="116">
        <v>0</v>
      </c>
      <c r="Q38" s="116">
        <v>0</v>
      </c>
      <c r="R38" s="116">
        <v>0</v>
      </c>
      <c r="S38" s="116">
        <v>0</v>
      </c>
    </row>
    <row r="39" spans="1:19" ht="15.6" x14ac:dyDescent="0.3">
      <c r="A39" s="127"/>
      <c r="B39" s="113">
        <v>0</v>
      </c>
      <c r="C39" s="131"/>
      <c r="D39" s="26" t="s">
        <v>94</v>
      </c>
      <c r="E39" s="116">
        <v>1905</v>
      </c>
      <c r="F39" s="26" t="s">
        <v>350</v>
      </c>
      <c r="G39" s="128">
        <v>2022</v>
      </c>
      <c r="H39" s="30">
        <v>15</v>
      </c>
      <c r="I39" s="30">
        <v>14.43</v>
      </c>
      <c r="J39" s="30"/>
      <c r="K39" s="30">
        <v>0.57000000000000028</v>
      </c>
      <c r="L39" s="116">
        <v>27537</v>
      </c>
      <c r="M39" s="116">
        <v>27537</v>
      </c>
      <c r="N39" s="116">
        <v>0</v>
      </c>
      <c r="O39" s="116">
        <v>0</v>
      </c>
      <c r="P39" s="116">
        <v>0</v>
      </c>
      <c r="Q39" s="116">
        <v>0</v>
      </c>
      <c r="R39" s="116">
        <v>0</v>
      </c>
      <c r="S39" s="116">
        <v>0</v>
      </c>
    </row>
    <row r="40" spans="1:19" ht="15.6" x14ac:dyDescent="0.3">
      <c r="A40" s="127"/>
      <c r="B40" s="113">
        <v>0</v>
      </c>
      <c r="C40" s="131"/>
      <c r="D40" s="26" t="s">
        <v>95</v>
      </c>
      <c r="E40" s="116">
        <v>1905</v>
      </c>
      <c r="F40" s="26" t="s">
        <v>350</v>
      </c>
      <c r="G40" s="128">
        <v>2022</v>
      </c>
      <c r="H40" s="30">
        <v>15</v>
      </c>
      <c r="I40" s="30">
        <v>14.51</v>
      </c>
      <c r="J40" s="30"/>
      <c r="K40" s="30">
        <v>0.49000000000000021</v>
      </c>
      <c r="L40" s="116">
        <v>28209</v>
      </c>
      <c r="M40" s="116">
        <v>28209</v>
      </c>
      <c r="N40" s="116">
        <v>0</v>
      </c>
      <c r="O40" s="116">
        <v>0</v>
      </c>
      <c r="P40" s="116">
        <v>0</v>
      </c>
      <c r="Q40" s="116">
        <v>0</v>
      </c>
      <c r="R40" s="116">
        <v>0</v>
      </c>
      <c r="S40" s="116">
        <v>0</v>
      </c>
    </row>
    <row r="41" spans="1:19" ht="15.6" x14ac:dyDescent="0.3">
      <c r="A41" s="127"/>
      <c r="B41" s="113">
        <v>3.0000000000001137E-2</v>
      </c>
      <c r="C41" s="131"/>
      <c r="D41" s="26" t="s">
        <v>96</v>
      </c>
      <c r="E41" s="116">
        <v>1905</v>
      </c>
      <c r="F41" s="26" t="s">
        <v>350</v>
      </c>
      <c r="G41" s="128">
        <v>2022</v>
      </c>
      <c r="H41" s="30">
        <v>12.07</v>
      </c>
      <c r="I41" s="30">
        <v>12.04</v>
      </c>
      <c r="J41" s="30"/>
      <c r="K41" s="30">
        <v>3.0000000000001137E-2</v>
      </c>
      <c r="L41" s="116">
        <v>22986</v>
      </c>
      <c r="M41" s="116">
        <v>22986</v>
      </c>
      <c r="N41" s="116">
        <v>0</v>
      </c>
      <c r="O41" s="116">
        <v>0</v>
      </c>
      <c r="P41" s="116">
        <v>0</v>
      </c>
      <c r="Q41" s="116">
        <v>0</v>
      </c>
      <c r="R41" s="116">
        <v>0</v>
      </c>
      <c r="S41" s="116">
        <v>0</v>
      </c>
    </row>
    <row r="42" spans="1:19" ht="15.6" x14ac:dyDescent="0.3">
      <c r="A42" s="127"/>
      <c r="B42" s="113">
        <v>0.12999999999999901</v>
      </c>
      <c r="C42" s="131"/>
      <c r="D42" s="26" t="s">
        <v>97</v>
      </c>
      <c r="E42" s="116">
        <v>1905</v>
      </c>
      <c r="F42" s="26" t="s">
        <v>350</v>
      </c>
      <c r="G42" s="128">
        <v>2022</v>
      </c>
      <c r="H42" s="30">
        <v>16.93</v>
      </c>
      <c r="I42" s="30">
        <v>16.93</v>
      </c>
      <c r="J42" s="30"/>
      <c r="K42" s="30">
        <v>0</v>
      </c>
      <c r="L42" s="116">
        <v>32260</v>
      </c>
      <c r="M42" s="116">
        <v>32260</v>
      </c>
      <c r="N42" s="116">
        <v>0</v>
      </c>
      <c r="O42" s="116">
        <v>0</v>
      </c>
      <c r="P42" s="116">
        <v>0</v>
      </c>
      <c r="Q42" s="116">
        <v>0</v>
      </c>
      <c r="R42" s="116">
        <v>0</v>
      </c>
      <c r="S42" s="116">
        <v>0</v>
      </c>
    </row>
    <row r="43" spans="1:19" ht="15.6" x14ac:dyDescent="0.3">
      <c r="A43" s="127"/>
      <c r="B43" s="113">
        <v>9.9999999999997868E-3</v>
      </c>
      <c r="C43" s="131"/>
      <c r="D43" s="26" t="s">
        <v>98</v>
      </c>
      <c r="E43" s="116">
        <v>1905</v>
      </c>
      <c r="F43" s="26" t="s">
        <v>350</v>
      </c>
      <c r="G43" s="128">
        <v>2022</v>
      </c>
      <c r="H43" s="30">
        <v>7.51</v>
      </c>
      <c r="I43" s="30">
        <v>7.51</v>
      </c>
      <c r="J43" s="30"/>
      <c r="K43" s="30">
        <v>0</v>
      </c>
      <c r="L43" s="116">
        <v>14314</v>
      </c>
      <c r="M43" s="116">
        <v>14314</v>
      </c>
      <c r="N43" s="116">
        <v>0</v>
      </c>
      <c r="O43" s="116">
        <v>0</v>
      </c>
      <c r="P43" s="116">
        <v>0</v>
      </c>
      <c r="Q43" s="116">
        <v>0</v>
      </c>
      <c r="R43" s="116">
        <v>0</v>
      </c>
      <c r="S43" s="116">
        <v>0</v>
      </c>
    </row>
    <row r="44" spans="1:19" ht="15.6" x14ac:dyDescent="0.3">
      <c r="A44" s="127"/>
      <c r="B44" s="113">
        <v>1.2199999999999989</v>
      </c>
      <c r="C44" s="131"/>
      <c r="D44" s="26" t="s">
        <v>99</v>
      </c>
      <c r="E44" s="129">
        <v>1754</v>
      </c>
      <c r="F44" s="26" t="s">
        <v>350</v>
      </c>
      <c r="G44" s="128">
        <v>2022</v>
      </c>
      <c r="H44" s="44">
        <v>19.73</v>
      </c>
      <c r="I44" s="44">
        <v>17.32</v>
      </c>
      <c r="J44" s="44"/>
      <c r="K44" s="44">
        <v>2.41</v>
      </c>
      <c r="L44" s="116">
        <v>34606</v>
      </c>
      <c r="M44" s="116">
        <v>32786</v>
      </c>
      <c r="N44" s="130">
        <v>0</v>
      </c>
      <c r="O44" s="116">
        <v>1820</v>
      </c>
      <c r="P44" s="116">
        <v>0</v>
      </c>
      <c r="Q44" s="116">
        <v>1820</v>
      </c>
      <c r="R44" s="116"/>
      <c r="S44" s="116">
        <v>0</v>
      </c>
    </row>
    <row r="45" spans="1:19" ht="15.6" x14ac:dyDescent="0.3">
      <c r="A45" s="127"/>
      <c r="B45" s="113">
        <v>-1.62</v>
      </c>
      <c r="C45" s="131"/>
      <c r="D45" s="26" t="s">
        <v>100</v>
      </c>
      <c r="E45" s="129">
        <v>1754</v>
      </c>
      <c r="F45" s="26" t="s">
        <v>350</v>
      </c>
      <c r="G45" s="128">
        <v>2022</v>
      </c>
      <c r="H45" s="44">
        <v>6.71</v>
      </c>
      <c r="I45" s="44">
        <v>5.04</v>
      </c>
      <c r="J45" s="44"/>
      <c r="K45" s="44">
        <v>1.67</v>
      </c>
      <c r="L45" s="116">
        <v>11785</v>
      </c>
      <c r="M45" s="116">
        <v>11685</v>
      </c>
      <c r="N45" s="130">
        <v>0</v>
      </c>
      <c r="O45" s="116">
        <v>100</v>
      </c>
      <c r="P45" s="116">
        <v>0</v>
      </c>
      <c r="Q45" s="116">
        <v>100</v>
      </c>
      <c r="R45" s="116"/>
      <c r="S45" s="116">
        <v>0</v>
      </c>
    </row>
    <row r="46" spans="1:19" ht="15.6" x14ac:dyDescent="0.3">
      <c r="A46" s="127"/>
      <c r="B46" s="113"/>
      <c r="C46" s="131"/>
      <c r="D46" s="132" t="s">
        <v>103</v>
      </c>
      <c r="E46" s="133">
        <v>1905</v>
      </c>
      <c r="F46" s="132" t="s">
        <v>350</v>
      </c>
      <c r="G46" s="134" t="s">
        <v>239</v>
      </c>
      <c r="H46" s="135">
        <v>9.81</v>
      </c>
      <c r="I46" s="44"/>
      <c r="J46" s="44"/>
      <c r="K46" s="135">
        <v>9.81</v>
      </c>
      <c r="L46" s="136">
        <v>18688</v>
      </c>
      <c r="M46" s="136">
        <v>0</v>
      </c>
      <c r="N46" s="137">
        <v>0</v>
      </c>
      <c r="O46" s="136">
        <v>18688</v>
      </c>
      <c r="P46" s="136">
        <v>18688</v>
      </c>
      <c r="Q46" s="136"/>
      <c r="R46" s="136"/>
      <c r="S46" s="136">
        <v>0</v>
      </c>
    </row>
    <row r="47" spans="1:19" ht="15.6" x14ac:dyDescent="0.3">
      <c r="A47" s="127"/>
      <c r="B47" s="113"/>
      <c r="C47" s="131"/>
      <c r="D47" s="132" t="s">
        <v>104</v>
      </c>
      <c r="E47" s="133">
        <v>1905</v>
      </c>
      <c r="F47" s="132" t="s">
        <v>350</v>
      </c>
      <c r="G47" s="134" t="s">
        <v>239</v>
      </c>
      <c r="H47" s="135">
        <v>7.36</v>
      </c>
      <c r="I47" s="44"/>
      <c r="J47" s="44"/>
      <c r="K47" s="135">
        <v>7.36</v>
      </c>
      <c r="L47" s="136">
        <v>14021</v>
      </c>
      <c r="M47" s="136">
        <v>0</v>
      </c>
      <c r="N47" s="137">
        <v>0</v>
      </c>
      <c r="O47" s="136">
        <v>14021</v>
      </c>
      <c r="P47" s="136">
        <v>14021</v>
      </c>
      <c r="Q47" s="136"/>
      <c r="R47" s="136"/>
      <c r="S47" s="136">
        <v>0</v>
      </c>
    </row>
    <row r="48" spans="1:19" ht="15.6" x14ac:dyDescent="0.3">
      <c r="B48" s="138"/>
      <c r="C48" s="139"/>
      <c r="D48" s="140" t="s">
        <v>101</v>
      </c>
      <c r="E48" s="141">
        <v>1905</v>
      </c>
      <c r="F48" s="140" t="s">
        <v>350</v>
      </c>
      <c r="G48" s="142" t="s">
        <v>239</v>
      </c>
      <c r="H48" s="135">
        <v>12.9</v>
      </c>
      <c r="I48" s="44"/>
      <c r="J48" s="44"/>
      <c r="K48" s="135">
        <v>12.9</v>
      </c>
      <c r="L48" s="136">
        <v>24575</v>
      </c>
      <c r="M48" s="136">
        <v>0</v>
      </c>
      <c r="N48" s="137">
        <v>0</v>
      </c>
      <c r="O48" s="143">
        <v>24575</v>
      </c>
      <c r="P48" s="143">
        <v>24575</v>
      </c>
      <c r="Q48" s="143"/>
      <c r="R48" s="136"/>
      <c r="S48" s="136">
        <v>0</v>
      </c>
    </row>
    <row r="49" spans="1:19" ht="15.6" x14ac:dyDescent="0.3">
      <c r="A49" s="112">
        <v>0</v>
      </c>
      <c r="B49" s="113">
        <v>0</v>
      </c>
      <c r="C49" s="207" t="s">
        <v>246</v>
      </c>
      <c r="D49" s="36" t="s">
        <v>59</v>
      </c>
      <c r="E49" s="114">
        <v>1905</v>
      </c>
      <c r="F49" s="144" t="s">
        <v>351</v>
      </c>
      <c r="G49" s="32">
        <v>2018</v>
      </c>
      <c r="H49" s="28">
        <v>7.21</v>
      </c>
      <c r="I49" s="28">
        <v>6.91</v>
      </c>
      <c r="J49" s="28">
        <v>0</v>
      </c>
      <c r="K49" s="28">
        <v>0.29999999999999982</v>
      </c>
      <c r="L49" s="114">
        <v>13740</v>
      </c>
      <c r="M49" s="114">
        <v>13164</v>
      </c>
      <c r="N49" s="114">
        <v>0</v>
      </c>
      <c r="O49" s="114">
        <v>576</v>
      </c>
      <c r="P49" s="114">
        <v>0</v>
      </c>
      <c r="Q49" s="114">
        <v>576</v>
      </c>
      <c r="R49" s="114">
        <v>0</v>
      </c>
      <c r="S49" s="114">
        <v>0</v>
      </c>
    </row>
    <row r="50" spans="1:19" ht="15.6" x14ac:dyDescent="0.3">
      <c r="A50" s="112">
        <v>0</v>
      </c>
      <c r="B50" s="113">
        <v>0</v>
      </c>
      <c r="C50" s="207"/>
      <c r="D50" s="37" t="s">
        <v>60</v>
      </c>
      <c r="E50" s="117">
        <v>1905</v>
      </c>
      <c r="F50" s="146" t="s">
        <v>351</v>
      </c>
      <c r="G50" s="33">
        <v>2019</v>
      </c>
      <c r="H50" s="29">
        <v>3.77</v>
      </c>
      <c r="I50" s="29">
        <v>3.3</v>
      </c>
      <c r="J50" s="29">
        <v>0.34</v>
      </c>
      <c r="K50" s="29">
        <v>0.13000000000000034</v>
      </c>
      <c r="L50" s="117">
        <v>7176</v>
      </c>
      <c r="M50" s="117">
        <v>6291</v>
      </c>
      <c r="N50" s="117">
        <v>652</v>
      </c>
      <c r="O50" s="117">
        <v>233</v>
      </c>
      <c r="P50" s="117">
        <v>0</v>
      </c>
      <c r="Q50" s="117">
        <v>233</v>
      </c>
      <c r="R50" s="117">
        <v>0</v>
      </c>
      <c r="S50" s="117">
        <v>0</v>
      </c>
    </row>
    <row r="51" spans="1:19" ht="15.6" x14ac:dyDescent="0.3">
      <c r="A51" s="112">
        <v>-34</v>
      </c>
      <c r="B51" s="113">
        <v>-1.9999999999999574E-2</v>
      </c>
      <c r="C51" s="207"/>
      <c r="D51" s="26" t="s">
        <v>130</v>
      </c>
      <c r="E51" s="117">
        <v>1780</v>
      </c>
      <c r="F51" s="146" t="s">
        <v>351</v>
      </c>
      <c r="G51" s="33">
        <v>2020</v>
      </c>
      <c r="H51" s="29">
        <v>10.65</v>
      </c>
      <c r="I51" s="29">
        <v>10.23</v>
      </c>
      <c r="J51" s="29">
        <v>0.09</v>
      </c>
      <c r="K51" s="29">
        <v>0.33000000000000007</v>
      </c>
      <c r="L51" s="117">
        <v>18959</v>
      </c>
      <c r="M51" s="117">
        <v>18553</v>
      </c>
      <c r="N51" s="117">
        <v>152</v>
      </c>
      <c r="O51" s="117">
        <v>254</v>
      </c>
      <c r="P51" s="117">
        <v>0</v>
      </c>
      <c r="Q51" s="117">
        <v>254</v>
      </c>
      <c r="R51" s="117">
        <v>0</v>
      </c>
      <c r="S51" s="117">
        <v>0</v>
      </c>
    </row>
    <row r="52" spans="1:19" ht="15.6" x14ac:dyDescent="0.3">
      <c r="A52" s="112">
        <v>-414</v>
      </c>
      <c r="B52" s="113">
        <v>-0.23000000000000043</v>
      </c>
      <c r="C52" s="207"/>
      <c r="D52" s="26" t="s">
        <v>63</v>
      </c>
      <c r="E52" s="117">
        <v>1780</v>
      </c>
      <c r="F52" s="146" t="s">
        <v>351</v>
      </c>
      <c r="G52" s="33">
        <v>2020</v>
      </c>
      <c r="H52" s="29">
        <v>14.45</v>
      </c>
      <c r="I52" s="29">
        <v>14.01</v>
      </c>
      <c r="J52" s="29">
        <v>0.22</v>
      </c>
      <c r="K52" s="29">
        <v>0.21999999999999886</v>
      </c>
      <c r="L52" s="117">
        <v>25720</v>
      </c>
      <c r="M52" s="117">
        <v>24956</v>
      </c>
      <c r="N52" s="117">
        <v>395</v>
      </c>
      <c r="O52" s="117">
        <v>369</v>
      </c>
      <c r="P52" s="117">
        <v>0</v>
      </c>
      <c r="Q52" s="117">
        <v>369</v>
      </c>
      <c r="R52" s="117">
        <v>0</v>
      </c>
      <c r="S52" s="117">
        <v>0</v>
      </c>
    </row>
    <row r="53" spans="1:19" ht="15.6" x14ac:dyDescent="0.3">
      <c r="A53" s="112">
        <v>0</v>
      </c>
      <c r="B53" s="113">
        <v>0</v>
      </c>
      <c r="C53" s="207"/>
      <c r="D53" s="26" t="s">
        <v>64</v>
      </c>
      <c r="E53" s="117">
        <v>1780</v>
      </c>
      <c r="F53" s="146" t="s">
        <v>351</v>
      </c>
      <c r="G53" s="33">
        <v>2020</v>
      </c>
      <c r="H53" s="29">
        <v>13.64</v>
      </c>
      <c r="I53" s="29">
        <v>13.56</v>
      </c>
      <c r="J53" s="29">
        <v>7.0000000000000007E-2</v>
      </c>
      <c r="K53" s="119">
        <v>9.9999999999997868E-3</v>
      </c>
      <c r="L53" s="117">
        <v>24277</v>
      </c>
      <c r="M53" s="117">
        <v>24149</v>
      </c>
      <c r="N53" s="117">
        <v>116</v>
      </c>
      <c r="O53" s="117">
        <v>12</v>
      </c>
      <c r="P53" s="117">
        <v>0</v>
      </c>
      <c r="Q53" s="117">
        <v>12</v>
      </c>
      <c r="R53" s="117">
        <v>0</v>
      </c>
      <c r="S53" s="117">
        <v>0</v>
      </c>
    </row>
    <row r="54" spans="1:19" ht="15.6" x14ac:dyDescent="0.3">
      <c r="A54" s="112">
        <v>0</v>
      </c>
      <c r="B54" s="113">
        <v>0</v>
      </c>
      <c r="C54" s="207"/>
      <c r="D54" s="26" t="s">
        <v>65</v>
      </c>
      <c r="E54" s="116">
        <v>1838</v>
      </c>
      <c r="F54" s="148" t="s">
        <v>351</v>
      </c>
      <c r="G54" s="33">
        <v>2021</v>
      </c>
      <c r="H54" s="30">
        <v>13.12</v>
      </c>
      <c r="I54" s="30">
        <v>8.89</v>
      </c>
      <c r="J54" s="30">
        <v>0.64</v>
      </c>
      <c r="K54" s="30">
        <v>3.5899999999999981</v>
      </c>
      <c r="L54" s="116">
        <v>24115</v>
      </c>
      <c r="M54" s="116">
        <v>22841</v>
      </c>
      <c r="N54" s="116">
        <v>1182</v>
      </c>
      <c r="O54" s="116">
        <v>92</v>
      </c>
      <c r="P54" s="116"/>
      <c r="Q54" s="116">
        <v>92</v>
      </c>
      <c r="R54" s="116">
        <v>0</v>
      </c>
      <c r="S54" s="116">
        <v>0</v>
      </c>
    </row>
    <row r="55" spans="1:19" ht="15.6" x14ac:dyDescent="0.3">
      <c r="A55" s="126"/>
      <c r="B55" s="149">
        <v>0</v>
      </c>
      <c r="C55" s="207"/>
      <c r="D55" s="27" t="s">
        <v>66</v>
      </c>
      <c r="E55" s="150">
        <v>1838</v>
      </c>
      <c r="F55" s="151" t="s">
        <v>351</v>
      </c>
      <c r="G55" s="35">
        <v>2021</v>
      </c>
      <c r="H55" s="30">
        <v>12.71</v>
      </c>
      <c r="I55" s="30">
        <v>9.49</v>
      </c>
      <c r="J55" s="30">
        <v>0.71</v>
      </c>
      <c r="K55" s="30">
        <v>2.5100000000000016</v>
      </c>
      <c r="L55" s="150">
        <v>23370</v>
      </c>
      <c r="M55" s="150">
        <v>21952</v>
      </c>
      <c r="N55" s="150">
        <v>1311</v>
      </c>
      <c r="O55" s="150">
        <v>107</v>
      </c>
      <c r="P55" s="150"/>
      <c r="Q55" s="150">
        <v>107</v>
      </c>
      <c r="R55" s="150">
        <v>0</v>
      </c>
      <c r="S55" s="150">
        <v>0</v>
      </c>
    </row>
    <row r="56" spans="1:19" ht="15.6" x14ac:dyDescent="0.3">
      <c r="B56" s="124"/>
      <c r="C56" s="179" t="s">
        <v>352</v>
      </c>
      <c r="D56" s="25" t="s">
        <v>51</v>
      </c>
      <c r="E56" s="114">
        <v>1780</v>
      </c>
      <c r="F56" s="25" t="s">
        <v>349</v>
      </c>
      <c r="G56" s="145">
        <v>2018</v>
      </c>
      <c r="H56" s="28">
        <v>7.44</v>
      </c>
      <c r="I56" s="28">
        <v>4.6900000000000004</v>
      </c>
      <c r="J56" s="28">
        <v>5.0000000000000711E-2</v>
      </c>
      <c r="K56" s="28">
        <v>2.6999999999999993</v>
      </c>
      <c r="L56" s="114">
        <v>13248</v>
      </c>
      <c r="M56" s="114">
        <v>13155</v>
      </c>
      <c r="N56" s="114">
        <v>93</v>
      </c>
      <c r="O56" s="114">
        <v>0</v>
      </c>
      <c r="P56" s="114">
        <v>0</v>
      </c>
      <c r="Q56" s="114">
        <v>0</v>
      </c>
      <c r="R56" s="114">
        <v>0</v>
      </c>
      <c r="S56" s="114">
        <v>0</v>
      </c>
    </row>
    <row r="57" spans="1:19" ht="15.6" x14ac:dyDescent="0.3">
      <c r="B57" s="124"/>
      <c r="C57" s="181"/>
      <c r="D57" s="26" t="s">
        <v>52</v>
      </c>
      <c r="E57" s="117">
        <v>1905</v>
      </c>
      <c r="F57" s="26" t="s">
        <v>349</v>
      </c>
      <c r="G57" s="147">
        <v>2018</v>
      </c>
      <c r="H57" s="29">
        <v>2.29</v>
      </c>
      <c r="I57" s="29">
        <v>2.29</v>
      </c>
      <c r="J57" s="29"/>
      <c r="K57" s="29">
        <v>0</v>
      </c>
      <c r="L57" s="117">
        <v>4371</v>
      </c>
      <c r="M57" s="117">
        <v>4367</v>
      </c>
      <c r="N57" s="117">
        <v>0</v>
      </c>
      <c r="O57" s="117">
        <v>4</v>
      </c>
      <c r="P57" s="117"/>
      <c r="Q57" s="117">
        <v>4</v>
      </c>
      <c r="R57" s="117">
        <v>0</v>
      </c>
      <c r="S57" s="117">
        <v>0</v>
      </c>
    </row>
    <row r="58" spans="1:19" ht="15.6" x14ac:dyDescent="0.3">
      <c r="B58" s="124"/>
      <c r="C58" s="181"/>
      <c r="D58" s="26" t="s">
        <v>54</v>
      </c>
      <c r="E58" s="117">
        <v>1905</v>
      </c>
      <c r="F58" s="26" t="s">
        <v>349</v>
      </c>
      <c r="G58" s="147">
        <v>2017</v>
      </c>
      <c r="H58" s="29">
        <v>13.61</v>
      </c>
      <c r="I58" s="29">
        <v>13.6</v>
      </c>
      <c r="J58" s="29"/>
      <c r="K58" s="29">
        <v>9.9999999999997868E-3</v>
      </c>
      <c r="L58" s="117">
        <v>25923</v>
      </c>
      <c r="M58" s="117">
        <v>25904</v>
      </c>
      <c r="N58" s="117">
        <v>0</v>
      </c>
      <c r="O58" s="117">
        <v>19</v>
      </c>
      <c r="P58" s="117"/>
      <c r="Q58" s="117">
        <v>19</v>
      </c>
      <c r="R58" s="117">
        <v>0</v>
      </c>
      <c r="S58" s="117">
        <v>0</v>
      </c>
    </row>
    <row r="59" spans="1:19" ht="15.6" x14ac:dyDescent="0.3">
      <c r="B59" s="124"/>
      <c r="C59" s="181"/>
      <c r="D59" s="26" t="s">
        <v>55</v>
      </c>
      <c r="E59" s="117">
        <v>1905</v>
      </c>
      <c r="F59" s="26" t="s">
        <v>349</v>
      </c>
      <c r="G59" s="147">
        <v>2017</v>
      </c>
      <c r="H59" s="30">
        <v>11.9</v>
      </c>
      <c r="I59" s="29">
        <v>7.77</v>
      </c>
      <c r="J59" s="29"/>
      <c r="K59" s="29">
        <v>4.1300000000000008</v>
      </c>
      <c r="L59" s="117">
        <v>22673</v>
      </c>
      <c r="M59" s="117">
        <v>22673</v>
      </c>
      <c r="N59" s="117">
        <v>0</v>
      </c>
      <c r="O59" s="117">
        <v>0</v>
      </c>
      <c r="P59" s="117"/>
      <c r="Q59" s="117">
        <v>0</v>
      </c>
      <c r="R59" s="117">
        <v>0</v>
      </c>
      <c r="S59" s="117">
        <v>0</v>
      </c>
    </row>
    <row r="60" spans="1:19" ht="15.6" x14ac:dyDescent="0.3">
      <c r="B60" s="124"/>
      <c r="C60" s="181"/>
      <c r="D60" s="26" t="s">
        <v>56</v>
      </c>
      <c r="E60" s="117">
        <v>1905</v>
      </c>
      <c r="F60" s="26" t="s">
        <v>349</v>
      </c>
      <c r="G60" s="147">
        <v>2016</v>
      </c>
      <c r="H60" s="29">
        <v>13.82</v>
      </c>
      <c r="I60" s="29">
        <v>13.42</v>
      </c>
      <c r="J60" s="29"/>
      <c r="K60" s="29">
        <v>0.40000000000000036</v>
      </c>
      <c r="L60" s="117">
        <v>26318</v>
      </c>
      <c r="M60" s="117">
        <v>26225</v>
      </c>
      <c r="N60" s="117">
        <v>0</v>
      </c>
      <c r="O60" s="117">
        <v>93</v>
      </c>
      <c r="P60" s="117"/>
      <c r="Q60" s="117">
        <v>93</v>
      </c>
      <c r="R60" s="117">
        <v>0</v>
      </c>
      <c r="S60" s="117">
        <v>0</v>
      </c>
    </row>
    <row r="61" spans="1:19" ht="15.6" x14ac:dyDescent="0.3">
      <c r="B61" s="124"/>
      <c r="C61" s="181"/>
      <c r="D61" s="26" t="s">
        <v>57</v>
      </c>
      <c r="E61" s="117">
        <v>1905</v>
      </c>
      <c r="F61" s="26" t="s">
        <v>349</v>
      </c>
      <c r="G61" s="147">
        <v>2016</v>
      </c>
      <c r="H61" s="29">
        <v>14.16</v>
      </c>
      <c r="I61" s="29">
        <v>13.83</v>
      </c>
      <c r="J61" s="29"/>
      <c r="K61" s="29">
        <v>0.33000000000000007</v>
      </c>
      <c r="L61" s="117">
        <v>26967</v>
      </c>
      <c r="M61" s="117">
        <v>26852</v>
      </c>
      <c r="N61" s="117">
        <v>0</v>
      </c>
      <c r="O61" s="117">
        <v>115</v>
      </c>
      <c r="P61" s="117"/>
      <c r="Q61" s="117">
        <v>115</v>
      </c>
      <c r="R61" s="117">
        <v>0</v>
      </c>
      <c r="S61" s="117">
        <v>0</v>
      </c>
    </row>
    <row r="62" spans="1:19" ht="15.6" x14ac:dyDescent="0.3">
      <c r="B62" s="138"/>
      <c r="C62" s="208"/>
      <c r="D62" s="27" t="s">
        <v>58</v>
      </c>
      <c r="E62" s="120">
        <v>1905</v>
      </c>
      <c r="F62" s="27" t="s">
        <v>349</v>
      </c>
      <c r="G62" s="152">
        <v>2016</v>
      </c>
      <c r="H62" s="31">
        <v>7.22</v>
      </c>
      <c r="I62" s="31">
        <v>6.56</v>
      </c>
      <c r="J62" s="31"/>
      <c r="K62" s="29">
        <v>0.66000000000000014</v>
      </c>
      <c r="L62" s="117">
        <v>13755</v>
      </c>
      <c r="M62" s="117">
        <v>13732</v>
      </c>
      <c r="N62" s="117">
        <v>0</v>
      </c>
      <c r="O62" s="117">
        <v>23</v>
      </c>
      <c r="P62" s="120"/>
      <c r="Q62" s="120">
        <v>23</v>
      </c>
      <c r="R62" s="120">
        <v>0</v>
      </c>
      <c r="S62" s="120">
        <v>0</v>
      </c>
    </row>
    <row r="63" spans="1:19" ht="15.6" x14ac:dyDescent="0.3">
      <c r="A63" s="112"/>
      <c r="B63" s="113"/>
      <c r="C63" s="209" t="s">
        <v>244</v>
      </c>
      <c r="D63" s="25" t="s">
        <v>67</v>
      </c>
      <c r="E63" s="114">
        <v>1684</v>
      </c>
      <c r="F63" s="144" t="s">
        <v>351</v>
      </c>
      <c r="G63" s="32">
        <v>2018</v>
      </c>
      <c r="H63" s="28">
        <v>10.24</v>
      </c>
      <c r="I63" s="28">
        <v>10</v>
      </c>
      <c r="J63" s="28">
        <v>0.16</v>
      </c>
      <c r="K63" s="28">
        <v>8.0000000000000071E-2</v>
      </c>
      <c r="L63" s="114">
        <v>17244</v>
      </c>
      <c r="M63" s="153">
        <v>16836</v>
      </c>
      <c r="N63" s="154">
        <v>262</v>
      </c>
      <c r="O63" s="155">
        <v>146</v>
      </c>
      <c r="P63" s="115">
        <v>0</v>
      </c>
      <c r="Q63" s="114">
        <v>146</v>
      </c>
      <c r="R63" s="114">
        <v>0</v>
      </c>
      <c r="S63" s="114">
        <v>0</v>
      </c>
    </row>
    <row r="64" spans="1:19" ht="15.6" x14ac:dyDescent="0.3">
      <c r="A64" s="112"/>
      <c r="B64" s="113"/>
      <c r="C64" s="210"/>
      <c r="D64" s="26" t="s">
        <v>68</v>
      </c>
      <c r="E64" s="117">
        <v>1684</v>
      </c>
      <c r="F64" s="146" t="s">
        <v>351</v>
      </c>
      <c r="G64" s="33">
        <v>2018</v>
      </c>
      <c r="H64" s="29">
        <v>13.54</v>
      </c>
      <c r="I64" s="29">
        <v>13.27</v>
      </c>
      <c r="J64" s="29">
        <v>0.13</v>
      </c>
      <c r="K64" s="29">
        <v>0.13999999999999879</v>
      </c>
      <c r="L64" s="117">
        <v>22805</v>
      </c>
      <c r="M64" s="156">
        <v>22351</v>
      </c>
      <c r="N64" s="157">
        <v>217</v>
      </c>
      <c r="O64" s="158">
        <v>237</v>
      </c>
      <c r="P64" s="118">
        <v>0</v>
      </c>
      <c r="Q64" s="117">
        <v>237</v>
      </c>
      <c r="R64" s="117">
        <v>0</v>
      </c>
      <c r="S64" s="117">
        <v>0</v>
      </c>
    </row>
    <row r="65" spans="1:19" ht="15.6" x14ac:dyDescent="0.3">
      <c r="A65" s="112"/>
      <c r="B65" s="113"/>
      <c r="C65" s="210"/>
      <c r="D65" s="26" t="s">
        <v>69</v>
      </c>
      <c r="E65" s="117">
        <v>1684</v>
      </c>
      <c r="F65" s="146" t="s">
        <v>351</v>
      </c>
      <c r="G65" s="33">
        <v>2018</v>
      </c>
      <c r="H65" s="29">
        <v>14.81</v>
      </c>
      <c r="I65" s="29">
        <v>14.54</v>
      </c>
      <c r="J65" s="29">
        <v>7.0000000000000007E-2</v>
      </c>
      <c r="K65" s="29">
        <v>0.20000000000000107</v>
      </c>
      <c r="L65" s="117">
        <v>24934</v>
      </c>
      <c r="M65" s="156">
        <v>24478</v>
      </c>
      <c r="N65" s="157">
        <v>111</v>
      </c>
      <c r="O65" s="158">
        <v>345</v>
      </c>
      <c r="P65" s="118">
        <v>0</v>
      </c>
      <c r="Q65" s="117">
        <v>345</v>
      </c>
      <c r="R65" s="117">
        <v>0</v>
      </c>
      <c r="S65" s="117">
        <v>0</v>
      </c>
    </row>
    <row r="66" spans="1:19" ht="15.6" x14ac:dyDescent="0.3">
      <c r="A66" s="112"/>
      <c r="B66" s="113"/>
      <c r="C66" s="210"/>
      <c r="D66" s="26" t="s">
        <v>70</v>
      </c>
      <c r="E66" s="117">
        <v>1262</v>
      </c>
      <c r="F66" s="146" t="s">
        <v>351</v>
      </c>
      <c r="G66" s="33">
        <v>2018</v>
      </c>
      <c r="H66" s="29">
        <v>12.26</v>
      </c>
      <c r="I66" s="29">
        <v>11.89</v>
      </c>
      <c r="J66" s="29">
        <v>0.12</v>
      </c>
      <c r="K66" s="29">
        <v>0.25</v>
      </c>
      <c r="L66" s="117">
        <v>15472</v>
      </c>
      <c r="M66" s="156">
        <v>15004</v>
      </c>
      <c r="N66" s="157">
        <v>153</v>
      </c>
      <c r="O66" s="158">
        <v>315</v>
      </c>
      <c r="P66" s="118">
        <v>0</v>
      </c>
      <c r="Q66" s="117">
        <v>315</v>
      </c>
      <c r="R66" s="117">
        <v>0</v>
      </c>
      <c r="S66" s="117">
        <v>0</v>
      </c>
    </row>
    <row r="67" spans="1:19" ht="15.6" x14ac:dyDescent="0.3">
      <c r="A67" s="112"/>
      <c r="B67" s="113"/>
      <c r="C67" s="210"/>
      <c r="D67" s="37" t="s">
        <v>71</v>
      </c>
      <c r="E67" s="117">
        <v>1780.2</v>
      </c>
      <c r="F67" s="146" t="s">
        <v>351</v>
      </c>
      <c r="G67" s="33">
        <v>2020</v>
      </c>
      <c r="H67" s="29">
        <v>15</v>
      </c>
      <c r="I67" s="29">
        <v>14.81</v>
      </c>
      <c r="J67" s="29">
        <v>0</v>
      </c>
      <c r="K67" s="29">
        <v>0.1899999999999995</v>
      </c>
      <c r="L67" s="117">
        <v>26703</v>
      </c>
      <c r="M67" s="156">
        <v>26364</v>
      </c>
      <c r="N67" s="157"/>
      <c r="O67" s="158">
        <v>339</v>
      </c>
      <c r="P67" s="118">
        <v>0</v>
      </c>
      <c r="Q67" s="117">
        <v>339</v>
      </c>
      <c r="R67" s="117">
        <v>0</v>
      </c>
      <c r="S67" s="117">
        <v>0</v>
      </c>
    </row>
    <row r="68" spans="1:19" ht="15.6" x14ac:dyDescent="0.3">
      <c r="A68" s="112"/>
      <c r="B68" s="113"/>
      <c r="C68" s="210"/>
      <c r="D68" s="37" t="s">
        <v>72</v>
      </c>
      <c r="E68" s="117">
        <v>1780.2</v>
      </c>
      <c r="F68" s="146" t="s">
        <v>351</v>
      </c>
      <c r="G68" s="33">
        <v>2020</v>
      </c>
      <c r="H68" s="29">
        <v>14.99</v>
      </c>
      <c r="I68" s="29">
        <v>14.81</v>
      </c>
      <c r="J68" s="29">
        <v>0</v>
      </c>
      <c r="K68" s="29">
        <v>0.17999999999999972</v>
      </c>
      <c r="L68" s="117">
        <v>26688</v>
      </c>
      <c r="M68" s="156">
        <v>26368</v>
      </c>
      <c r="N68" s="157"/>
      <c r="O68" s="158">
        <v>320</v>
      </c>
      <c r="P68" s="118">
        <v>0</v>
      </c>
      <c r="Q68" s="117">
        <v>320</v>
      </c>
      <c r="R68" s="117">
        <v>0</v>
      </c>
      <c r="S68" s="117">
        <v>0</v>
      </c>
    </row>
    <row r="69" spans="1:19" ht="15.6" x14ac:dyDescent="0.3">
      <c r="A69" s="112"/>
      <c r="B69" s="113"/>
      <c r="C69" s="210"/>
      <c r="D69" s="37" t="s">
        <v>73</v>
      </c>
      <c r="E69" s="117">
        <v>1779.3333333333333</v>
      </c>
      <c r="F69" s="146" t="s">
        <v>351</v>
      </c>
      <c r="G69" s="33">
        <v>2020</v>
      </c>
      <c r="H69" s="29">
        <v>14.99</v>
      </c>
      <c r="I69" s="29">
        <v>13.04</v>
      </c>
      <c r="J69" s="29">
        <v>1.06</v>
      </c>
      <c r="K69" s="29">
        <v>0.89000000000000057</v>
      </c>
      <c r="L69" s="117">
        <v>26690</v>
      </c>
      <c r="M69" s="156">
        <v>24106</v>
      </c>
      <c r="N69" s="157">
        <v>1884</v>
      </c>
      <c r="O69" s="158">
        <v>700</v>
      </c>
      <c r="P69" s="118">
        <v>0</v>
      </c>
      <c r="Q69" s="117">
        <v>700</v>
      </c>
      <c r="R69" s="117">
        <v>0</v>
      </c>
      <c r="S69" s="117">
        <v>0</v>
      </c>
    </row>
    <row r="70" spans="1:19" ht="15.6" x14ac:dyDescent="0.3">
      <c r="A70" s="112"/>
      <c r="B70" s="113"/>
      <c r="C70" s="210"/>
      <c r="D70" s="26" t="s">
        <v>74</v>
      </c>
      <c r="E70" s="129">
        <v>1894</v>
      </c>
      <c r="F70" s="159" t="s">
        <v>351</v>
      </c>
      <c r="G70" s="33">
        <v>2021</v>
      </c>
      <c r="H70" s="30">
        <v>14.96</v>
      </c>
      <c r="I70" s="30">
        <v>13.91</v>
      </c>
      <c r="J70" s="30">
        <v>0.73</v>
      </c>
      <c r="K70" s="30">
        <v>0.32000000000000028</v>
      </c>
      <c r="L70" s="116">
        <v>28343</v>
      </c>
      <c r="M70" s="160">
        <v>26609</v>
      </c>
      <c r="N70" s="157">
        <v>1383</v>
      </c>
      <c r="O70" s="158">
        <v>351</v>
      </c>
      <c r="P70" s="161"/>
      <c r="Q70" s="116">
        <v>351</v>
      </c>
      <c r="R70" s="116">
        <v>0</v>
      </c>
      <c r="S70" s="116">
        <v>0</v>
      </c>
    </row>
    <row r="71" spans="1:19" ht="15.6" x14ac:dyDescent="0.3">
      <c r="A71" s="112"/>
      <c r="B71" s="113"/>
      <c r="C71" s="210"/>
      <c r="D71" s="26" t="s">
        <v>75</v>
      </c>
      <c r="E71" s="129">
        <v>1894</v>
      </c>
      <c r="F71" s="159" t="s">
        <v>351</v>
      </c>
      <c r="G71" s="33">
        <v>2021</v>
      </c>
      <c r="H71" s="30">
        <v>4.3600000000000003</v>
      </c>
      <c r="I71" s="30">
        <v>2.5299999999999998</v>
      </c>
      <c r="J71" s="30">
        <v>0.12</v>
      </c>
      <c r="K71" s="30">
        <v>1.7100000000000004</v>
      </c>
      <c r="L71" s="116">
        <v>8256</v>
      </c>
      <c r="M71" s="160">
        <v>7897</v>
      </c>
      <c r="N71" s="157">
        <v>220</v>
      </c>
      <c r="O71" s="158">
        <v>139</v>
      </c>
      <c r="P71" s="161"/>
      <c r="Q71" s="116">
        <v>139</v>
      </c>
      <c r="R71" s="116">
        <v>0</v>
      </c>
      <c r="S71" s="116">
        <v>0</v>
      </c>
    </row>
    <row r="72" spans="1:19" ht="15.6" x14ac:dyDescent="0.3">
      <c r="A72" s="112"/>
      <c r="B72" s="113"/>
      <c r="C72" s="210"/>
      <c r="D72" s="26" t="s">
        <v>76</v>
      </c>
      <c r="E72" s="129">
        <v>1894</v>
      </c>
      <c r="F72" s="159" t="s">
        <v>351</v>
      </c>
      <c r="G72" s="33">
        <v>2021</v>
      </c>
      <c r="H72" s="30">
        <v>7.85</v>
      </c>
      <c r="I72" s="30">
        <v>7.05</v>
      </c>
      <c r="J72" s="30">
        <v>0.24</v>
      </c>
      <c r="K72" s="30">
        <v>0.55999999999999961</v>
      </c>
      <c r="L72" s="116">
        <v>14869</v>
      </c>
      <c r="M72" s="160">
        <v>14333</v>
      </c>
      <c r="N72" s="157">
        <v>463</v>
      </c>
      <c r="O72" s="158">
        <v>73</v>
      </c>
      <c r="P72" s="161"/>
      <c r="Q72" s="116">
        <v>73</v>
      </c>
      <c r="R72" s="116">
        <v>0</v>
      </c>
      <c r="S72" s="116">
        <v>0</v>
      </c>
    </row>
    <row r="73" spans="1:19" ht="15.6" x14ac:dyDescent="0.3">
      <c r="A73" s="112"/>
      <c r="B73" s="113"/>
      <c r="C73" s="210"/>
      <c r="D73" s="26" t="s">
        <v>77</v>
      </c>
      <c r="E73" s="129">
        <v>1905</v>
      </c>
      <c r="F73" s="159" t="s">
        <v>351</v>
      </c>
      <c r="G73" s="33">
        <v>2021</v>
      </c>
      <c r="H73" s="30">
        <v>13.08</v>
      </c>
      <c r="I73" s="30">
        <v>10.86</v>
      </c>
      <c r="J73" s="30">
        <v>0.88</v>
      </c>
      <c r="K73" s="30">
        <v>1.3399999999999999</v>
      </c>
      <c r="L73" s="116">
        <v>24926</v>
      </c>
      <c r="M73" s="160">
        <v>22407</v>
      </c>
      <c r="N73" s="157">
        <v>1670</v>
      </c>
      <c r="O73" s="158">
        <v>849</v>
      </c>
      <c r="P73" s="161"/>
      <c r="Q73" s="116">
        <v>849</v>
      </c>
      <c r="R73" s="116">
        <v>0</v>
      </c>
      <c r="S73" s="116">
        <v>0</v>
      </c>
    </row>
    <row r="74" spans="1:19" ht="15.6" x14ac:dyDescent="0.3">
      <c r="A74" s="112"/>
      <c r="B74" s="113"/>
      <c r="C74" s="210"/>
      <c r="D74" s="132" t="s">
        <v>353</v>
      </c>
      <c r="E74" s="162">
        <v>1905</v>
      </c>
      <c r="F74" s="163" t="s">
        <v>351</v>
      </c>
      <c r="G74" s="33">
        <v>2023</v>
      </c>
      <c r="H74" s="164">
        <v>14</v>
      </c>
      <c r="I74" s="164">
        <v>0</v>
      </c>
      <c r="J74" s="164">
        <v>0</v>
      </c>
      <c r="K74" s="164">
        <v>18.45</v>
      </c>
      <c r="L74" s="165">
        <v>35147</v>
      </c>
      <c r="M74" s="166"/>
      <c r="N74" s="166"/>
      <c r="O74" s="165">
        <v>35147</v>
      </c>
      <c r="P74" s="167">
        <v>35147</v>
      </c>
      <c r="Q74" s="165">
        <v>0</v>
      </c>
      <c r="R74" s="165">
        <v>0</v>
      </c>
      <c r="S74" s="165">
        <v>0</v>
      </c>
    </row>
    <row r="75" spans="1:19" ht="15.6" x14ac:dyDescent="0.3">
      <c r="A75" s="168"/>
      <c r="B75" s="149"/>
      <c r="C75" s="211"/>
      <c r="D75" s="140" t="s">
        <v>354</v>
      </c>
      <c r="E75" s="169">
        <v>1905</v>
      </c>
      <c r="F75" s="170" t="s">
        <v>351</v>
      </c>
      <c r="G75" s="35">
        <v>2023</v>
      </c>
      <c r="H75" s="164">
        <v>10.85</v>
      </c>
      <c r="I75" s="164">
        <v>0</v>
      </c>
      <c r="J75" s="164">
        <v>0</v>
      </c>
      <c r="K75" s="164">
        <v>19.350000000000001</v>
      </c>
      <c r="L75" s="165">
        <v>36862</v>
      </c>
      <c r="M75" s="166"/>
      <c r="N75" s="171"/>
      <c r="O75" s="123">
        <v>36862</v>
      </c>
      <c r="P75" s="167">
        <v>36862</v>
      </c>
      <c r="Q75" s="165">
        <v>0</v>
      </c>
      <c r="R75" s="165">
        <v>0</v>
      </c>
      <c r="S75" s="165">
        <v>0</v>
      </c>
    </row>
    <row r="76" spans="1:19" ht="15.6" x14ac:dyDescent="0.3">
      <c r="A76" s="112">
        <v>0</v>
      </c>
      <c r="B76" s="113">
        <v>0</v>
      </c>
      <c r="C76" s="179" t="s">
        <v>247</v>
      </c>
      <c r="D76" s="25" t="s">
        <v>81</v>
      </c>
      <c r="E76" s="114">
        <v>1780</v>
      </c>
      <c r="F76" s="25" t="s">
        <v>351</v>
      </c>
      <c r="G76" s="32">
        <v>2020</v>
      </c>
      <c r="H76" s="42">
        <v>14.77</v>
      </c>
      <c r="I76" s="42">
        <v>14.51</v>
      </c>
      <c r="J76" s="42">
        <v>0.26</v>
      </c>
      <c r="K76" s="42">
        <v>0</v>
      </c>
      <c r="L76" s="153">
        <v>26289</v>
      </c>
      <c r="M76" s="155">
        <v>25831</v>
      </c>
      <c r="N76" s="115">
        <v>116</v>
      </c>
      <c r="O76" s="114">
        <v>342</v>
      </c>
      <c r="P76" s="114">
        <v>0</v>
      </c>
      <c r="Q76" s="114">
        <v>342</v>
      </c>
      <c r="R76" s="114">
        <v>0</v>
      </c>
      <c r="S76" s="114">
        <v>0</v>
      </c>
    </row>
    <row r="77" spans="1:19" ht="15.6" x14ac:dyDescent="0.3">
      <c r="A77" s="112">
        <v>-30</v>
      </c>
      <c r="B77" s="113">
        <v>-1.9999999999999574E-2</v>
      </c>
      <c r="C77" s="181"/>
      <c r="D77" s="26" t="s">
        <v>82</v>
      </c>
      <c r="E77" s="117">
        <v>1780</v>
      </c>
      <c r="F77" s="26" t="s">
        <v>351</v>
      </c>
      <c r="G77" s="33">
        <v>2020</v>
      </c>
      <c r="H77" s="43">
        <v>14.75</v>
      </c>
      <c r="I77" s="43">
        <v>12.33</v>
      </c>
      <c r="J77" s="43">
        <v>0.22</v>
      </c>
      <c r="K77" s="43">
        <v>2.1999999999999993</v>
      </c>
      <c r="L77" s="156">
        <v>26259</v>
      </c>
      <c r="M77" s="158">
        <v>25867</v>
      </c>
      <c r="N77" s="118">
        <v>354</v>
      </c>
      <c r="O77" s="117">
        <v>38</v>
      </c>
      <c r="P77" s="117">
        <v>0</v>
      </c>
      <c r="Q77" s="117">
        <v>0</v>
      </c>
      <c r="R77" s="117">
        <v>0</v>
      </c>
      <c r="S77" s="117">
        <v>0</v>
      </c>
    </row>
    <row r="78" spans="1:19" ht="15.6" x14ac:dyDescent="0.3">
      <c r="A78" s="112">
        <v>0</v>
      </c>
      <c r="B78" s="113">
        <v>0</v>
      </c>
      <c r="C78" s="181"/>
      <c r="D78" s="26" t="s">
        <v>51</v>
      </c>
      <c r="E78" s="117">
        <v>1780</v>
      </c>
      <c r="F78" s="33" t="s">
        <v>351</v>
      </c>
      <c r="G78" s="33">
        <v>2021</v>
      </c>
      <c r="H78" s="43">
        <v>7.3</v>
      </c>
      <c r="I78" s="43">
        <v>3.7</v>
      </c>
      <c r="J78" s="43">
        <v>0.56000000000000005</v>
      </c>
      <c r="K78" s="43">
        <v>3.04</v>
      </c>
      <c r="L78" s="156">
        <v>12999</v>
      </c>
      <c r="M78" s="158">
        <v>12003</v>
      </c>
      <c r="N78" s="118">
        <v>885</v>
      </c>
      <c r="O78" s="117">
        <v>111</v>
      </c>
      <c r="P78" s="117">
        <v>0</v>
      </c>
      <c r="Q78" s="117">
        <v>111</v>
      </c>
      <c r="R78" s="117">
        <v>0</v>
      </c>
      <c r="S78" s="117">
        <v>0</v>
      </c>
    </row>
    <row r="79" spans="1:19" ht="15.6" x14ac:dyDescent="0.3">
      <c r="A79" s="112">
        <v>0</v>
      </c>
      <c r="B79" s="113">
        <v>0</v>
      </c>
      <c r="C79" s="181"/>
      <c r="D79" s="26" t="s">
        <v>83</v>
      </c>
      <c r="E79" s="117">
        <v>1632</v>
      </c>
      <c r="F79" s="26" t="s">
        <v>351</v>
      </c>
      <c r="G79" s="33">
        <v>2016</v>
      </c>
      <c r="H79" s="43">
        <v>11.6</v>
      </c>
      <c r="I79" s="43">
        <v>11.22</v>
      </c>
      <c r="J79" s="43">
        <v>0</v>
      </c>
      <c r="K79" s="43">
        <v>0.37999999999999901</v>
      </c>
      <c r="L79" s="156">
        <v>18922</v>
      </c>
      <c r="M79" s="158">
        <v>18813</v>
      </c>
      <c r="N79" s="118">
        <v>22</v>
      </c>
      <c r="O79" s="117">
        <v>87</v>
      </c>
      <c r="P79" s="117">
        <v>0</v>
      </c>
      <c r="Q79" s="117">
        <v>87</v>
      </c>
      <c r="R79" s="117"/>
      <c r="S79" s="117">
        <v>0</v>
      </c>
    </row>
    <row r="80" spans="1:19" ht="15.6" x14ac:dyDescent="0.3">
      <c r="A80" s="112">
        <v>0</v>
      </c>
      <c r="B80" s="113">
        <v>0</v>
      </c>
      <c r="C80" s="181"/>
      <c r="D80" s="26" t="s">
        <v>84</v>
      </c>
      <c r="E80" s="117">
        <v>1632</v>
      </c>
      <c r="F80" s="26" t="s">
        <v>351</v>
      </c>
      <c r="G80" s="33">
        <v>2016</v>
      </c>
      <c r="H80" s="43">
        <v>15.24</v>
      </c>
      <c r="I80" s="43">
        <v>14.53</v>
      </c>
      <c r="J80" s="43">
        <v>0</v>
      </c>
      <c r="K80" s="43">
        <v>0.71000000000000085</v>
      </c>
      <c r="L80" s="156">
        <v>24864</v>
      </c>
      <c r="M80" s="158">
        <v>24537</v>
      </c>
      <c r="N80" s="118">
        <v>92</v>
      </c>
      <c r="O80" s="117">
        <v>235</v>
      </c>
      <c r="P80" s="117">
        <v>0</v>
      </c>
      <c r="Q80" s="117">
        <v>235</v>
      </c>
      <c r="R80" s="117"/>
      <c r="S80" s="117">
        <v>0</v>
      </c>
    </row>
    <row r="81" spans="1:19" ht="15.6" x14ac:dyDescent="0.3">
      <c r="A81" s="112">
        <v>0</v>
      </c>
      <c r="B81" s="113">
        <v>0</v>
      </c>
      <c r="C81" s="181"/>
      <c r="D81" s="26" t="s">
        <v>85</v>
      </c>
      <c r="E81" s="117">
        <v>1632</v>
      </c>
      <c r="F81" s="26" t="s">
        <v>351</v>
      </c>
      <c r="G81" s="33">
        <v>2016</v>
      </c>
      <c r="H81" s="43">
        <v>15.17</v>
      </c>
      <c r="I81" s="43">
        <v>14.58</v>
      </c>
      <c r="J81" s="43">
        <v>0</v>
      </c>
      <c r="K81" s="43">
        <v>0.58999999999999986</v>
      </c>
      <c r="L81" s="156">
        <v>24753</v>
      </c>
      <c r="M81" s="158">
        <v>24301</v>
      </c>
      <c r="N81" s="118">
        <v>88</v>
      </c>
      <c r="O81" s="117">
        <v>364</v>
      </c>
      <c r="P81" s="117">
        <v>0</v>
      </c>
      <c r="Q81" s="117">
        <v>364</v>
      </c>
      <c r="R81" s="117"/>
      <c r="S81" s="117">
        <v>0</v>
      </c>
    </row>
    <row r="82" spans="1:19" ht="15.6" x14ac:dyDescent="0.3">
      <c r="A82" s="112">
        <v>0</v>
      </c>
      <c r="B82" s="113">
        <v>0</v>
      </c>
      <c r="C82" s="181"/>
      <c r="D82" s="26" t="s">
        <v>86</v>
      </c>
      <c r="E82" s="117">
        <v>1632</v>
      </c>
      <c r="F82" s="26" t="s">
        <v>351</v>
      </c>
      <c r="G82" s="33">
        <v>2016</v>
      </c>
      <c r="H82" s="43">
        <v>13.7</v>
      </c>
      <c r="I82" s="43">
        <v>13.44</v>
      </c>
      <c r="J82" s="43">
        <v>0</v>
      </c>
      <c r="K82" s="43">
        <v>0.25999999999999979</v>
      </c>
      <c r="L82" s="156">
        <v>22360</v>
      </c>
      <c r="M82" s="158">
        <v>22273</v>
      </c>
      <c r="N82" s="118">
        <v>65</v>
      </c>
      <c r="O82" s="117">
        <v>152</v>
      </c>
      <c r="P82" s="117">
        <v>0</v>
      </c>
      <c r="Q82" s="117">
        <v>152</v>
      </c>
      <c r="R82" s="117"/>
      <c r="S82" s="117">
        <v>0</v>
      </c>
    </row>
    <row r="83" spans="1:19" ht="15.6" x14ac:dyDescent="0.3">
      <c r="A83" s="112">
        <v>0</v>
      </c>
      <c r="B83" s="113">
        <v>0</v>
      </c>
      <c r="C83" s="208"/>
      <c r="D83" s="27" t="s">
        <v>87</v>
      </c>
      <c r="E83" s="120">
        <v>1587</v>
      </c>
      <c r="F83" s="27" t="s">
        <v>351</v>
      </c>
      <c r="G83" s="35">
        <v>2019</v>
      </c>
      <c r="H83" s="43">
        <v>6.4</v>
      </c>
      <c r="I83" s="43">
        <v>4.3</v>
      </c>
      <c r="J83" s="43">
        <v>0</v>
      </c>
      <c r="K83" s="43">
        <v>2.1000000000000005</v>
      </c>
      <c r="L83" s="156">
        <v>10150</v>
      </c>
      <c r="M83" s="172">
        <v>10096</v>
      </c>
      <c r="N83" s="118">
        <v>20</v>
      </c>
      <c r="O83" s="117">
        <v>34</v>
      </c>
      <c r="P83" s="117">
        <v>0</v>
      </c>
      <c r="Q83" s="117">
        <v>34</v>
      </c>
      <c r="R83" s="117"/>
      <c r="S83" s="117">
        <v>0</v>
      </c>
    </row>
    <row r="84" spans="1:19" ht="15.6" x14ac:dyDescent="0.3">
      <c r="B84" s="125"/>
      <c r="C84" s="179" t="s">
        <v>243</v>
      </c>
      <c r="D84" s="173" t="s">
        <v>45</v>
      </c>
      <c r="E84" s="174">
        <v>1905</v>
      </c>
      <c r="F84" s="173" t="s">
        <v>351</v>
      </c>
      <c r="G84" s="173">
        <v>2023</v>
      </c>
      <c r="H84" s="175">
        <v>8.93</v>
      </c>
      <c r="I84" s="175">
        <v>0</v>
      </c>
      <c r="J84" s="175">
        <v>0</v>
      </c>
      <c r="K84" s="175">
        <v>8.93</v>
      </c>
      <c r="L84" s="174">
        <v>17012</v>
      </c>
      <c r="M84" s="174">
        <v>0</v>
      </c>
      <c r="N84" s="174">
        <v>0</v>
      </c>
      <c r="O84" s="174">
        <v>17012</v>
      </c>
      <c r="P84" s="174">
        <v>15392</v>
      </c>
      <c r="Q84" s="174">
        <v>0</v>
      </c>
      <c r="R84" s="176">
        <v>0</v>
      </c>
      <c r="S84" s="176">
        <v>0</v>
      </c>
    </row>
    <row r="85" spans="1:19" ht="15.6" x14ac:dyDescent="0.3">
      <c r="B85" s="125"/>
      <c r="C85" s="208"/>
      <c r="D85" s="34" t="s">
        <v>47</v>
      </c>
      <c r="E85" s="123">
        <v>1905</v>
      </c>
      <c r="F85" s="34" t="s">
        <v>351</v>
      </c>
      <c r="G85" s="34">
        <v>2023</v>
      </c>
      <c r="H85" s="121">
        <v>8.49</v>
      </c>
      <c r="I85" s="164">
        <v>0</v>
      </c>
      <c r="J85" s="164">
        <v>0</v>
      </c>
      <c r="K85" s="164">
        <v>8.49</v>
      </c>
      <c r="L85" s="123">
        <v>16173</v>
      </c>
      <c r="M85" s="123">
        <v>0</v>
      </c>
      <c r="N85" s="123">
        <v>0</v>
      </c>
      <c r="O85" s="123">
        <v>16173</v>
      </c>
      <c r="P85" s="123">
        <v>16707</v>
      </c>
      <c r="Q85" s="123">
        <v>0</v>
      </c>
      <c r="R85" s="177">
        <v>0</v>
      </c>
      <c r="S85" s="177">
        <v>0</v>
      </c>
    </row>
    <row r="86" spans="1:19" ht="15.6" x14ac:dyDescent="0.3">
      <c r="A86" s="112">
        <v>-1000</v>
      </c>
      <c r="B86" s="149">
        <v>-0.56000000000000005</v>
      </c>
      <c r="C86" s="47" t="s">
        <v>79</v>
      </c>
      <c r="D86" s="39" t="s">
        <v>80</v>
      </c>
      <c r="E86" s="178">
        <v>1780</v>
      </c>
      <c r="F86" s="178">
        <v>1780</v>
      </c>
      <c r="G86" s="87">
        <v>2022</v>
      </c>
      <c r="H86" s="41">
        <v>2</v>
      </c>
      <c r="I86" s="41">
        <v>2</v>
      </c>
      <c r="J86" s="41">
        <v>0</v>
      </c>
      <c r="K86" s="41">
        <v>0</v>
      </c>
      <c r="L86" s="178">
        <v>3557</v>
      </c>
      <c r="M86" s="178">
        <v>3557</v>
      </c>
      <c r="N86" s="178">
        <v>0</v>
      </c>
      <c r="O86" s="178">
        <v>0</v>
      </c>
      <c r="P86" s="178"/>
      <c r="Q86" s="178">
        <v>0</v>
      </c>
      <c r="R86" s="178">
        <v>0</v>
      </c>
      <c r="S86" s="178">
        <v>0</v>
      </c>
    </row>
    <row r="87" spans="1:19" ht="15.6" x14ac:dyDescent="0.3">
      <c r="C87" s="179" t="s">
        <v>355</v>
      </c>
      <c r="D87" s="25" t="s">
        <v>78</v>
      </c>
      <c r="E87" s="114">
        <v>1780</v>
      </c>
      <c r="F87" s="180"/>
      <c r="G87" s="32"/>
      <c r="H87" s="42">
        <v>2.81</v>
      </c>
      <c r="I87" s="42">
        <v>0</v>
      </c>
      <c r="J87" s="42">
        <v>0</v>
      </c>
      <c r="K87" s="42">
        <v>0</v>
      </c>
      <c r="L87" s="114">
        <v>0</v>
      </c>
      <c r="M87" s="114">
        <v>0</v>
      </c>
      <c r="N87" s="114">
        <v>0</v>
      </c>
      <c r="O87" s="114">
        <v>0</v>
      </c>
      <c r="P87" s="114">
        <v>0</v>
      </c>
      <c r="Q87" s="114"/>
      <c r="R87" s="114">
        <v>0</v>
      </c>
      <c r="S87" s="114">
        <v>0</v>
      </c>
    </row>
    <row r="88" spans="1:19" ht="15.6" x14ac:dyDescent="0.3">
      <c r="C88" s="181" t="s">
        <v>356</v>
      </c>
      <c r="D88" s="26"/>
      <c r="E88" s="117">
        <v>1780</v>
      </c>
      <c r="F88" s="159" t="s">
        <v>349</v>
      </c>
      <c r="G88" s="33">
        <v>2022</v>
      </c>
      <c r="H88" s="43">
        <v>0.51</v>
      </c>
      <c r="I88" s="43">
        <v>0.45</v>
      </c>
      <c r="J88" s="43">
        <v>0</v>
      </c>
      <c r="K88" s="43">
        <v>0</v>
      </c>
      <c r="L88" s="117">
        <v>837</v>
      </c>
      <c r="M88" s="117">
        <v>797</v>
      </c>
      <c r="N88" s="117">
        <v>0</v>
      </c>
      <c r="O88" s="117">
        <v>40</v>
      </c>
      <c r="P88" s="117">
        <v>0</v>
      </c>
      <c r="Q88" s="117"/>
      <c r="R88" s="117">
        <v>0</v>
      </c>
      <c r="S88" s="117">
        <v>0</v>
      </c>
    </row>
    <row r="89" spans="1:19" ht="15.6" x14ac:dyDescent="0.3">
      <c r="C89" s="181" t="s">
        <v>357</v>
      </c>
      <c r="D89" s="26"/>
      <c r="E89" s="117">
        <v>1780</v>
      </c>
      <c r="F89" s="159" t="s">
        <v>349</v>
      </c>
      <c r="G89" s="33">
        <v>2022</v>
      </c>
      <c r="H89" s="43">
        <v>0.33</v>
      </c>
      <c r="I89" s="43">
        <v>0.28999999999999998</v>
      </c>
      <c r="J89" s="43">
        <v>0</v>
      </c>
      <c r="K89" s="43">
        <v>0</v>
      </c>
      <c r="L89" s="117">
        <v>538</v>
      </c>
      <c r="M89" s="117">
        <v>515</v>
      </c>
      <c r="N89" s="117">
        <v>0</v>
      </c>
      <c r="O89" s="117">
        <v>23</v>
      </c>
      <c r="P89" s="117">
        <v>0</v>
      </c>
      <c r="Q89" s="117"/>
      <c r="R89" s="117">
        <v>0</v>
      </c>
      <c r="S89" s="117">
        <v>0</v>
      </c>
    </row>
    <row r="90" spans="1:19" ht="15.6" x14ac:dyDescent="0.3">
      <c r="C90" s="181" t="s">
        <v>358</v>
      </c>
      <c r="D90" s="26"/>
      <c r="E90" s="117">
        <v>1780</v>
      </c>
      <c r="F90" s="159" t="s">
        <v>349</v>
      </c>
      <c r="G90" s="33">
        <v>2022</v>
      </c>
      <c r="H90" s="43">
        <v>0.41</v>
      </c>
      <c r="I90" s="43">
        <v>0.3</v>
      </c>
      <c r="J90" s="43">
        <v>0</v>
      </c>
      <c r="K90" s="43">
        <v>0</v>
      </c>
      <c r="L90" s="117">
        <v>615</v>
      </c>
      <c r="M90" s="117">
        <v>539</v>
      </c>
      <c r="N90" s="117">
        <v>0</v>
      </c>
      <c r="O90" s="117">
        <v>76</v>
      </c>
      <c r="P90" s="117">
        <v>0</v>
      </c>
      <c r="Q90" s="117"/>
      <c r="R90" s="117">
        <v>0</v>
      </c>
      <c r="S90" s="117">
        <v>0</v>
      </c>
    </row>
    <row r="91" spans="1:19" ht="15.6" x14ac:dyDescent="0.3">
      <c r="C91" s="181" t="s">
        <v>355</v>
      </c>
      <c r="D91" s="26"/>
      <c r="E91" s="117">
        <v>1780</v>
      </c>
      <c r="F91" s="159"/>
      <c r="G91" s="33"/>
      <c r="H91" s="43">
        <v>0.72</v>
      </c>
      <c r="I91" s="43">
        <v>0</v>
      </c>
      <c r="J91" s="43">
        <v>0</v>
      </c>
      <c r="K91" s="43">
        <v>0</v>
      </c>
      <c r="L91" s="117">
        <v>0</v>
      </c>
      <c r="M91" s="117">
        <v>0</v>
      </c>
      <c r="N91" s="117">
        <v>0</v>
      </c>
      <c r="O91" s="117">
        <v>0</v>
      </c>
      <c r="P91" s="117">
        <v>0</v>
      </c>
      <c r="Q91" s="117"/>
      <c r="R91" s="117">
        <v>0</v>
      </c>
      <c r="S91" s="117">
        <v>0</v>
      </c>
    </row>
    <row r="92" spans="1:19" ht="15.6" x14ac:dyDescent="0.3">
      <c r="C92" s="181" t="s">
        <v>359</v>
      </c>
      <c r="D92" s="26"/>
      <c r="E92" s="117">
        <v>1780</v>
      </c>
      <c r="F92" s="159" t="s">
        <v>351</v>
      </c>
      <c r="G92" s="33">
        <v>2022</v>
      </c>
      <c r="H92" s="43">
        <v>0.72</v>
      </c>
      <c r="I92" s="43">
        <v>0.72</v>
      </c>
      <c r="J92" s="43">
        <v>0</v>
      </c>
      <c r="K92" s="43">
        <v>0</v>
      </c>
      <c r="L92" s="117">
        <v>1287</v>
      </c>
      <c r="M92" s="117">
        <v>1278</v>
      </c>
      <c r="N92" s="117">
        <v>0</v>
      </c>
      <c r="O92" s="117">
        <v>9</v>
      </c>
      <c r="P92" s="117">
        <v>0</v>
      </c>
      <c r="Q92" s="117"/>
      <c r="R92" s="117">
        <v>0</v>
      </c>
      <c r="S92" s="117">
        <v>0</v>
      </c>
    </row>
    <row r="93" spans="1:19" ht="15.6" x14ac:dyDescent="0.3">
      <c r="C93" s="181" t="s">
        <v>360</v>
      </c>
      <c r="D93" s="26"/>
      <c r="E93" s="117">
        <v>1780</v>
      </c>
      <c r="F93" s="159" t="s">
        <v>351</v>
      </c>
      <c r="G93" s="33">
        <v>2022</v>
      </c>
      <c r="H93" s="43">
        <v>0.85</v>
      </c>
      <c r="I93" s="43">
        <v>0.71</v>
      </c>
      <c r="J93" s="43">
        <v>0</v>
      </c>
      <c r="K93" s="43">
        <v>0</v>
      </c>
      <c r="L93" s="117">
        <v>1430</v>
      </c>
      <c r="M93" s="117">
        <v>1269</v>
      </c>
      <c r="N93" s="117">
        <v>0</v>
      </c>
      <c r="O93" s="117">
        <v>161</v>
      </c>
      <c r="P93" s="117">
        <v>0</v>
      </c>
      <c r="Q93" s="117"/>
      <c r="R93" s="117">
        <v>0</v>
      </c>
      <c r="S93" s="117">
        <v>0</v>
      </c>
    </row>
    <row r="94" spans="1:19" ht="15.6" x14ac:dyDescent="0.3">
      <c r="C94" s="181" t="s">
        <v>361</v>
      </c>
      <c r="D94" s="26"/>
      <c r="E94" s="117">
        <v>1780</v>
      </c>
      <c r="F94" s="159" t="s">
        <v>351</v>
      </c>
      <c r="G94" s="33">
        <v>2022</v>
      </c>
      <c r="H94" s="43">
        <v>0.21</v>
      </c>
      <c r="I94" s="43">
        <v>0.14000000000000001</v>
      </c>
      <c r="J94" s="43">
        <v>0</v>
      </c>
      <c r="K94" s="43">
        <v>0</v>
      </c>
      <c r="L94" s="117">
        <v>303</v>
      </c>
      <c r="M94" s="117">
        <v>246</v>
      </c>
      <c r="N94" s="117">
        <v>0</v>
      </c>
      <c r="O94" s="117">
        <v>57</v>
      </c>
      <c r="P94" s="117">
        <v>0</v>
      </c>
      <c r="Q94" s="117"/>
      <c r="R94" s="117">
        <v>0</v>
      </c>
      <c r="S94" s="117">
        <v>0</v>
      </c>
    </row>
    <row r="95" spans="1:19" ht="15.6" x14ac:dyDescent="0.3">
      <c r="C95" s="181" t="s">
        <v>362</v>
      </c>
      <c r="D95" s="26"/>
      <c r="E95" s="117">
        <v>1780</v>
      </c>
      <c r="F95" s="159" t="s">
        <v>351</v>
      </c>
      <c r="G95" s="33">
        <v>2022</v>
      </c>
      <c r="H95" s="43">
        <v>0.89</v>
      </c>
      <c r="I95" s="43">
        <v>0.74</v>
      </c>
      <c r="J95" s="43">
        <v>0</v>
      </c>
      <c r="K95" s="43">
        <v>0</v>
      </c>
      <c r="L95" s="117">
        <v>1519</v>
      </c>
      <c r="M95" s="117">
        <v>1319</v>
      </c>
      <c r="N95" s="117">
        <v>0</v>
      </c>
      <c r="O95" s="117">
        <v>200</v>
      </c>
      <c r="P95" s="117">
        <v>0</v>
      </c>
      <c r="Q95" s="117"/>
      <c r="R95" s="117">
        <v>0</v>
      </c>
      <c r="S95" s="117">
        <v>0</v>
      </c>
    </row>
    <row r="96" spans="1:19" ht="15.6" x14ac:dyDescent="0.3">
      <c r="C96" s="181" t="s">
        <v>355</v>
      </c>
      <c r="D96" s="27"/>
      <c r="E96" s="120">
        <v>1780</v>
      </c>
      <c r="F96" s="182" t="s">
        <v>351</v>
      </c>
      <c r="G96" s="35">
        <v>2022</v>
      </c>
      <c r="H96" s="183">
        <v>1.91</v>
      </c>
      <c r="I96" s="183">
        <v>0</v>
      </c>
      <c r="J96" s="183">
        <v>0</v>
      </c>
      <c r="K96" s="183">
        <v>0</v>
      </c>
      <c r="L96" s="120">
        <v>0</v>
      </c>
      <c r="M96" s="120">
        <v>0</v>
      </c>
      <c r="N96" s="120">
        <v>0</v>
      </c>
      <c r="O96" s="120">
        <v>0</v>
      </c>
      <c r="P96" s="120">
        <v>0</v>
      </c>
      <c r="Q96" s="120"/>
      <c r="R96" s="120">
        <v>0</v>
      </c>
      <c r="S96" s="120">
        <v>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Hoja35"/>
  <dimension ref="A1:AA77"/>
  <sheetViews>
    <sheetView workbookViewId="0"/>
  </sheetViews>
  <sheetFormatPr baseColWidth="10" defaultRowHeight="14.4" x14ac:dyDescent="0.3"/>
  <sheetData>
    <row r="1" spans="1:26" ht="31.2" x14ac:dyDescent="0.3">
      <c r="A1" s="84" t="s">
        <v>114</v>
      </c>
      <c r="B1" s="84" t="s">
        <v>115</v>
      </c>
      <c r="C1" s="84" t="s">
        <v>145</v>
      </c>
      <c r="D1" s="84" t="s">
        <v>0</v>
      </c>
      <c r="E1" s="84" t="s">
        <v>118</v>
      </c>
      <c r="F1" s="84" t="s">
        <v>123</v>
      </c>
      <c r="G1" s="84" t="s">
        <v>124</v>
      </c>
      <c r="H1" s="84" t="s">
        <v>125</v>
      </c>
      <c r="I1" s="84" t="s">
        <v>119</v>
      </c>
      <c r="J1" s="84" t="s">
        <v>120</v>
      </c>
      <c r="K1" s="84" t="s">
        <v>121</v>
      </c>
      <c r="L1" s="84" t="s">
        <v>122</v>
      </c>
      <c r="M1" s="84" t="s">
        <v>1</v>
      </c>
      <c r="N1" s="84" t="s">
        <v>2</v>
      </c>
      <c r="O1" s="84" t="s">
        <v>3</v>
      </c>
      <c r="P1" s="84" t="s">
        <v>213</v>
      </c>
      <c r="Q1" s="84" t="s">
        <v>5</v>
      </c>
      <c r="R1" s="84" t="s">
        <v>4</v>
      </c>
      <c r="S1" s="84" t="s">
        <v>214</v>
      </c>
      <c r="T1" s="85" t="s">
        <v>215</v>
      </c>
      <c r="U1" s="85" t="s">
        <v>211</v>
      </c>
      <c r="V1" s="86" t="s">
        <v>216</v>
      </c>
      <c r="W1" s="85" t="s">
        <v>217</v>
      </c>
      <c r="X1" s="85" t="s">
        <v>218</v>
      </c>
      <c r="Y1" s="86" t="s">
        <v>216</v>
      </c>
      <c r="Z1" s="85" t="s">
        <v>228</v>
      </c>
    </row>
    <row r="2" spans="1:26" x14ac:dyDescent="0.3">
      <c r="A2" s="9" t="s">
        <v>105</v>
      </c>
      <c r="B2" s="10" t="s">
        <v>6</v>
      </c>
      <c r="C2" s="10">
        <v>2023</v>
      </c>
      <c r="D2" s="4">
        <v>1780</v>
      </c>
      <c r="E2" s="2">
        <v>15.059213483146067</v>
      </c>
      <c r="F2" s="2">
        <v>15.03</v>
      </c>
      <c r="G2" s="2">
        <v>2.9213483146067417E-2</v>
      </c>
      <c r="H2" s="2">
        <v>0</v>
      </c>
      <c r="I2" s="3">
        <v>26808</v>
      </c>
      <c r="J2" s="11">
        <v>26752</v>
      </c>
      <c r="K2" s="11">
        <v>52</v>
      </c>
      <c r="L2" s="11">
        <v>4</v>
      </c>
      <c r="M2" s="2" t="s">
        <v>7</v>
      </c>
      <c r="N2" s="5">
        <v>2018</v>
      </c>
      <c r="O2" s="1" t="s">
        <v>8</v>
      </c>
      <c r="P2" s="1" t="s">
        <v>219</v>
      </c>
      <c r="Q2" s="1" t="s">
        <v>10</v>
      </c>
      <c r="R2" s="1" t="s">
        <v>9</v>
      </c>
      <c r="S2" s="87" t="s">
        <v>6</v>
      </c>
      <c r="T2" s="88" t="e">
        <f>SUMIFS(#REF!,#REF!,Comparación!B2,#REF!,Comparación!A2)</f>
        <v>#REF!</v>
      </c>
      <c r="U2" s="40">
        <v>15.06</v>
      </c>
      <c r="V2" s="40" t="e">
        <f>T2-U2</f>
        <v>#REF!</v>
      </c>
      <c r="W2" s="89" t="e">
        <f>SUMIFS(#REF!,#REF!,Comparación!B2,#REF!,Comparación!A2)</f>
        <v>#REF!</v>
      </c>
      <c r="X2" s="89">
        <v>26808</v>
      </c>
      <c r="Y2" s="90" t="e">
        <f>W2-X2</f>
        <v>#REF!</v>
      </c>
      <c r="Z2" s="91"/>
    </row>
    <row r="3" spans="1:26" x14ac:dyDescent="0.3">
      <c r="A3" s="9" t="s">
        <v>105</v>
      </c>
      <c r="B3" s="10" t="s">
        <v>11</v>
      </c>
      <c r="C3" s="10">
        <v>2023</v>
      </c>
      <c r="D3" s="4">
        <v>2132</v>
      </c>
      <c r="E3" s="2">
        <v>10.1</v>
      </c>
      <c r="F3" s="2">
        <v>9.9699999999999989</v>
      </c>
      <c r="G3" s="2">
        <v>0.12851782363977485</v>
      </c>
      <c r="H3" s="2">
        <v>0</v>
      </c>
      <c r="I3" s="3">
        <v>31958</v>
      </c>
      <c r="J3" s="11">
        <v>31677</v>
      </c>
      <c r="K3" s="11">
        <v>274</v>
      </c>
      <c r="L3" s="11">
        <v>7</v>
      </c>
      <c r="M3" s="2" t="s">
        <v>7</v>
      </c>
      <c r="N3" s="5">
        <v>2016</v>
      </c>
      <c r="O3" s="1" t="s">
        <v>12</v>
      </c>
      <c r="P3" s="1" t="s">
        <v>220</v>
      </c>
      <c r="Q3" s="1" t="s">
        <v>10</v>
      </c>
      <c r="R3" s="1" t="s">
        <v>9</v>
      </c>
      <c r="S3" s="87" t="s">
        <v>11</v>
      </c>
      <c r="T3" s="88" t="e">
        <f>SUMIFS(#REF!,#REF!,Comparación!B3,#REF!,Comparación!A3)</f>
        <v>#REF!</v>
      </c>
      <c r="U3" s="40">
        <v>14.99</v>
      </c>
      <c r="V3" s="40" t="e">
        <f t="shared" ref="V3:V66" si="0">T3-U3</f>
        <v>#REF!</v>
      </c>
      <c r="W3" s="89" t="e">
        <f>SUMIFS(#REF!,#REF!,Comparación!B3,#REF!,Comparación!A3)</f>
        <v>#REF!</v>
      </c>
      <c r="X3" s="89">
        <v>31958</v>
      </c>
      <c r="Y3" s="90" t="e">
        <f t="shared" ref="Y3:Y66" si="1">W3-X3</f>
        <v>#REF!</v>
      </c>
      <c r="Z3" s="89" t="s">
        <v>237</v>
      </c>
    </row>
    <row r="4" spans="1:26" x14ac:dyDescent="0.3">
      <c r="A4" s="9" t="s">
        <v>105</v>
      </c>
      <c r="B4" s="10" t="s">
        <v>13</v>
      </c>
      <c r="C4" s="10">
        <v>2023</v>
      </c>
      <c r="D4" s="4">
        <v>2132</v>
      </c>
      <c r="E4" s="2">
        <v>13.97</v>
      </c>
      <c r="F4" s="2">
        <v>13.709999999999999</v>
      </c>
      <c r="G4" s="2">
        <v>0.24530956848030019</v>
      </c>
      <c r="H4" s="2">
        <v>0.01</v>
      </c>
      <c r="I4" s="3">
        <v>30449</v>
      </c>
      <c r="J4" s="11">
        <v>29908</v>
      </c>
      <c r="K4" s="11">
        <v>523</v>
      </c>
      <c r="L4" s="11">
        <v>18</v>
      </c>
      <c r="M4" s="2" t="s">
        <v>7</v>
      </c>
      <c r="N4" s="5">
        <v>2016</v>
      </c>
      <c r="O4" s="1" t="s">
        <v>12</v>
      </c>
      <c r="P4" s="1" t="s">
        <v>221</v>
      </c>
      <c r="Q4" s="1" t="s">
        <v>10</v>
      </c>
      <c r="R4" s="1" t="s">
        <v>9</v>
      </c>
      <c r="S4" s="87" t="s">
        <v>13</v>
      </c>
      <c r="T4" s="88" t="e">
        <f>SUMIFS(#REF!,#REF!,Comparación!B4,#REF!,Comparación!A4)</f>
        <v>#REF!</v>
      </c>
      <c r="U4" s="40">
        <v>14.28</v>
      </c>
      <c r="V4" s="40" t="e">
        <f t="shared" si="0"/>
        <v>#REF!</v>
      </c>
      <c r="W4" s="89" t="e">
        <f>SUMIFS(#REF!,#REF!,Comparación!B4,#REF!,Comparación!A4)</f>
        <v>#REF!</v>
      </c>
      <c r="X4" s="89">
        <v>30449</v>
      </c>
      <c r="Y4" s="90" t="e">
        <f t="shared" si="1"/>
        <v>#REF!</v>
      </c>
      <c r="Z4" s="89" t="s">
        <v>238</v>
      </c>
    </row>
    <row r="5" spans="1:26" x14ac:dyDescent="0.3">
      <c r="A5" s="9" t="s">
        <v>105</v>
      </c>
      <c r="B5" s="10" t="s">
        <v>14</v>
      </c>
      <c r="C5" s="10">
        <v>2023</v>
      </c>
      <c r="D5" s="4">
        <v>2132</v>
      </c>
      <c r="E5" s="2">
        <v>14.760825515947467</v>
      </c>
      <c r="F5" s="2">
        <v>14.67</v>
      </c>
      <c r="G5" s="2">
        <v>7.0825515947467166E-2</v>
      </c>
      <c r="H5" s="2">
        <v>0.02</v>
      </c>
      <c r="I5" s="3">
        <v>31475</v>
      </c>
      <c r="J5" s="11">
        <v>31272</v>
      </c>
      <c r="K5" s="11">
        <v>151</v>
      </c>
      <c r="L5" s="11">
        <v>52</v>
      </c>
      <c r="M5" s="2" t="s">
        <v>7</v>
      </c>
      <c r="N5" s="5">
        <v>2016</v>
      </c>
      <c r="O5" s="1" t="s">
        <v>12</v>
      </c>
      <c r="P5" s="1" t="s">
        <v>222</v>
      </c>
      <c r="Q5" s="1" t="s">
        <v>10</v>
      </c>
      <c r="R5" s="1" t="s">
        <v>9</v>
      </c>
      <c r="S5" s="87" t="s">
        <v>14</v>
      </c>
      <c r="T5" s="88" t="e">
        <f>SUMIFS(#REF!,#REF!,Comparación!B5,#REF!,Comparación!A5)</f>
        <v>#REF!</v>
      </c>
      <c r="U5" s="40">
        <v>14.76</v>
      </c>
      <c r="V5" s="40" t="e">
        <f t="shared" si="0"/>
        <v>#REF!</v>
      </c>
      <c r="W5" s="89" t="e">
        <f>SUMIFS(#REF!,#REF!,Comparación!B5,#REF!,Comparación!A5)</f>
        <v>#REF!</v>
      </c>
      <c r="X5" s="89">
        <v>31475</v>
      </c>
      <c r="Y5" s="90" t="e">
        <f t="shared" si="1"/>
        <v>#REF!</v>
      </c>
      <c r="Z5" s="91"/>
    </row>
    <row r="6" spans="1:26" x14ac:dyDescent="0.3">
      <c r="A6" s="9" t="s">
        <v>105</v>
      </c>
      <c r="B6" s="10" t="s">
        <v>15</v>
      </c>
      <c r="C6" s="10">
        <v>2023</v>
      </c>
      <c r="D6" s="4">
        <v>2132</v>
      </c>
      <c r="E6" s="2">
        <v>14.854596622889305</v>
      </c>
      <c r="F6" s="2">
        <v>14.73</v>
      </c>
      <c r="G6" s="2">
        <v>0.10459662288930581</v>
      </c>
      <c r="H6" s="2">
        <v>0.02</v>
      </c>
      <c r="I6" s="3">
        <v>31659</v>
      </c>
      <c r="J6" s="11">
        <v>31403</v>
      </c>
      <c r="K6" s="11">
        <v>223</v>
      </c>
      <c r="L6" s="11">
        <v>33</v>
      </c>
      <c r="M6" s="2" t="s">
        <v>7</v>
      </c>
      <c r="N6" s="5">
        <v>2017</v>
      </c>
      <c r="O6" s="1" t="s">
        <v>12</v>
      </c>
      <c r="P6" s="1" t="s">
        <v>223</v>
      </c>
      <c r="Q6" s="1" t="s">
        <v>10</v>
      </c>
      <c r="R6" s="1" t="s">
        <v>9</v>
      </c>
      <c r="S6" s="87" t="s">
        <v>15</v>
      </c>
      <c r="T6" s="88" t="e">
        <f>SUMIFS(#REF!,#REF!,Comparación!B6,#REF!,Comparación!A6)</f>
        <v>#REF!</v>
      </c>
      <c r="U6" s="40">
        <v>14.85</v>
      </c>
      <c r="V6" s="40" t="e">
        <f t="shared" si="0"/>
        <v>#REF!</v>
      </c>
      <c r="W6" s="89" t="e">
        <f>SUMIFS(#REF!,#REF!,Comparación!B6,#REF!,Comparación!A6)</f>
        <v>#REF!</v>
      </c>
      <c r="X6" s="89">
        <v>31659</v>
      </c>
      <c r="Y6" s="90" t="e">
        <f t="shared" si="1"/>
        <v>#REF!</v>
      </c>
      <c r="Z6" s="91"/>
    </row>
    <row r="7" spans="1:26" x14ac:dyDescent="0.3">
      <c r="A7" s="9" t="s">
        <v>105</v>
      </c>
      <c r="B7" s="10" t="s">
        <v>16</v>
      </c>
      <c r="C7" s="10">
        <v>2023</v>
      </c>
      <c r="D7" s="4">
        <v>2070</v>
      </c>
      <c r="E7" s="2">
        <v>14.992077294685991</v>
      </c>
      <c r="F7" s="2">
        <v>14.97</v>
      </c>
      <c r="G7" s="2">
        <v>1.2077294685990338E-2</v>
      </c>
      <c r="H7" s="2">
        <v>0.01</v>
      </c>
      <c r="I7" s="3">
        <v>31036</v>
      </c>
      <c r="J7" s="11">
        <v>30998</v>
      </c>
      <c r="K7" s="11">
        <v>25</v>
      </c>
      <c r="L7" s="11">
        <v>13</v>
      </c>
      <c r="M7" s="2" t="s">
        <v>7</v>
      </c>
      <c r="N7" s="5">
        <v>2017</v>
      </c>
      <c r="O7" s="1" t="s">
        <v>12</v>
      </c>
      <c r="P7" s="1" t="s">
        <v>224</v>
      </c>
      <c r="Q7" s="1" t="s">
        <v>10</v>
      </c>
      <c r="R7" s="1" t="s">
        <v>9</v>
      </c>
      <c r="S7" s="87" t="s">
        <v>16</v>
      </c>
      <c r="T7" s="88" t="e">
        <f>SUMIFS(#REF!,#REF!,Comparación!B7,#REF!,Comparación!A7)</f>
        <v>#REF!</v>
      </c>
      <c r="U7" s="40">
        <v>14.99</v>
      </c>
      <c r="V7" s="40" t="e">
        <f t="shared" si="0"/>
        <v>#REF!</v>
      </c>
      <c r="W7" s="89" t="e">
        <f>SUMIFS(#REF!,#REF!,Comparación!B7,#REF!,Comparación!A7)</f>
        <v>#REF!</v>
      </c>
      <c r="X7" s="89">
        <v>31036</v>
      </c>
      <c r="Y7" s="90" t="e">
        <f t="shared" si="1"/>
        <v>#REF!</v>
      </c>
      <c r="Z7" s="91"/>
    </row>
    <row r="8" spans="1:26" x14ac:dyDescent="0.3">
      <c r="A8" s="9" t="s">
        <v>105</v>
      </c>
      <c r="B8" s="10" t="s">
        <v>18</v>
      </c>
      <c r="C8" s="10">
        <v>2023</v>
      </c>
      <c r="D8" s="4">
        <v>2070</v>
      </c>
      <c r="E8" s="2">
        <v>14.997246376811594</v>
      </c>
      <c r="F8" s="2">
        <v>14.98</v>
      </c>
      <c r="G8" s="2">
        <v>7.246376811594203E-3</v>
      </c>
      <c r="H8" s="2">
        <v>0.01</v>
      </c>
      <c r="I8" s="3">
        <v>31038</v>
      </c>
      <c r="J8" s="11">
        <v>31006</v>
      </c>
      <c r="K8" s="11">
        <v>15</v>
      </c>
      <c r="L8" s="11">
        <v>17</v>
      </c>
      <c r="M8" s="2" t="s">
        <v>7</v>
      </c>
      <c r="N8" s="5">
        <v>2017</v>
      </c>
      <c r="O8" s="1" t="s">
        <v>12</v>
      </c>
      <c r="P8" s="1"/>
      <c r="Q8" s="1" t="s">
        <v>10</v>
      </c>
      <c r="R8" s="1" t="s">
        <v>9</v>
      </c>
      <c r="S8" s="87" t="s">
        <v>18</v>
      </c>
      <c r="T8" s="88" t="e">
        <f>SUMIFS(#REF!,#REF!,Comparación!B8,#REF!,Comparación!A8)</f>
        <v>#REF!</v>
      </c>
      <c r="U8" s="92">
        <v>14.99</v>
      </c>
      <c r="V8" s="40" t="e">
        <f t="shared" si="0"/>
        <v>#REF!</v>
      </c>
      <c r="W8" s="89" t="e">
        <f>SUMIFS(#REF!,#REF!,Comparación!B8,#REF!,Comparación!A8)</f>
        <v>#REF!</v>
      </c>
      <c r="X8" s="89">
        <v>31038</v>
      </c>
      <c r="Y8" s="90" t="e">
        <f t="shared" si="1"/>
        <v>#REF!</v>
      </c>
      <c r="Z8" s="91"/>
    </row>
    <row r="9" spans="1:26" x14ac:dyDescent="0.3">
      <c r="A9" s="9" t="s">
        <v>105</v>
      </c>
      <c r="B9" s="10" t="s">
        <v>19</v>
      </c>
      <c r="C9" s="10">
        <v>2023</v>
      </c>
      <c r="D9" s="4">
        <v>2070</v>
      </c>
      <c r="E9" s="2">
        <v>12.790386473429953</v>
      </c>
      <c r="F9" s="2">
        <v>12.71</v>
      </c>
      <c r="G9" s="2">
        <v>6.0386473429951688E-2</v>
      </c>
      <c r="H9" s="2">
        <v>0.02</v>
      </c>
      <c r="I9" s="3">
        <v>26486</v>
      </c>
      <c r="J9" s="11">
        <v>26310</v>
      </c>
      <c r="K9" s="11">
        <v>125</v>
      </c>
      <c r="L9" s="11">
        <v>51</v>
      </c>
      <c r="M9" s="2" t="s">
        <v>7</v>
      </c>
      <c r="N9" s="5">
        <v>2017</v>
      </c>
      <c r="O9" s="1" t="s">
        <v>12</v>
      </c>
      <c r="P9" s="1" t="s">
        <v>225</v>
      </c>
      <c r="Q9" s="1" t="s">
        <v>10</v>
      </c>
      <c r="R9" s="1" t="s">
        <v>9</v>
      </c>
      <c r="S9" s="87" t="s">
        <v>19</v>
      </c>
      <c r="T9" s="88" t="e">
        <f>SUMIFS(#REF!,#REF!,Comparación!B9,#REF!,Comparación!A9)</f>
        <v>#REF!</v>
      </c>
      <c r="U9" s="92">
        <v>12.8</v>
      </c>
      <c r="V9" s="40" t="e">
        <f t="shared" si="0"/>
        <v>#REF!</v>
      </c>
      <c r="W9" s="89" t="e">
        <f>SUMIFS(#REF!,#REF!,Comparación!B9,#REF!,Comparación!A9)</f>
        <v>#REF!</v>
      </c>
      <c r="X9" s="89">
        <v>26486</v>
      </c>
      <c r="Y9" s="90" t="e">
        <f t="shared" si="1"/>
        <v>#REF!</v>
      </c>
      <c r="Z9" s="91"/>
    </row>
    <row r="10" spans="1:26" x14ac:dyDescent="0.3">
      <c r="A10" s="9" t="s">
        <v>105</v>
      </c>
      <c r="B10" s="10" t="s">
        <v>20</v>
      </c>
      <c r="C10" s="10">
        <v>2023</v>
      </c>
      <c r="D10" s="4">
        <v>2132</v>
      </c>
      <c r="E10" s="2">
        <v>14.395872420262666</v>
      </c>
      <c r="F10" s="2">
        <v>14.346153846153847</v>
      </c>
      <c r="G10" s="2">
        <v>4.6904315196998121E-2</v>
      </c>
      <c r="H10" s="2">
        <v>2.8142589118198874E-3</v>
      </c>
      <c r="I10" s="3">
        <v>30692</v>
      </c>
      <c r="J10" s="11">
        <v>30586</v>
      </c>
      <c r="K10" s="11">
        <v>100</v>
      </c>
      <c r="L10" s="11">
        <v>6</v>
      </c>
      <c r="M10" s="2" t="s">
        <v>7</v>
      </c>
      <c r="N10" s="5">
        <v>2015</v>
      </c>
      <c r="O10" s="1" t="s">
        <v>12</v>
      </c>
      <c r="P10" s="1" t="s">
        <v>190</v>
      </c>
      <c r="Q10" s="1" t="s">
        <v>133</v>
      </c>
      <c r="R10" s="1" t="s">
        <v>9</v>
      </c>
      <c r="S10" s="87" t="s">
        <v>20</v>
      </c>
      <c r="T10" s="88" t="e">
        <f>SUMIFS(#REF!,#REF!,Comparación!B10,#REF!,Comparación!A10)</f>
        <v>#REF!</v>
      </c>
      <c r="U10" s="92">
        <v>14.4</v>
      </c>
      <c r="V10" s="40" t="e">
        <f t="shared" si="0"/>
        <v>#REF!</v>
      </c>
      <c r="W10" s="89" t="e">
        <f>SUMIFS(#REF!,#REF!,Comparación!B10,#REF!,Comparación!A10)</f>
        <v>#REF!</v>
      </c>
      <c r="X10" s="89">
        <v>30692</v>
      </c>
      <c r="Y10" s="90" t="e">
        <f t="shared" si="1"/>
        <v>#REF!</v>
      </c>
      <c r="Z10" s="91"/>
    </row>
    <row r="11" spans="1:26" x14ac:dyDescent="0.3">
      <c r="A11" s="9" t="s">
        <v>105</v>
      </c>
      <c r="B11" s="10" t="s">
        <v>21</v>
      </c>
      <c r="C11" s="10">
        <v>2023</v>
      </c>
      <c r="D11" s="4">
        <v>2132</v>
      </c>
      <c r="E11" s="2">
        <v>11.037054409005629</v>
      </c>
      <c r="F11" s="2">
        <v>10.893527204502814</v>
      </c>
      <c r="G11" s="2">
        <v>0.13930581613508441</v>
      </c>
      <c r="H11" s="2">
        <v>4.2213883677298314E-3</v>
      </c>
      <c r="I11" s="3">
        <v>23531</v>
      </c>
      <c r="J11" s="11">
        <v>23225</v>
      </c>
      <c r="K11" s="11">
        <v>297</v>
      </c>
      <c r="L11" s="11">
        <v>9</v>
      </c>
      <c r="M11" s="2" t="s">
        <v>7</v>
      </c>
      <c r="N11" s="5">
        <v>2015</v>
      </c>
      <c r="O11" s="1" t="s">
        <v>12</v>
      </c>
      <c r="P11" s="1" t="s">
        <v>191</v>
      </c>
      <c r="Q11" s="1" t="s">
        <v>133</v>
      </c>
      <c r="R11" s="1" t="s">
        <v>9</v>
      </c>
      <c r="S11" s="87" t="s">
        <v>21</v>
      </c>
      <c r="T11" s="88" t="e">
        <f>SUMIFS(#REF!,#REF!,Comparación!B11,#REF!,Comparación!A11)</f>
        <v>#REF!</v>
      </c>
      <c r="U11" s="92">
        <v>11.04</v>
      </c>
      <c r="V11" s="40" t="e">
        <f t="shared" si="0"/>
        <v>#REF!</v>
      </c>
      <c r="W11" s="89" t="e">
        <f>SUMIFS(#REF!,#REF!,Comparación!B11,#REF!,Comparación!A11)</f>
        <v>#REF!</v>
      </c>
      <c r="X11" s="89">
        <v>23531</v>
      </c>
      <c r="Y11" s="90" t="e">
        <f t="shared" si="1"/>
        <v>#REF!</v>
      </c>
      <c r="Z11" s="91"/>
    </row>
    <row r="12" spans="1:26" x14ac:dyDescent="0.3">
      <c r="A12" s="9" t="s">
        <v>105</v>
      </c>
      <c r="B12" s="10" t="s">
        <v>22</v>
      </c>
      <c r="C12" s="10">
        <v>2023</v>
      </c>
      <c r="D12" s="4">
        <v>2132</v>
      </c>
      <c r="E12" s="2">
        <v>14.872420262664166</v>
      </c>
      <c r="F12" s="2">
        <v>14.217636022514071</v>
      </c>
      <c r="G12" s="2">
        <v>0.12335834896810506</v>
      </c>
      <c r="H12" s="2">
        <v>0.5314258911819888</v>
      </c>
      <c r="I12" s="3">
        <v>31708</v>
      </c>
      <c r="J12" s="11">
        <v>30312</v>
      </c>
      <c r="K12" s="11">
        <v>263</v>
      </c>
      <c r="L12" s="11">
        <v>1133</v>
      </c>
      <c r="M12" s="2" t="s">
        <v>7</v>
      </c>
      <c r="N12" s="5">
        <v>2015</v>
      </c>
      <c r="O12" s="1" t="s">
        <v>12</v>
      </c>
      <c r="P12" s="1" t="s">
        <v>187</v>
      </c>
      <c r="Q12" s="1" t="s">
        <v>133</v>
      </c>
      <c r="R12" s="1" t="s">
        <v>9</v>
      </c>
      <c r="S12" s="87" t="s">
        <v>22</v>
      </c>
      <c r="T12" s="88" t="e">
        <f>SUMIFS(#REF!,#REF!,Comparación!B12,#REF!,Comparación!A12)</f>
        <v>#REF!</v>
      </c>
      <c r="U12" s="92">
        <v>14.87</v>
      </c>
      <c r="V12" s="40" t="e">
        <f t="shared" si="0"/>
        <v>#REF!</v>
      </c>
      <c r="W12" s="89" t="e">
        <f>SUMIFS(#REF!,#REF!,Comparación!B12,#REF!,Comparación!A12)</f>
        <v>#REF!</v>
      </c>
      <c r="X12" s="89">
        <v>31708</v>
      </c>
      <c r="Y12" s="90" t="e">
        <f t="shared" si="1"/>
        <v>#REF!</v>
      </c>
      <c r="Z12" s="91" t="s">
        <v>236</v>
      </c>
    </row>
    <row r="13" spans="1:26" x14ac:dyDescent="0.3">
      <c r="A13" s="9" t="s">
        <v>105</v>
      </c>
      <c r="B13" s="10" t="s">
        <v>23</v>
      </c>
      <c r="C13" s="10">
        <v>2023</v>
      </c>
      <c r="D13" s="4">
        <v>2070</v>
      </c>
      <c r="E13" s="2">
        <v>14.884541062801933</v>
      </c>
      <c r="F13" s="2">
        <v>14</v>
      </c>
      <c r="G13" s="2">
        <v>4.830917874396135E-3</v>
      </c>
      <c r="H13" s="2">
        <v>0.86</v>
      </c>
      <c r="I13" s="3">
        <v>30811</v>
      </c>
      <c r="J13" s="11">
        <v>29030</v>
      </c>
      <c r="K13" s="11">
        <v>10</v>
      </c>
      <c r="L13" s="11">
        <v>1771</v>
      </c>
      <c r="M13" s="2" t="s">
        <v>7</v>
      </c>
      <c r="N13" s="5">
        <v>2016</v>
      </c>
      <c r="O13" s="1" t="s">
        <v>12</v>
      </c>
      <c r="P13" s="1" t="s">
        <v>198</v>
      </c>
      <c r="Q13" s="1" t="s">
        <v>132</v>
      </c>
      <c r="R13" s="1" t="s">
        <v>9</v>
      </c>
      <c r="S13" s="87" t="s">
        <v>23</v>
      </c>
      <c r="T13" s="88" t="e">
        <f>SUMIFS(#REF!,#REF!,Comparación!B13,#REF!,Comparación!A13)</f>
        <v>#REF!</v>
      </c>
      <c r="U13" s="92">
        <v>14.03</v>
      </c>
      <c r="V13" s="40" t="e">
        <f t="shared" si="0"/>
        <v>#REF!</v>
      </c>
      <c r="W13" s="89" t="e">
        <f>SUMIFS(#REF!,#REF!,Comparación!B13,#REF!,Comparación!A13)</f>
        <v>#REF!</v>
      </c>
      <c r="X13" s="89">
        <v>29040</v>
      </c>
      <c r="Y13" s="90" t="e">
        <f t="shared" si="1"/>
        <v>#REF!</v>
      </c>
      <c r="Z13" s="91"/>
    </row>
    <row r="14" spans="1:26" x14ac:dyDescent="0.3">
      <c r="A14" s="9" t="s">
        <v>105</v>
      </c>
      <c r="B14" s="10" t="s">
        <v>24</v>
      </c>
      <c r="C14" s="10">
        <v>2023</v>
      </c>
      <c r="D14" s="4">
        <v>2070</v>
      </c>
      <c r="E14" s="2">
        <v>13.167487922705314</v>
      </c>
      <c r="F14" s="2">
        <v>13.1</v>
      </c>
      <c r="G14" s="2">
        <v>5.7487922705314012E-2</v>
      </c>
      <c r="H14" s="2">
        <v>0.01</v>
      </c>
      <c r="I14" s="3">
        <v>27243</v>
      </c>
      <c r="J14" s="11">
        <v>27101</v>
      </c>
      <c r="K14" s="11">
        <v>119</v>
      </c>
      <c r="L14" s="11">
        <v>23</v>
      </c>
      <c r="M14" s="2" t="s">
        <v>7</v>
      </c>
      <c r="N14" s="5">
        <v>2017</v>
      </c>
      <c r="O14" s="1" t="s">
        <v>12</v>
      </c>
      <c r="P14" s="1" t="s">
        <v>197</v>
      </c>
      <c r="Q14" s="1" t="s">
        <v>132</v>
      </c>
      <c r="R14" s="1" t="s">
        <v>9</v>
      </c>
      <c r="S14" s="87" t="s">
        <v>24</v>
      </c>
      <c r="T14" s="88" t="e">
        <f>SUMIFS(#REF!,#REF!,Comparación!B14,#REF!,Comparación!A14)</f>
        <v>#REF!</v>
      </c>
      <c r="U14" s="92">
        <v>13.17</v>
      </c>
      <c r="V14" s="40" t="e">
        <f t="shared" si="0"/>
        <v>#REF!</v>
      </c>
      <c r="W14" s="89" t="e">
        <f>SUMIFS(#REF!,#REF!,Comparación!B14,#REF!,Comparación!A14)</f>
        <v>#REF!</v>
      </c>
      <c r="X14" s="89">
        <v>27272</v>
      </c>
      <c r="Y14" s="90" t="e">
        <f t="shared" si="1"/>
        <v>#REF!</v>
      </c>
      <c r="Z14" s="91"/>
    </row>
    <row r="15" spans="1:26" x14ac:dyDescent="0.3">
      <c r="A15" s="9" t="s">
        <v>105</v>
      </c>
      <c r="B15" s="10" t="s">
        <v>25</v>
      </c>
      <c r="C15" s="10">
        <v>2023</v>
      </c>
      <c r="D15" s="4">
        <v>2070</v>
      </c>
      <c r="E15" s="2">
        <v>14.881690821256038</v>
      </c>
      <c r="F15" s="2">
        <v>14.81</v>
      </c>
      <c r="G15" s="2">
        <v>5.1690821256038647E-2</v>
      </c>
      <c r="H15" s="2">
        <v>0.02</v>
      </c>
      <c r="I15" s="3">
        <v>30810</v>
      </c>
      <c r="J15" s="11">
        <v>30661</v>
      </c>
      <c r="K15" s="11">
        <v>107</v>
      </c>
      <c r="L15" s="11">
        <v>42</v>
      </c>
      <c r="M15" s="2" t="s">
        <v>7</v>
      </c>
      <c r="N15" s="5">
        <v>2016</v>
      </c>
      <c r="O15" s="1" t="s">
        <v>12</v>
      </c>
      <c r="P15" s="1" t="s">
        <v>197</v>
      </c>
      <c r="Q15" s="1" t="s">
        <v>132</v>
      </c>
      <c r="R15" s="1" t="s">
        <v>9</v>
      </c>
      <c r="S15" s="87" t="s">
        <v>25</v>
      </c>
      <c r="T15" s="88" t="e">
        <f>SUMIFS(#REF!,#REF!,Comparación!B15,#REF!,Comparación!A15)</f>
        <v>#REF!</v>
      </c>
      <c r="U15" s="92">
        <v>14.88</v>
      </c>
      <c r="V15" s="40" t="e">
        <f t="shared" si="0"/>
        <v>#REF!</v>
      </c>
      <c r="W15" s="89" t="e">
        <f>SUMIFS(#REF!,#REF!,Comparación!B15,#REF!,Comparación!A15)</f>
        <v>#REF!</v>
      </c>
      <c r="X15" s="89">
        <v>30810</v>
      </c>
      <c r="Y15" s="90" t="e">
        <f t="shared" si="1"/>
        <v>#REF!</v>
      </c>
      <c r="Z15" s="91"/>
    </row>
    <row r="16" spans="1:26" x14ac:dyDescent="0.3">
      <c r="A16" s="9" t="s">
        <v>105</v>
      </c>
      <c r="B16" s="10" t="s">
        <v>26</v>
      </c>
      <c r="C16" s="10">
        <v>2023</v>
      </c>
      <c r="D16" s="4">
        <v>1905</v>
      </c>
      <c r="E16" s="2">
        <v>12.617296587926509</v>
      </c>
      <c r="F16" s="2">
        <v>12.36</v>
      </c>
      <c r="G16" s="2">
        <v>2.7296587926509186E-2</v>
      </c>
      <c r="H16" s="2">
        <v>0.23</v>
      </c>
      <c r="I16" s="3">
        <v>24054</v>
      </c>
      <c r="J16" s="11">
        <v>23556</v>
      </c>
      <c r="K16" s="11">
        <v>52</v>
      </c>
      <c r="L16" s="11">
        <v>446</v>
      </c>
      <c r="M16" s="2" t="s">
        <v>7</v>
      </c>
      <c r="N16" s="5">
        <v>2015</v>
      </c>
      <c r="O16" s="1" t="s">
        <v>8</v>
      </c>
      <c r="P16" s="1"/>
      <c r="Q16" s="1" t="s">
        <v>28</v>
      </c>
      <c r="R16" s="1" t="s">
        <v>27</v>
      </c>
      <c r="S16" s="87" t="s">
        <v>26</v>
      </c>
      <c r="T16" s="88" t="e">
        <f>SUMIFS(#REF!,#REF!,Comparación!B16,#REF!,Comparación!A16)</f>
        <v>#REF!</v>
      </c>
      <c r="U16" s="92">
        <v>12.63</v>
      </c>
      <c r="V16" s="40" t="e">
        <f t="shared" si="0"/>
        <v>#REF!</v>
      </c>
      <c r="W16" s="89" t="e">
        <f>SUMIFS(#REF!,#REF!,Comparación!B16,#REF!,Comparación!A16)</f>
        <v>#REF!</v>
      </c>
      <c r="X16" s="89">
        <v>24054</v>
      </c>
      <c r="Y16" s="90" t="e">
        <f t="shared" si="1"/>
        <v>#REF!</v>
      </c>
      <c r="Z16" s="91"/>
    </row>
    <row r="17" spans="1:26" x14ac:dyDescent="0.3">
      <c r="A17" s="9" t="s">
        <v>105</v>
      </c>
      <c r="B17" s="10" t="s">
        <v>29</v>
      </c>
      <c r="C17" s="10">
        <v>2023</v>
      </c>
      <c r="D17" s="4">
        <v>1905</v>
      </c>
      <c r="E17" s="2">
        <v>11.766929133858268</v>
      </c>
      <c r="F17" s="2">
        <v>10.79</v>
      </c>
      <c r="G17" s="2">
        <v>0.16692913385826771</v>
      </c>
      <c r="H17" s="2">
        <v>0.81</v>
      </c>
      <c r="I17" s="3">
        <v>22435</v>
      </c>
      <c r="J17" s="11">
        <v>20573</v>
      </c>
      <c r="K17" s="11">
        <v>318</v>
      </c>
      <c r="L17" s="11">
        <v>1544</v>
      </c>
      <c r="M17" s="2" t="s">
        <v>7</v>
      </c>
      <c r="N17" s="5">
        <v>2017</v>
      </c>
      <c r="O17" s="1" t="s">
        <v>8</v>
      </c>
      <c r="P17" s="1"/>
      <c r="Q17" s="1" t="s">
        <v>28</v>
      </c>
      <c r="R17" s="1" t="s">
        <v>27</v>
      </c>
      <c r="S17" s="87" t="s">
        <v>29</v>
      </c>
      <c r="T17" s="88" t="e">
        <f>SUMIFS(#REF!,#REF!,Comparación!B17,#REF!,Comparación!A17)</f>
        <v>#REF!</v>
      </c>
      <c r="U17" s="92">
        <v>11.78</v>
      </c>
      <c r="V17" s="40" t="e">
        <f t="shared" si="0"/>
        <v>#REF!</v>
      </c>
      <c r="W17" s="89" t="e">
        <f>SUMIFS(#REF!,#REF!,Comparación!B17,#REF!,Comparación!A17)</f>
        <v>#REF!</v>
      </c>
      <c r="X17" s="89">
        <v>22435</v>
      </c>
      <c r="Y17" s="90" t="e">
        <f t="shared" si="1"/>
        <v>#REF!</v>
      </c>
      <c r="Z17" s="91"/>
    </row>
    <row r="18" spans="1:26" x14ac:dyDescent="0.3">
      <c r="A18" s="9" t="s">
        <v>105</v>
      </c>
      <c r="B18" s="10" t="s">
        <v>30</v>
      </c>
      <c r="C18" s="10">
        <v>2023</v>
      </c>
      <c r="D18" s="4">
        <v>1953</v>
      </c>
      <c r="E18" s="2">
        <v>16.305028161802358</v>
      </c>
      <c r="F18" s="2">
        <v>16.190000000000001</v>
      </c>
      <c r="G18" s="2">
        <v>6.502816180235535E-2</v>
      </c>
      <c r="H18" s="2">
        <v>0.05</v>
      </c>
      <c r="I18" s="3">
        <v>31843</v>
      </c>
      <c r="J18" s="11">
        <v>31624</v>
      </c>
      <c r="K18" s="11">
        <v>127</v>
      </c>
      <c r="L18" s="11">
        <v>92</v>
      </c>
      <c r="M18" s="2" t="s">
        <v>7</v>
      </c>
      <c r="N18" s="5">
        <v>2018</v>
      </c>
      <c r="O18" s="1" t="s">
        <v>8</v>
      </c>
      <c r="P18" s="1"/>
      <c r="Q18" s="1" t="s">
        <v>28</v>
      </c>
      <c r="R18" s="1" t="s">
        <v>27</v>
      </c>
      <c r="S18" s="87" t="s">
        <v>30</v>
      </c>
      <c r="T18" s="88" t="e">
        <f>SUMIFS(#REF!,#REF!,Comparación!B18,#REF!,Comparación!A18)</f>
        <v>#REF!</v>
      </c>
      <c r="U18" s="40">
        <v>16.3</v>
      </c>
      <c r="V18" s="40" t="e">
        <f t="shared" si="0"/>
        <v>#REF!</v>
      </c>
      <c r="W18" s="89" t="e">
        <f>SUMIFS(#REF!,#REF!,Comparación!B18,#REF!,Comparación!A18)</f>
        <v>#REF!</v>
      </c>
      <c r="X18" s="89">
        <v>31843</v>
      </c>
      <c r="Y18" s="90" t="e">
        <f t="shared" si="1"/>
        <v>#REF!</v>
      </c>
      <c r="Z18" s="91"/>
    </row>
    <row r="19" spans="1:26" x14ac:dyDescent="0.3">
      <c r="A19" s="9" t="s">
        <v>105</v>
      </c>
      <c r="B19" s="10" t="s">
        <v>31</v>
      </c>
      <c r="C19" s="10">
        <v>2023</v>
      </c>
      <c r="D19" s="4">
        <v>1905.1398337112623</v>
      </c>
      <c r="E19" s="2">
        <v>13.332516564173776</v>
      </c>
      <c r="F19" s="2">
        <v>13.23</v>
      </c>
      <c r="G19" s="2">
        <v>4.2516564173775043E-2</v>
      </c>
      <c r="H19" s="2">
        <v>0.06</v>
      </c>
      <c r="I19" s="3">
        <v>25206</v>
      </c>
      <c r="J19" s="11">
        <v>25017</v>
      </c>
      <c r="K19" s="11">
        <v>81</v>
      </c>
      <c r="L19" s="11">
        <v>108</v>
      </c>
      <c r="M19" s="2" t="s">
        <v>7</v>
      </c>
      <c r="N19" s="5">
        <v>2016</v>
      </c>
      <c r="O19" s="1" t="s">
        <v>8</v>
      </c>
      <c r="P19" s="1"/>
      <c r="Q19" s="1" t="s">
        <v>28</v>
      </c>
      <c r="R19" s="1" t="s">
        <v>27</v>
      </c>
      <c r="S19" s="87" t="s">
        <v>31</v>
      </c>
      <c r="T19" s="88" t="e">
        <f>SUMIFS(#REF!,#REF!,Comparación!B19,#REF!,Comparación!A19)</f>
        <v>#REF!</v>
      </c>
      <c r="U19" s="40">
        <v>13.23</v>
      </c>
      <c r="V19" s="40" t="e">
        <f t="shared" si="0"/>
        <v>#REF!</v>
      </c>
      <c r="W19" s="89" t="e">
        <f>SUMIFS(#REF!,#REF!,Comparación!B19,#REF!,Comparación!A19)</f>
        <v>#REF!</v>
      </c>
      <c r="X19" s="89">
        <v>25205</v>
      </c>
      <c r="Y19" s="90" t="e">
        <f t="shared" si="1"/>
        <v>#REF!</v>
      </c>
      <c r="Z19" s="91"/>
    </row>
    <row r="20" spans="1:26" x14ac:dyDescent="0.3">
      <c r="A20" s="9" t="s">
        <v>105</v>
      </c>
      <c r="B20" s="10" t="s">
        <v>32</v>
      </c>
      <c r="C20" s="10">
        <v>2023</v>
      </c>
      <c r="D20" s="4">
        <v>1953</v>
      </c>
      <c r="E20" s="2">
        <v>13.991024065540195</v>
      </c>
      <c r="F20" s="2">
        <v>13.99</v>
      </c>
      <c r="G20" s="2">
        <v>0</v>
      </c>
      <c r="H20" s="2">
        <v>0</v>
      </c>
      <c r="I20" s="3">
        <v>27351</v>
      </c>
      <c r="J20" s="11">
        <v>27344</v>
      </c>
      <c r="K20" s="11">
        <v>2</v>
      </c>
      <c r="L20" s="11">
        <v>5</v>
      </c>
      <c r="M20" s="2" t="s">
        <v>7</v>
      </c>
      <c r="N20" s="5">
        <v>2014</v>
      </c>
      <c r="O20" s="1" t="s">
        <v>8</v>
      </c>
      <c r="P20" s="1"/>
      <c r="Q20" s="1" t="s">
        <v>28</v>
      </c>
      <c r="R20" s="1" t="s">
        <v>27</v>
      </c>
      <c r="S20" s="87" t="s">
        <v>32</v>
      </c>
      <c r="T20" s="88" t="e">
        <f>SUMIFS(#REF!,#REF!,Comparación!B20,#REF!,Comparación!A20)</f>
        <v>#REF!</v>
      </c>
      <c r="U20" s="40">
        <v>13.99</v>
      </c>
      <c r="V20" s="40" t="e">
        <f t="shared" si="0"/>
        <v>#REF!</v>
      </c>
      <c r="W20" s="89" t="e">
        <f>SUMIFS(#REF!,#REF!,Comparación!B20,#REF!,Comparación!A20)</f>
        <v>#REF!</v>
      </c>
      <c r="X20" s="89">
        <v>27332</v>
      </c>
      <c r="Y20" s="90" t="e">
        <f t="shared" si="1"/>
        <v>#REF!</v>
      </c>
      <c r="Z20" s="91"/>
    </row>
    <row r="21" spans="1:26" x14ac:dyDescent="0.3">
      <c r="A21" s="9" t="s">
        <v>105</v>
      </c>
      <c r="B21" s="10" t="s">
        <v>33</v>
      </c>
      <c r="C21" s="10">
        <v>2023</v>
      </c>
      <c r="D21" s="4">
        <v>1953</v>
      </c>
      <c r="E21" s="2">
        <v>14.416385048643111</v>
      </c>
      <c r="F21" s="2">
        <v>14.37</v>
      </c>
      <c r="G21" s="2">
        <v>1.6385048643113159E-2</v>
      </c>
      <c r="H21" s="2">
        <v>0.03</v>
      </c>
      <c r="I21" s="3">
        <v>28152</v>
      </c>
      <c r="J21" s="11">
        <v>28067</v>
      </c>
      <c r="K21" s="11">
        <v>32</v>
      </c>
      <c r="L21" s="11">
        <v>53</v>
      </c>
      <c r="M21" s="2" t="s">
        <v>7</v>
      </c>
      <c r="N21" s="5">
        <v>2019</v>
      </c>
      <c r="O21" s="1" t="s">
        <v>12</v>
      </c>
      <c r="P21" s="1" t="s">
        <v>193</v>
      </c>
      <c r="Q21" s="1" t="s">
        <v>132</v>
      </c>
      <c r="R21" s="1" t="s">
        <v>9</v>
      </c>
      <c r="S21" s="87" t="s">
        <v>33</v>
      </c>
      <c r="T21" s="88" t="e">
        <f>SUMIFS(#REF!,#REF!,Comparación!B21,#REF!,Comparación!A21)</f>
        <v>#REF!</v>
      </c>
      <c r="U21" s="40">
        <v>14.41</v>
      </c>
      <c r="V21" s="40" t="e">
        <f t="shared" si="0"/>
        <v>#REF!</v>
      </c>
      <c r="W21" s="89" t="e">
        <f>SUMIFS(#REF!,#REF!,Comparación!B21,#REF!,Comparación!A21)</f>
        <v>#REF!</v>
      </c>
      <c r="X21" s="89">
        <v>28152</v>
      </c>
      <c r="Y21" s="90" t="e">
        <f t="shared" si="1"/>
        <v>#REF!</v>
      </c>
      <c r="Z21" s="91"/>
    </row>
    <row r="22" spans="1:26" x14ac:dyDescent="0.3">
      <c r="A22" s="9" t="s">
        <v>105</v>
      </c>
      <c r="B22" s="10" t="s">
        <v>35</v>
      </c>
      <c r="C22" s="10">
        <v>2023</v>
      </c>
      <c r="D22" s="4">
        <v>1953</v>
      </c>
      <c r="E22" s="2">
        <v>14.274608294930875</v>
      </c>
      <c r="F22" s="2">
        <v>14.26</v>
      </c>
      <c r="G22" s="2">
        <v>4.608294930875576E-3</v>
      </c>
      <c r="H22" s="2">
        <v>0.01</v>
      </c>
      <c r="I22" s="3">
        <v>27869</v>
      </c>
      <c r="J22" s="11">
        <v>27845</v>
      </c>
      <c r="K22" s="11">
        <v>9</v>
      </c>
      <c r="L22" s="11">
        <v>15</v>
      </c>
      <c r="M22" s="2" t="s">
        <v>7</v>
      </c>
      <c r="N22" s="5">
        <v>2019</v>
      </c>
      <c r="O22" s="1" t="s">
        <v>12</v>
      </c>
      <c r="P22" s="1" t="s">
        <v>192</v>
      </c>
      <c r="Q22" s="1" t="s">
        <v>132</v>
      </c>
      <c r="R22" s="1" t="s">
        <v>9</v>
      </c>
      <c r="S22" s="87" t="s">
        <v>35</v>
      </c>
      <c r="T22" s="88" t="e">
        <f>SUMIFS(#REF!,#REF!,Comparación!B22,#REF!,Comparación!A22)</f>
        <v>#REF!</v>
      </c>
      <c r="U22" s="40">
        <v>14.27</v>
      </c>
      <c r="V22" s="40" t="e">
        <f t="shared" si="0"/>
        <v>#REF!</v>
      </c>
      <c r="W22" s="89" t="e">
        <f>SUMIFS(#REF!,#REF!,Comparación!B22,#REF!,Comparación!A22)</f>
        <v>#REF!</v>
      </c>
      <c r="X22" s="89">
        <v>27869</v>
      </c>
      <c r="Y22" s="90" t="e">
        <f t="shared" si="1"/>
        <v>#REF!</v>
      </c>
      <c r="Z22" s="91"/>
    </row>
    <row r="23" spans="1:26" x14ac:dyDescent="0.3">
      <c r="A23" s="9" t="s">
        <v>105</v>
      </c>
      <c r="B23" s="10" t="s">
        <v>36</v>
      </c>
      <c r="C23" s="10">
        <v>2023</v>
      </c>
      <c r="D23" s="4">
        <v>1953</v>
      </c>
      <c r="E23" s="2">
        <v>14.648192524321557</v>
      </c>
      <c r="F23" s="2">
        <v>14.63</v>
      </c>
      <c r="G23" s="2">
        <v>8.1925243215565796E-3</v>
      </c>
      <c r="H23" s="2">
        <v>0.01</v>
      </c>
      <c r="I23" s="3">
        <v>28615</v>
      </c>
      <c r="J23" s="11">
        <v>28573</v>
      </c>
      <c r="K23" s="11">
        <v>16</v>
      </c>
      <c r="L23" s="11">
        <v>26</v>
      </c>
      <c r="M23" s="2" t="s">
        <v>7</v>
      </c>
      <c r="N23" s="5">
        <v>2019</v>
      </c>
      <c r="O23" s="1" t="s">
        <v>12</v>
      </c>
      <c r="P23" s="1" t="s">
        <v>192</v>
      </c>
      <c r="Q23" s="1" t="s">
        <v>132</v>
      </c>
      <c r="R23" s="1" t="s">
        <v>9</v>
      </c>
      <c r="S23" s="87" t="s">
        <v>36</v>
      </c>
      <c r="T23" s="88" t="e">
        <f>SUMIFS(#REF!,#REF!,Comparación!B23,#REF!,Comparación!A23)</f>
        <v>#REF!</v>
      </c>
      <c r="U23" s="40">
        <v>14.65</v>
      </c>
      <c r="V23" s="40" t="e">
        <f t="shared" si="0"/>
        <v>#REF!</v>
      </c>
      <c r="W23" s="89" t="e">
        <f>SUMIFS(#REF!,#REF!,Comparación!B23,#REF!,Comparación!A23)</f>
        <v>#REF!</v>
      </c>
      <c r="X23" s="89">
        <v>28615</v>
      </c>
      <c r="Y23" s="90" t="e">
        <f t="shared" si="1"/>
        <v>#REF!</v>
      </c>
      <c r="Z23" s="91"/>
    </row>
    <row r="24" spans="1:26" x14ac:dyDescent="0.3">
      <c r="A24" s="9" t="s">
        <v>105</v>
      </c>
      <c r="B24" s="10" t="s">
        <v>37</v>
      </c>
      <c r="C24" s="10">
        <v>2023</v>
      </c>
      <c r="D24" s="4">
        <v>1780</v>
      </c>
      <c r="E24" s="2">
        <v>14.867640449438202</v>
      </c>
      <c r="F24" s="2">
        <v>14.58</v>
      </c>
      <c r="G24" s="2">
        <v>8.7640449438202248E-2</v>
      </c>
      <c r="H24" s="2">
        <v>0.2</v>
      </c>
      <c r="I24" s="3">
        <v>26496</v>
      </c>
      <c r="J24" s="11">
        <v>25984</v>
      </c>
      <c r="K24" s="11">
        <v>156</v>
      </c>
      <c r="L24" s="11">
        <v>356</v>
      </c>
      <c r="M24" s="2" t="s">
        <v>7</v>
      </c>
      <c r="N24" s="5">
        <v>2020</v>
      </c>
      <c r="O24" s="1" t="s">
        <v>12</v>
      </c>
      <c r="P24" s="1" t="s">
        <v>194</v>
      </c>
      <c r="Q24" s="1" t="s">
        <v>132</v>
      </c>
      <c r="R24" s="1" t="s">
        <v>9</v>
      </c>
      <c r="S24" s="87" t="s">
        <v>37</v>
      </c>
      <c r="T24" s="88" t="e">
        <f>SUMIFS(#REF!,#REF!,Comparación!B24,#REF!,Comparación!A24)</f>
        <v>#REF!</v>
      </c>
      <c r="U24" s="40">
        <v>14.87</v>
      </c>
      <c r="V24" s="40" t="e">
        <f t="shared" si="0"/>
        <v>#REF!</v>
      </c>
      <c r="W24" s="89" t="e">
        <f>SUMIFS(#REF!,#REF!,Comparación!B24,#REF!,Comparación!A24)</f>
        <v>#REF!</v>
      </c>
      <c r="X24" s="89">
        <v>26460</v>
      </c>
      <c r="Y24" s="90" t="e">
        <f t="shared" si="1"/>
        <v>#REF!</v>
      </c>
      <c r="Z24" s="91"/>
    </row>
    <row r="25" spans="1:26" x14ac:dyDescent="0.3">
      <c r="A25" s="9" t="s">
        <v>105</v>
      </c>
      <c r="B25" s="10" t="s">
        <v>38</v>
      </c>
      <c r="C25" s="10">
        <v>2023</v>
      </c>
      <c r="D25" s="4">
        <v>1780</v>
      </c>
      <c r="E25" s="2">
        <v>14.739662921348316</v>
      </c>
      <c r="F25" s="2">
        <v>14.67</v>
      </c>
      <c r="G25" s="2">
        <v>1.9662921348314606E-2</v>
      </c>
      <c r="H25" s="2">
        <v>0.05</v>
      </c>
      <c r="I25" s="3">
        <v>26240</v>
      </c>
      <c r="J25" s="11">
        <v>26121</v>
      </c>
      <c r="K25" s="11">
        <v>35</v>
      </c>
      <c r="L25" s="11">
        <v>84</v>
      </c>
      <c r="M25" s="2" t="s">
        <v>7</v>
      </c>
      <c r="N25" s="5">
        <v>2020</v>
      </c>
      <c r="O25" s="1" t="s">
        <v>12</v>
      </c>
      <c r="P25" s="1" t="s">
        <v>195</v>
      </c>
      <c r="Q25" s="1" t="s">
        <v>132</v>
      </c>
      <c r="R25" s="1" t="s">
        <v>9</v>
      </c>
      <c r="S25" s="87" t="s">
        <v>38</v>
      </c>
      <c r="T25" s="88" t="e">
        <f>SUMIFS(#REF!,#REF!,Comparación!B25,#REF!,Comparación!A25)</f>
        <v>#REF!</v>
      </c>
      <c r="U25" s="40">
        <v>14.74</v>
      </c>
      <c r="V25" s="40" t="e">
        <f t="shared" si="0"/>
        <v>#REF!</v>
      </c>
      <c r="W25" s="89" t="e">
        <f>SUMIFS(#REF!,#REF!,Comparación!B25,#REF!,Comparación!A25)</f>
        <v>#REF!</v>
      </c>
      <c r="X25" s="89">
        <v>26240</v>
      </c>
      <c r="Y25" s="90" t="e">
        <f t="shared" si="1"/>
        <v>#REF!</v>
      </c>
      <c r="Z25" s="91"/>
    </row>
    <row r="26" spans="1:26" x14ac:dyDescent="0.3">
      <c r="A26" s="9" t="s">
        <v>105</v>
      </c>
      <c r="B26" s="10" t="s">
        <v>39</v>
      </c>
      <c r="C26" s="10">
        <v>2023</v>
      </c>
      <c r="D26" s="4">
        <v>1780</v>
      </c>
      <c r="E26" s="2">
        <v>14.962921348314607</v>
      </c>
      <c r="F26" s="2">
        <v>14.88</v>
      </c>
      <c r="G26" s="2">
        <v>2.247191011235955E-2</v>
      </c>
      <c r="H26" s="2">
        <v>0.06</v>
      </c>
      <c r="I26" s="3">
        <v>26634</v>
      </c>
      <c r="J26" s="11">
        <v>26482</v>
      </c>
      <c r="K26" s="11">
        <v>40</v>
      </c>
      <c r="L26" s="11">
        <v>112</v>
      </c>
      <c r="M26" s="2" t="s">
        <v>7</v>
      </c>
      <c r="N26" s="5">
        <v>2020</v>
      </c>
      <c r="O26" s="1" t="s">
        <v>12</v>
      </c>
      <c r="P26" s="1" t="s">
        <v>196</v>
      </c>
      <c r="Q26" s="1" t="s">
        <v>132</v>
      </c>
      <c r="R26" s="1" t="s">
        <v>9</v>
      </c>
      <c r="S26" s="87" t="s">
        <v>39</v>
      </c>
      <c r="T26" s="88" t="e">
        <f>SUMIFS(#REF!,#REF!,Comparación!B26,#REF!,Comparación!A26)</f>
        <v>#REF!</v>
      </c>
      <c r="U26" s="40">
        <v>14.96</v>
      </c>
      <c r="V26" s="40" t="e">
        <f t="shared" si="0"/>
        <v>#REF!</v>
      </c>
      <c r="W26" s="89" t="e">
        <f>SUMIFS(#REF!,#REF!,Comparación!B26,#REF!,Comparación!A26)</f>
        <v>#REF!</v>
      </c>
      <c r="X26" s="89">
        <v>26634</v>
      </c>
      <c r="Y26" s="90" t="e">
        <f t="shared" si="1"/>
        <v>#REF!</v>
      </c>
      <c r="Z26" s="91"/>
    </row>
    <row r="27" spans="1:26" x14ac:dyDescent="0.3">
      <c r="A27" s="9" t="s">
        <v>105</v>
      </c>
      <c r="B27" s="10" t="s">
        <v>40</v>
      </c>
      <c r="C27" s="10">
        <v>2023</v>
      </c>
      <c r="D27" s="4">
        <v>1780</v>
      </c>
      <c r="E27" s="2">
        <v>13.724044943820227</v>
      </c>
      <c r="F27" s="2">
        <v>13.55</v>
      </c>
      <c r="G27" s="2">
        <v>0.11404494382022472</v>
      </c>
      <c r="H27" s="2">
        <v>0.06</v>
      </c>
      <c r="I27" s="3">
        <v>24434</v>
      </c>
      <c r="J27" s="11">
        <v>24120</v>
      </c>
      <c r="K27" s="11">
        <v>203</v>
      </c>
      <c r="L27" s="11">
        <v>111</v>
      </c>
      <c r="M27" s="2" t="s">
        <v>7</v>
      </c>
      <c r="N27" s="5">
        <v>2020</v>
      </c>
      <c r="O27" s="1" t="s">
        <v>12</v>
      </c>
      <c r="P27" s="1" t="s">
        <v>173</v>
      </c>
      <c r="Q27" s="1" t="s">
        <v>34</v>
      </c>
      <c r="R27" s="1" t="s">
        <v>27</v>
      </c>
      <c r="S27" s="87" t="s">
        <v>40</v>
      </c>
      <c r="T27" s="88" t="e">
        <f>SUMIFS(#REF!,#REF!,Comparación!B27,#REF!,Comparación!A27)</f>
        <v>#REF!</v>
      </c>
      <c r="U27" s="40">
        <v>13.73</v>
      </c>
      <c r="V27" s="40" t="e">
        <f t="shared" si="0"/>
        <v>#REF!</v>
      </c>
      <c r="W27" s="89" t="e">
        <f>SUMIFS(#REF!,#REF!,Comparación!B27,#REF!,Comparación!A27)</f>
        <v>#REF!</v>
      </c>
      <c r="X27" s="89">
        <v>24434</v>
      </c>
      <c r="Y27" s="90" t="e">
        <f t="shared" si="1"/>
        <v>#REF!</v>
      </c>
      <c r="Z27" s="91"/>
    </row>
    <row r="28" spans="1:26" x14ac:dyDescent="0.3">
      <c r="A28" s="9" t="s">
        <v>105</v>
      </c>
      <c r="B28" s="10" t="s">
        <v>41</v>
      </c>
      <c r="C28" s="10">
        <v>2023</v>
      </c>
      <c r="D28" s="4">
        <v>1780</v>
      </c>
      <c r="E28" s="2">
        <v>12.290112359550562</v>
      </c>
      <c r="F28" s="2">
        <v>12.14</v>
      </c>
      <c r="G28" s="2">
        <v>6.0112359550561795E-2</v>
      </c>
      <c r="H28" s="2">
        <v>0.09</v>
      </c>
      <c r="I28" s="3">
        <v>21876</v>
      </c>
      <c r="J28" s="11">
        <v>21604</v>
      </c>
      <c r="K28" s="11">
        <v>107</v>
      </c>
      <c r="L28" s="11">
        <v>165</v>
      </c>
      <c r="M28" s="2" t="s">
        <v>7</v>
      </c>
      <c r="N28" s="5">
        <v>2020</v>
      </c>
      <c r="O28" s="1" t="s">
        <v>12</v>
      </c>
      <c r="P28" s="1" t="s">
        <v>173</v>
      </c>
      <c r="Q28" s="1" t="s">
        <v>34</v>
      </c>
      <c r="R28" s="1" t="s">
        <v>27</v>
      </c>
      <c r="S28" s="87" t="s">
        <v>41</v>
      </c>
      <c r="T28" s="88" t="e">
        <f>SUMIFS(#REF!,#REF!,Comparación!B28,#REF!,Comparación!A28)</f>
        <v>#REF!</v>
      </c>
      <c r="U28" s="40">
        <v>12.29</v>
      </c>
      <c r="V28" s="40" t="e">
        <f t="shared" si="0"/>
        <v>#REF!</v>
      </c>
      <c r="W28" s="89" t="e">
        <f>SUMIFS(#REF!,#REF!,Comparación!B28,#REF!,Comparación!A28)</f>
        <v>#REF!</v>
      </c>
      <c r="X28" s="89">
        <v>21876</v>
      </c>
      <c r="Y28" s="90" t="e">
        <f t="shared" si="1"/>
        <v>#REF!</v>
      </c>
      <c r="Z28" s="91"/>
    </row>
    <row r="29" spans="1:26" x14ac:dyDescent="0.3">
      <c r="A29" s="9" t="s">
        <v>105</v>
      </c>
      <c r="B29" s="10" t="s">
        <v>42</v>
      </c>
      <c r="C29" s="10">
        <v>2023</v>
      </c>
      <c r="D29" s="4">
        <v>1780</v>
      </c>
      <c r="E29" s="2">
        <v>14.996067415730336</v>
      </c>
      <c r="F29" s="2">
        <v>14.78</v>
      </c>
      <c r="G29" s="2">
        <v>4.6067415730337076E-2</v>
      </c>
      <c r="H29" s="2">
        <v>0.17</v>
      </c>
      <c r="I29" s="3">
        <v>26703</v>
      </c>
      <c r="J29" s="11">
        <v>26310</v>
      </c>
      <c r="K29" s="11">
        <v>82</v>
      </c>
      <c r="L29" s="11">
        <v>311</v>
      </c>
      <c r="M29" s="2" t="s">
        <v>7</v>
      </c>
      <c r="N29" s="5">
        <v>2020</v>
      </c>
      <c r="O29" s="1" t="s">
        <v>12</v>
      </c>
      <c r="P29" s="1" t="s">
        <v>172</v>
      </c>
      <c r="Q29" s="1" t="s">
        <v>34</v>
      </c>
      <c r="R29" s="1" t="s">
        <v>27</v>
      </c>
      <c r="S29" s="87" t="s">
        <v>42</v>
      </c>
      <c r="T29" s="88" t="e">
        <f>SUMIFS(#REF!,#REF!,Comparación!B29,#REF!,Comparación!A29)</f>
        <v>#REF!</v>
      </c>
      <c r="U29" s="40">
        <v>15</v>
      </c>
      <c r="V29" s="40" t="e">
        <f t="shared" si="0"/>
        <v>#REF!</v>
      </c>
      <c r="W29" s="89" t="e">
        <f>SUMIFS(#REF!,#REF!,Comparación!B29,#REF!,Comparación!A29)</f>
        <v>#REF!</v>
      </c>
      <c r="X29" s="89">
        <v>26703</v>
      </c>
      <c r="Y29" s="90" t="e">
        <f t="shared" si="1"/>
        <v>#REF!</v>
      </c>
      <c r="Z29" s="91"/>
    </row>
    <row r="30" spans="1:26" x14ac:dyDescent="0.3">
      <c r="A30" s="9" t="s">
        <v>105</v>
      </c>
      <c r="B30" s="10" t="s">
        <v>43</v>
      </c>
      <c r="C30" s="10">
        <v>2023</v>
      </c>
      <c r="D30" s="4">
        <v>1780</v>
      </c>
      <c r="E30" s="2">
        <v>14.994719101123595</v>
      </c>
      <c r="F30" s="2">
        <v>14.67</v>
      </c>
      <c r="G30" s="2">
        <v>7.4719101123595505E-2</v>
      </c>
      <c r="H30" s="2">
        <v>0.25</v>
      </c>
      <c r="I30" s="3">
        <v>26703</v>
      </c>
      <c r="J30" s="11">
        <v>26119</v>
      </c>
      <c r="K30" s="11">
        <v>133</v>
      </c>
      <c r="L30" s="11">
        <v>451</v>
      </c>
      <c r="M30" s="2" t="s">
        <v>7</v>
      </c>
      <c r="N30" s="5">
        <v>2020</v>
      </c>
      <c r="O30" s="1" t="s">
        <v>12</v>
      </c>
      <c r="P30" s="1" t="s">
        <v>172</v>
      </c>
      <c r="Q30" s="1" t="s">
        <v>34</v>
      </c>
      <c r="R30" s="1" t="s">
        <v>27</v>
      </c>
      <c r="S30" s="87" t="s">
        <v>43</v>
      </c>
      <c r="T30" s="88" t="e">
        <f>SUMIFS(#REF!,#REF!,Comparación!B30,#REF!,Comparación!A30)</f>
        <v>#REF!</v>
      </c>
      <c r="U30" s="40">
        <v>15</v>
      </c>
      <c r="V30" s="40" t="e">
        <f t="shared" si="0"/>
        <v>#REF!</v>
      </c>
      <c r="W30" s="89" t="e">
        <f>SUMIFS(#REF!,#REF!,Comparación!B30,#REF!,Comparación!A30)</f>
        <v>#REF!</v>
      </c>
      <c r="X30" s="89">
        <v>26703</v>
      </c>
      <c r="Y30" s="90" t="e">
        <f t="shared" si="1"/>
        <v>#REF!</v>
      </c>
      <c r="Z30" s="91"/>
    </row>
    <row r="31" spans="1:26" x14ac:dyDescent="0.3">
      <c r="A31" s="9" t="s">
        <v>105</v>
      </c>
      <c r="B31" s="10" t="s">
        <v>44</v>
      </c>
      <c r="C31" s="10">
        <v>2023</v>
      </c>
      <c r="D31" s="4">
        <v>1780</v>
      </c>
      <c r="E31" s="2">
        <v>14.689325842696629</v>
      </c>
      <c r="F31" s="2">
        <v>14.689325842696629</v>
      </c>
      <c r="G31" s="2">
        <v>0</v>
      </c>
      <c r="H31" s="2">
        <v>0</v>
      </c>
      <c r="I31" s="3">
        <v>26147</v>
      </c>
      <c r="J31" s="11">
        <v>26147</v>
      </c>
      <c r="K31" s="11">
        <v>0</v>
      </c>
      <c r="L31" s="11">
        <v>0</v>
      </c>
      <c r="M31" s="2" t="s">
        <v>7</v>
      </c>
      <c r="N31" s="5">
        <v>2022</v>
      </c>
      <c r="O31" s="1" t="s">
        <v>12</v>
      </c>
      <c r="P31" s="1" t="s">
        <v>226</v>
      </c>
      <c r="Q31" s="1" t="s">
        <v>10</v>
      </c>
      <c r="R31" s="1" t="s">
        <v>9</v>
      </c>
      <c r="S31" s="87" t="s">
        <v>44</v>
      </c>
      <c r="T31" s="88" t="e">
        <f>SUMIFS(#REF!,#REF!,Comparación!B31,#REF!,Comparación!A31)</f>
        <v>#REF!</v>
      </c>
      <c r="U31" s="40">
        <v>14.77</v>
      </c>
      <c r="V31" s="40" t="e">
        <f t="shared" si="0"/>
        <v>#REF!</v>
      </c>
      <c r="W31" s="89" t="e">
        <f>SUMIFS(#REF!,#REF!,Comparación!B31,#REF!,Comparación!A31)</f>
        <v>#REF!</v>
      </c>
      <c r="X31" s="89">
        <v>26147</v>
      </c>
      <c r="Y31" s="90" t="e">
        <f t="shared" si="1"/>
        <v>#REF!</v>
      </c>
      <c r="Z31" s="91"/>
    </row>
    <row r="32" spans="1:26" x14ac:dyDescent="0.3">
      <c r="A32" s="10" t="s">
        <v>108</v>
      </c>
      <c r="B32" s="10" t="s">
        <v>51</v>
      </c>
      <c r="C32" s="10">
        <v>2023</v>
      </c>
      <c r="D32" s="4">
        <v>1780</v>
      </c>
      <c r="E32" s="2">
        <v>7.4422471910112353</v>
      </c>
      <c r="F32" s="2">
        <v>7.39</v>
      </c>
      <c r="G32" s="2">
        <v>5.2247191011235955E-2</v>
      </c>
      <c r="H32" s="2">
        <v>0</v>
      </c>
      <c r="I32" s="3">
        <v>13248</v>
      </c>
      <c r="J32" s="11">
        <v>13155</v>
      </c>
      <c r="K32" s="11">
        <v>93</v>
      </c>
      <c r="L32" s="11">
        <v>0</v>
      </c>
      <c r="M32" s="2" t="s">
        <v>7</v>
      </c>
      <c r="N32" s="5">
        <v>2018</v>
      </c>
      <c r="O32" s="1" t="s">
        <v>12</v>
      </c>
      <c r="P32" s="1" t="s">
        <v>175</v>
      </c>
      <c r="Q32" s="1" t="s">
        <v>46</v>
      </c>
      <c r="R32" s="1" t="s">
        <v>9</v>
      </c>
      <c r="S32" s="39" t="s">
        <v>51</v>
      </c>
      <c r="T32" s="88" t="e">
        <f>SUMIFS(#REF!,#REF!,Comparación!B32,#REF!,Comparación!A32)</f>
        <v>#REF!</v>
      </c>
      <c r="U32" s="40">
        <v>7.44</v>
      </c>
      <c r="V32" s="40" t="e">
        <f t="shared" si="0"/>
        <v>#REF!</v>
      </c>
      <c r="W32" s="89" t="e">
        <f>SUMIFS(#REF!,#REF!,Comparación!B32,#REF!,Comparación!A32)</f>
        <v>#REF!</v>
      </c>
      <c r="X32" s="89">
        <v>13248</v>
      </c>
      <c r="Y32" s="90" t="e">
        <f t="shared" si="1"/>
        <v>#REF!</v>
      </c>
      <c r="Z32" s="91"/>
    </row>
    <row r="33" spans="1:26" x14ac:dyDescent="0.3">
      <c r="A33" s="10" t="s">
        <v>108</v>
      </c>
      <c r="B33" s="10" t="s">
        <v>52</v>
      </c>
      <c r="C33" s="10">
        <v>2023</v>
      </c>
      <c r="D33" s="4">
        <v>1905</v>
      </c>
      <c r="E33" s="2">
        <v>2.25</v>
      </c>
      <c r="F33" s="2">
        <v>2.25</v>
      </c>
      <c r="G33" s="2">
        <v>0</v>
      </c>
      <c r="H33" s="2">
        <v>0</v>
      </c>
      <c r="I33" s="3">
        <v>4371</v>
      </c>
      <c r="J33" s="11">
        <v>4367</v>
      </c>
      <c r="K33" s="11"/>
      <c r="L33" s="11">
        <v>4</v>
      </c>
      <c r="M33" s="2" t="s">
        <v>7</v>
      </c>
      <c r="N33" s="5">
        <v>2018</v>
      </c>
      <c r="O33" s="1" t="s">
        <v>8</v>
      </c>
      <c r="P33" s="1"/>
      <c r="Q33" s="1" t="s">
        <v>53</v>
      </c>
      <c r="R33" s="1" t="s">
        <v>27</v>
      </c>
      <c r="S33" s="39" t="s">
        <v>52</v>
      </c>
      <c r="T33" s="88" t="e">
        <f>SUMIFS(#REF!,#REF!,Comparación!B33,#REF!,Comparación!A33)</f>
        <v>#REF!</v>
      </c>
      <c r="U33" s="40">
        <v>2.29</v>
      </c>
      <c r="V33" s="40" t="e">
        <f t="shared" si="0"/>
        <v>#REF!</v>
      </c>
      <c r="W33" s="89" t="e">
        <f>SUMIFS(#REF!,#REF!,Comparación!B33,#REF!,Comparación!A33)</f>
        <v>#REF!</v>
      </c>
      <c r="X33" s="89">
        <v>4371</v>
      </c>
      <c r="Y33" s="90" t="e">
        <f t="shared" si="1"/>
        <v>#REF!</v>
      </c>
      <c r="Z33" s="91"/>
    </row>
    <row r="34" spans="1:26" x14ac:dyDescent="0.3">
      <c r="A34" s="10" t="s">
        <v>108</v>
      </c>
      <c r="B34" s="10" t="s">
        <v>54</v>
      </c>
      <c r="C34" s="10">
        <v>2023</v>
      </c>
      <c r="D34" s="4">
        <v>1905</v>
      </c>
      <c r="E34" s="2">
        <v>13.28</v>
      </c>
      <c r="F34" s="2">
        <v>13.27</v>
      </c>
      <c r="G34" s="2">
        <v>0</v>
      </c>
      <c r="H34" s="2">
        <v>0.01</v>
      </c>
      <c r="I34" s="3">
        <v>25923</v>
      </c>
      <c r="J34" s="11">
        <v>25904</v>
      </c>
      <c r="K34" s="11"/>
      <c r="L34" s="11">
        <v>19</v>
      </c>
      <c r="M34" s="2" t="s">
        <v>7</v>
      </c>
      <c r="N34" s="5">
        <v>2017</v>
      </c>
      <c r="O34" s="1" t="s">
        <v>8</v>
      </c>
      <c r="P34" s="1"/>
      <c r="Q34" s="1" t="s">
        <v>53</v>
      </c>
      <c r="R34" s="1" t="s">
        <v>27</v>
      </c>
      <c r="S34" s="39" t="s">
        <v>54</v>
      </c>
      <c r="T34" s="88" t="e">
        <f>SUMIFS(#REF!,#REF!,Comparación!B34,#REF!,Comparación!A34)</f>
        <v>#REF!</v>
      </c>
      <c r="U34" s="40">
        <v>13.61</v>
      </c>
      <c r="V34" s="40" t="e">
        <f t="shared" si="0"/>
        <v>#REF!</v>
      </c>
      <c r="W34" s="89" t="e">
        <f>SUMIFS(#REF!,#REF!,Comparación!B34,#REF!,Comparación!A34)</f>
        <v>#REF!</v>
      </c>
      <c r="X34" s="89">
        <v>25923</v>
      </c>
      <c r="Y34" s="90" t="e">
        <f t="shared" si="1"/>
        <v>#REF!</v>
      </c>
      <c r="Z34" s="91"/>
    </row>
    <row r="35" spans="1:26" x14ac:dyDescent="0.3">
      <c r="A35" s="10" t="s">
        <v>108</v>
      </c>
      <c r="B35" s="10" t="s">
        <v>55</v>
      </c>
      <c r="C35" s="10">
        <v>2023</v>
      </c>
      <c r="D35" s="4">
        <v>1905</v>
      </c>
      <c r="E35" s="2">
        <v>11.4</v>
      </c>
      <c r="F35" s="2">
        <v>11.34</v>
      </c>
      <c r="G35" s="2">
        <v>0</v>
      </c>
      <c r="H35" s="2">
        <v>0.06</v>
      </c>
      <c r="I35" s="3">
        <v>22784</v>
      </c>
      <c r="J35" s="11">
        <v>22673</v>
      </c>
      <c r="K35" s="11"/>
      <c r="L35" s="11">
        <v>111</v>
      </c>
      <c r="M35" s="2" t="s">
        <v>7</v>
      </c>
      <c r="N35" s="5">
        <v>2017</v>
      </c>
      <c r="O35" s="1" t="s">
        <v>8</v>
      </c>
      <c r="P35" s="1"/>
      <c r="Q35" s="1" t="s">
        <v>53</v>
      </c>
      <c r="R35" s="1" t="s">
        <v>27</v>
      </c>
      <c r="S35" s="39" t="s">
        <v>55</v>
      </c>
      <c r="T35" s="88" t="e">
        <f>SUMIFS(#REF!,#REF!,Comparación!B35,#REF!,Comparación!A35)</f>
        <v>#REF!</v>
      </c>
      <c r="U35" s="92">
        <v>11.9</v>
      </c>
      <c r="V35" s="40" t="e">
        <f t="shared" si="0"/>
        <v>#REF!</v>
      </c>
      <c r="W35" s="89" t="e">
        <f>SUMIFS(#REF!,#REF!,Comparación!B35,#REF!,Comparación!A35)</f>
        <v>#REF!</v>
      </c>
      <c r="X35" s="89">
        <v>22673</v>
      </c>
      <c r="Y35" s="90" t="e">
        <f t="shared" si="1"/>
        <v>#REF!</v>
      </c>
      <c r="Z35" s="91"/>
    </row>
    <row r="36" spans="1:26" x14ac:dyDescent="0.3">
      <c r="A36" s="10" t="s">
        <v>108</v>
      </c>
      <c r="B36" s="10" t="s">
        <v>56</v>
      </c>
      <c r="C36" s="10">
        <v>2023</v>
      </c>
      <c r="D36" s="4">
        <v>1905</v>
      </c>
      <c r="E36" s="2">
        <v>13.739999999999998</v>
      </c>
      <c r="F36" s="2">
        <v>13.7</v>
      </c>
      <c r="G36" s="2">
        <v>0</v>
      </c>
      <c r="H36" s="2">
        <v>0.04</v>
      </c>
      <c r="I36" s="3">
        <v>26302</v>
      </c>
      <c r="J36" s="11">
        <v>26225</v>
      </c>
      <c r="K36" s="11"/>
      <c r="L36" s="11">
        <v>77</v>
      </c>
      <c r="M36" s="2" t="s">
        <v>7</v>
      </c>
      <c r="N36" s="5">
        <v>2016</v>
      </c>
      <c r="O36" s="1" t="s">
        <v>8</v>
      </c>
      <c r="P36" s="1"/>
      <c r="Q36" s="1" t="s">
        <v>53</v>
      </c>
      <c r="R36" s="1" t="s">
        <v>27</v>
      </c>
      <c r="S36" s="39" t="s">
        <v>56</v>
      </c>
      <c r="T36" s="88" t="e">
        <f>SUMIFS(#REF!,#REF!,Comparación!B36,#REF!,Comparación!A36)</f>
        <v>#REF!</v>
      </c>
      <c r="U36" s="40">
        <v>13.82</v>
      </c>
      <c r="V36" s="40" t="e">
        <f t="shared" si="0"/>
        <v>#REF!</v>
      </c>
      <c r="W36" s="89" t="e">
        <f>SUMIFS(#REF!,#REF!,Comparación!B36,#REF!,Comparación!A36)</f>
        <v>#REF!</v>
      </c>
      <c r="X36" s="89">
        <v>26318</v>
      </c>
      <c r="Y36" s="90" t="e">
        <f t="shared" si="1"/>
        <v>#REF!</v>
      </c>
      <c r="Z36" s="91"/>
    </row>
    <row r="37" spans="1:26" x14ac:dyDescent="0.3">
      <c r="A37" s="10" t="s">
        <v>108</v>
      </c>
      <c r="B37" s="10" t="s">
        <v>57</v>
      </c>
      <c r="C37" s="10">
        <v>2023</v>
      </c>
      <c r="D37" s="4">
        <v>1905</v>
      </c>
      <c r="E37" s="2">
        <v>14.020000000000001</v>
      </c>
      <c r="F37" s="2">
        <v>13.96</v>
      </c>
      <c r="G37" s="2">
        <v>0</v>
      </c>
      <c r="H37" s="2">
        <v>0.06</v>
      </c>
      <c r="I37" s="3">
        <v>26967</v>
      </c>
      <c r="J37" s="11">
        <v>26852</v>
      </c>
      <c r="K37" s="11"/>
      <c r="L37" s="11">
        <v>115</v>
      </c>
      <c r="M37" s="2" t="s">
        <v>7</v>
      </c>
      <c r="N37" s="5">
        <v>2016</v>
      </c>
      <c r="O37" s="1" t="s">
        <v>8</v>
      </c>
      <c r="P37" s="1"/>
      <c r="Q37" s="1" t="s">
        <v>53</v>
      </c>
      <c r="R37" s="1" t="s">
        <v>27</v>
      </c>
      <c r="S37" s="39" t="s">
        <v>57</v>
      </c>
      <c r="T37" s="88" t="e">
        <f>SUMIFS(#REF!,#REF!,Comparación!B37,#REF!,Comparación!A37)</f>
        <v>#REF!</v>
      </c>
      <c r="U37" s="40">
        <v>14.16</v>
      </c>
      <c r="V37" s="40" t="e">
        <f t="shared" si="0"/>
        <v>#REF!</v>
      </c>
      <c r="W37" s="89" t="e">
        <f>SUMIFS(#REF!,#REF!,Comparación!B37,#REF!,Comparación!A37)</f>
        <v>#REF!</v>
      </c>
      <c r="X37" s="89">
        <v>26967</v>
      </c>
      <c r="Y37" s="90" t="e">
        <f t="shared" si="1"/>
        <v>#REF!</v>
      </c>
      <c r="Z37" s="91"/>
    </row>
    <row r="38" spans="1:26" x14ac:dyDescent="0.3">
      <c r="A38" s="10" t="s">
        <v>108</v>
      </c>
      <c r="B38" s="10" t="s">
        <v>58</v>
      </c>
      <c r="C38" s="10">
        <v>2023</v>
      </c>
      <c r="D38" s="4">
        <v>1905</v>
      </c>
      <c r="E38" s="2">
        <v>6.95</v>
      </c>
      <c r="F38" s="2">
        <v>6.94</v>
      </c>
      <c r="G38" s="2">
        <v>0</v>
      </c>
      <c r="H38" s="2">
        <v>0.01</v>
      </c>
      <c r="I38" s="3">
        <v>13755</v>
      </c>
      <c r="J38" s="11">
        <v>13732</v>
      </c>
      <c r="K38" s="11"/>
      <c r="L38" s="11">
        <v>23</v>
      </c>
      <c r="M38" s="2" t="s">
        <v>7</v>
      </c>
      <c r="N38" s="5">
        <v>2016</v>
      </c>
      <c r="O38" s="1" t="s">
        <v>8</v>
      </c>
      <c r="P38" s="1"/>
      <c r="Q38" s="1" t="s">
        <v>53</v>
      </c>
      <c r="R38" s="1" t="s">
        <v>27</v>
      </c>
      <c r="S38" s="39" t="s">
        <v>58</v>
      </c>
      <c r="T38" s="88" t="e">
        <f>SUMIFS(#REF!,#REF!,Comparación!B38,#REF!,Comparación!A38)</f>
        <v>#REF!</v>
      </c>
      <c r="U38" s="40">
        <v>7.22</v>
      </c>
      <c r="V38" s="40" t="e">
        <f t="shared" si="0"/>
        <v>#REF!</v>
      </c>
      <c r="W38" s="89" t="e">
        <f>SUMIFS(#REF!,#REF!,Comparación!B38,#REF!,Comparación!A38)</f>
        <v>#REF!</v>
      </c>
      <c r="X38" s="89">
        <v>13755</v>
      </c>
      <c r="Y38" s="90" t="e">
        <f t="shared" si="1"/>
        <v>#REF!</v>
      </c>
      <c r="Z38" s="91"/>
    </row>
    <row r="39" spans="1:26" x14ac:dyDescent="0.3">
      <c r="A39" s="10" t="s">
        <v>163</v>
      </c>
      <c r="B39" s="10" t="s">
        <v>88</v>
      </c>
      <c r="C39" s="10">
        <v>2023</v>
      </c>
      <c r="D39" s="4">
        <v>1838</v>
      </c>
      <c r="E39" s="2">
        <v>15.462100108813928</v>
      </c>
      <c r="F39" s="2">
        <v>13.18</v>
      </c>
      <c r="G39" s="2">
        <v>2.0321001088139283</v>
      </c>
      <c r="H39" s="2">
        <v>0.25</v>
      </c>
      <c r="I39" s="3">
        <v>28415</v>
      </c>
      <c r="J39" s="2">
        <v>24218</v>
      </c>
      <c r="K39" s="2">
        <v>3735</v>
      </c>
      <c r="L39" s="2">
        <v>463</v>
      </c>
      <c r="M39" s="2" t="s">
        <v>7</v>
      </c>
      <c r="N39" s="5">
        <v>2021</v>
      </c>
      <c r="O39" s="1" t="s">
        <v>12</v>
      </c>
      <c r="P39" s="1" t="s">
        <v>170</v>
      </c>
      <c r="Q39" s="1" t="s">
        <v>34</v>
      </c>
      <c r="R39" s="1" t="s">
        <v>27</v>
      </c>
      <c r="S39" s="39" t="s">
        <v>88</v>
      </c>
      <c r="T39" s="88" t="e">
        <f>SUMIFS(#REF!,#REF!,Comparación!B39,#REF!,Comparación!A39)</f>
        <v>#REF!</v>
      </c>
      <c r="U39" s="40">
        <v>15.46</v>
      </c>
      <c r="V39" s="40" t="e">
        <f t="shared" si="0"/>
        <v>#REF!</v>
      </c>
      <c r="W39" s="89" t="e">
        <f>SUMIFS(#REF!,#REF!,Comparación!B39,#REF!,Comparación!A39)</f>
        <v>#REF!</v>
      </c>
      <c r="X39" s="89">
        <v>28415</v>
      </c>
      <c r="Y39" s="90" t="e">
        <f t="shared" si="1"/>
        <v>#REF!</v>
      </c>
      <c r="Z39" s="91"/>
    </row>
    <row r="40" spans="1:26" x14ac:dyDescent="0.3">
      <c r="A40" s="10" t="s">
        <v>163</v>
      </c>
      <c r="B40" s="10" t="s">
        <v>89</v>
      </c>
      <c r="C40" s="10">
        <v>2023</v>
      </c>
      <c r="D40" s="4">
        <v>1838</v>
      </c>
      <c r="E40" s="2">
        <v>11.379836779107725</v>
      </c>
      <c r="F40" s="2">
        <v>9.33</v>
      </c>
      <c r="G40" s="2">
        <v>1.8498367791077257</v>
      </c>
      <c r="H40" s="2">
        <v>0.2</v>
      </c>
      <c r="I40" s="3">
        <v>20843</v>
      </c>
      <c r="J40" s="2">
        <v>17147</v>
      </c>
      <c r="K40" s="2">
        <v>3400</v>
      </c>
      <c r="L40" s="2">
        <v>372</v>
      </c>
      <c r="M40" s="2" t="s">
        <v>7</v>
      </c>
      <c r="N40" s="5">
        <v>2021</v>
      </c>
      <c r="O40" s="1" t="s">
        <v>12</v>
      </c>
      <c r="P40" s="1" t="s">
        <v>171</v>
      </c>
      <c r="Q40" s="1" t="s">
        <v>34</v>
      </c>
      <c r="R40" s="1" t="s">
        <v>27</v>
      </c>
      <c r="S40" s="39" t="s">
        <v>89</v>
      </c>
      <c r="T40" s="88" t="e">
        <f>SUMIFS(#REF!,#REF!,Comparación!B40,#REF!,Comparación!A40)</f>
        <v>#REF!</v>
      </c>
      <c r="U40" s="40">
        <v>11.38</v>
      </c>
      <c r="V40" s="40" t="e">
        <f t="shared" si="0"/>
        <v>#REF!</v>
      </c>
      <c r="W40" s="89" t="e">
        <f>SUMIFS(#REF!,#REF!,Comparación!B40,#REF!,Comparación!A40)</f>
        <v>#REF!</v>
      </c>
      <c r="X40" s="89">
        <v>20843</v>
      </c>
      <c r="Y40" s="90" t="e">
        <f t="shared" si="1"/>
        <v>#REF!</v>
      </c>
      <c r="Z40" s="91"/>
    </row>
    <row r="41" spans="1:26" x14ac:dyDescent="0.3">
      <c r="A41" s="10" t="s">
        <v>163</v>
      </c>
      <c r="B41" s="10" t="s">
        <v>90</v>
      </c>
      <c r="C41" s="10">
        <v>2023</v>
      </c>
      <c r="D41" s="7">
        <v>1905</v>
      </c>
      <c r="E41" s="2">
        <v>11.74488188976378</v>
      </c>
      <c r="F41" s="2">
        <v>11.74488188976378</v>
      </c>
      <c r="G41" s="2">
        <v>0</v>
      </c>
      <c r="H41" s="2">
        <v>0</v>
      </c>
      <c r="I41" s="3">
        <v>22374</v>
      </c>
      <c r="J41" s="6">
        <v>22374</v>
      </c>
      <c r="K41" s="6">
        <v>0</v>
      </c>
      <c r="L41" s="6">
        <v>0</v>
      </c>
      <c r="M41" s="2" t="s">
        <v>7</v>
      </c>
      <c r="N41" s="5">
        <v>2022</v>
      </c>
      <c r="O41" s="1" t="s">
        <v>8</v>
      </c>
      <c r="P41" s="1"/>
      <c r="Q41" s="1" t="s">
        <v>53</v>
      </c>
      <c r="R41" s="1" t="s">
        <v>27</v>
      </c>
      <c r="S41" s="39" t="s">
        <v>90</v>
      </c>
      <c r="T41" s="88" t="e">
        <f>SUMIFS(#REF!,#REF!,Comparación!B41,#REF!,Comparación!A41)</f>
        <v>#REF!</v>
      </c>
      <c r="U41" s="92">
        <v>11.87</v>
      </c>
      <c r="V41" s="40" t="e">
        <f t="shared" si="0"/>
        <v>#REF!</v>
      </c>
      <c r="W41" s="89" t="e">
        <f>SUMIFS(#REF!,#REF!,Comparación!B41,#REF!,Comparación!A41)</f>
        <v>#REF!</v>
      </c>
      <c r="X41" s="89">
        <v>22374</v>
      </c>
      <c r="Y41" s="90" t="e">
        <f t="shared" si="1"/>
        <v>#REF!</v>
      </c>
      <c r="Z41" s="91"/>
    </row>
    <row r="42" spans="1:26" x14ac:dyDescent="0.3">
      <c r="A42" s="10" t="s">
        <v>163</v>
      </c>
      <c r="B42" s="10" t="s">
        <v>92</v>
      </c>
      <c r="C42" s="10">
        <v>2023</v>
      </c>
      <c r="D42" s="7">
        <v>1905</v>
      </c>
      <c r="E42" s="2">
        <v>14.893438320209974</v>
      </c>
      <c r="F42" s="2">
        <v>14.893438320209974</v>
      </c>
      <c r="G42" s="2">
        <v>0</v>
      </c>
      <c r="H42" s="2">
        <v>0</v>
      </c>
      <c r="I42" s="3">
        <v>28372</v>
      </c>
      <c r="J42" s="6">
        <v>28372</v>
      </c>
      <c r="K42" s="6">
        <v>0</v>
      </c>
      <c r="L42" s="6">
        <v>0</v>
      </c>
      <c r="M42" s="2" t="s">
        <v>7</v>
      </c>
      <c r="N42" s="5">
        <v>2022</v>
      </c>
      <c r="O42" s="1" t="s">
        <v>8</v>
      </c>
      <c r="P42" s="1"/>
      <c r="Q42" s="1" t="s">
        <v>53</v>
      </c>
      <c r="R42" s="1" t="s">
        <v>27</v>
      </c>
      <c r="S42" s="39" t="s">
        <v>92</v>
      </c>
      <c r="T42" s="88" t="e">
        <f>SUMIFS(#REF!,#REF!,Comparación!B42,#REF!,Comparación!A42)</f>
        <v>#REF!</v>
      </c>
      <c r="U42" s="92">
        <v>15</v>
      </c>
      <c r="V42" s="40" t="e">
        <f t="shared" si="0"/>
        <v>#REF!</v>
      </c>
      <c r="W42" s="89" t="e">
        <f>SUMIFS(#REF!,#REF!,Comparación!B42,#REF!,Comparación!A42)</f>
        <v>#REF!</v>
      </c>
      <c r="X42" s="89">
        <v>28372</v>
      </c>
      <c r="Y42" s="90" t="e">
        <f t="shared" si="1"/>
        <v>#REF!</v>
      </c>
      <c r="Z42" s="91"/>
    </row>
    <row r="43" spans="1:26" x14ac:dyDescent="0.3">
      <c r="A43" s="10" t="s">
        <v>163</v>
      </c>
      <c r="B43" s="10" t="s">
        <v>80</v>
      </c>
      <c r="C43" s="10">
        <v>2023</v>
      </c>
      <c r="D43" s="7">
        <v>1780</v>
      </c>
      <c r="E43" s="2">
        <v>10.696629213483146</v>
      </c>
      <c r="F43" s="2">
        <v>10.696629213483146</v>
      </c>
      <c r="G43" s="2">
        <v>0</v>
      </c>
      <c r="H43" s="2">
        <v>0</v>
      </c>
      <c r="I43" s="3">
        <v>19040</v>
      </c>
      <c r="J43" s="6">
        <v>19040</v>
      </c>
      <c r="K43" s="6">
        <v>0</v>
      </c>
      <c r="L43" s="6">
        <v>0</v>
      </c>
      <c r="M43" s="2" t="s">
        <v>7</v>
      </c>
      <c r="N43" s="5">
        <v>2022</v>
      </c>
      <c r="O43" s="1" t="s">
        <v>8</v>
      </c>
      <c r="P43" s="1"/>
      <c r="Q43" s="1" t="s">
        <v>53</v>
      </c>
      <c r="R43" s="1" t="s">
        <v>27</v>
      </c>
      <c r="S43" s="39" t="s">
        <v>80</v>
      </c>
      <c r="T43" s="88" t="e">
        <f>SUMIFS(#REF!,#REF!,Comparación!B43,#REF!,Comparación!A43)</f>
        <v>#REF!</v>
      </c>
      <c r="U43" s="92">
        <v>10.34</v>
      </c>
      <c r="V43" s="40" t="e">
        <f t="shared" si="0"/>
        <v>#REF!</v>
      </c>
      <c r="W43" s="89" t="e">
        <f>SUMIFS(#REF!,#REF!,Comparación!B43,#REF!,Comparación!A43)</f>
        <v>#REF!</v>
      </c>
      <c r="X43" s="89">
        <v>19040</v>
      </c>
      <c r="Y43" s="90" t="e">
        <f t="shared" si="1"/>
        <v>#REF!</v>
      </c>
      <c r="Z43" s="91"/>
    </row>
    <row r="44" spans="1:26" x14ac:dyDescent="0.3">
      <c r="A44" s="10" t="s">
        <v>163</v>
      </c>
      <c r="B44" s="10" t="s">
        <v>93</v>
      </c>
      <c r="C44" s="10">
        <v>2023</v>
      </c>
      <c r="D44" s="7">
        <v>1905</v>
      </c>
      <c r="E44" s="2">
        <v>15</v>
      </c>
      <c r="F44" s="2">
        <v>14.895538057742781</v>
      </c>
      <c r="G44" s="2">
        <v>0</v>
      </c>
      <c r="H44" s="2">
        <v>0.10446194225721861</v>
      </c>
      <c r="I44" s="3">
        <v>28376</v>
      </c>
      <c r="J44" s="6">
        <v>28376</v>
      </c>
      <c r="K44" s="6">
        <v>0</v>
      </c>
      <c r="L44" s="6">
        <v>199</v>
      </c>
      <c r="M44" s="2" t="s">
        <v>7</v>
      </c>
      <c r="N44" s="5">
        <v>2022</v>
      </c>
      <c r="O44" s="1" t="s">
        <v>8</v>
      </c>
      <c r="P44" s="1" t="s">
        <v>186</v>
      </c>
      <c r="Q44" s="1" t="s">
        <v>133</v>
      </c>
      <c r="R44" s="1" t="s">
        <v>9</v>
      </c>
      <c r="S44" s="39" t="s">
        <v>93</v>
      </c>
      <c r="T44" s="88" t="e">
        <f>SUMIFS(#REF!,#REF!,Comparación!B44,#REF!,Comparación!A44)</f>
        <v>#REF!</v>
      </c>
      <c r="U44" s="92">
        <v>15</v>
      </c>
      <c r="V44" s="40" t="e">
        <f t="shared" si="0"/>
        <v>#REF!</v>
      </c>
      <c r="W44" s="89" t="e">
        <f>SUMIFS(#REF!,#REF!,Comparación!B44,#REF!,Comparación!A44)</f>
        <v>#REF!</v>
      </c>
      <c r="X44" s="89">
        <v>28376</v>
      </c>
      <c r="Y44" s="90" t="e">
        <f t="shared" si="1"/>
        <v>#REF!</v>
      </c>
      <c r="Z44" s="91"/>
    </row>
    <row r="45" spans="1:26" x14ac:dyDescent="0.3">
      <c r="A45" s="10" t="s">
        <v>163</v>
      </c>
      <c r="B45" s="10" t="s">
        <v>94</v>
      </c>
      <c r="C45" s="10">
        <v>2023</v>
      </c>
      <c r="D45" s="7">
        <v>1905</v>
      </c>
      <c r="E45" s="2">
        <v>15</v>
      </c>
      <c r="F45" s="2">
        <v>14.895538057742781</v>
      </c>
      <c r="G45" s="2">
        <v>0</v>
      </c>
      <c r="H45" s="2">
        <v>0.10446194225721861</v>
      </c>
      <c r="I45" s="3">
        <v>28376</v>
      </c>
      <c r="J45" s="6">
        <v>28376</v>
      </c>
      <c r="K45" s="6">
        <v>0</v>
      </c>
      <c r="L45" s="6">
        <v>199</v>
      </c>
      <c r="M45" s="2" t="s">
        <v>7</v>
      </c>
      <c r="N45" s="5">
        <v>2022</v>
      </c>
      <c r="O45" s="1" t="s">
        <v>8</v>
      </c>
      <c r="P45" s="1" t="s">
        <v>189</v>
      </c>
      <c r="Q45" s="1" t="s">
        <v>133</v>
      </c>
      <c r="R45" s="1" t="s">
        <v>9</v>
      </c>
      <c r="S45" s="39" t="s">
        <v>94</v>
      </c>
      <c r="T45" s="88" t="e">
        <f>SUMIFS(#REF!,#REF!,Comparación!B45,#REF!,Comparación!A45)</f>
        <v>#REF!</v>
      </c>
      <c r="U45" s="92">
        <v>15</v>
      </c>
      <c r="V45" s="40" t="e">
        <f t="shared" si="0"/>
        <v>#REF!</v>
      </c>
      <c r="W45" s="89" t="e">
        <f>SUMIFS(#REF!,#REF!,Comparación!B45,#REF!,Comparación!A45)</f>
        <v>#REF!</v>
      </c>
      <c r="X45" s="89">
        <v>27537</v>
      </c>
      <c r="Y45" s="90" t="e">
        <f t="shared" si="1"/>
        <v>#REF!</v>
      </c>
      <c r="Z45" s="91"/>
    </row>
    <row r="46" spans="1:26" x14ac:dyDescent="0.3">
      <c r="A46" s="10" t="s">
        <v>163</v>
      </c>
      <c r="B46" s="10" t="s">
        <v>95</v>
      </c>
      <c r="C46" s="10">
        <v>2023</v>
      </c>
      <c r="D46" s="7">
        <v>1905</v>
      </c>
      <c r="E46" s="2">
        <v>15</v>
      </c>
      <c r="F46" s="2">
        <v>14.895538057742781</v>
      </c>
      <c r="G46" s="2">
        <v>0</v>
      </c>
      <c r="H46" s="2">
        <v>0.10446194225721861</v>
      </c>
      <c r="I46" s="3">
        <v>28376</v>
      </c>
      <c r="J46" s="6">
        <v>28376</v>
      </c>
      <c r="K46" s="6">
        <v>0</v>
      </c>
      <c r="L46" s="6">
        <v>199</v>
      </c>
      <c r="M46" s="2" t="s">
        <v>7</v>
      </c>
      <c r="N46" s="5">
        <v>2022</v>
      </c>
      <c r="O46" s="1" t="s">
        <v>8</v>
      </c>
      <c r="P46" s="1" t="s">
        <v>188</v>
      </c>
      <c r="Q46" s="1" t="s">
        <v>133</v>
      </c>
      <c r="R46" s="1" t="s">
        <v>9</v>
      </c>
      <c r="S46" s="39" t="s">
        <v>95</v>
      </c>
      <c r="T46" s="88" t="e">
        <f>SUMIFS(#REF!,#REF!,Comparación!B46,#REF!,Comparación!A46)</f>
        <v>#REF!</v>
      </c>
      <c r="U46" s="92">
        <v>15</v>
      </c>
      <c r="V46" s="40" t="e">
        <f t="shared" si="0"/>
        <v>#REF!</v>
      </c>
      <c r="W46" s="89" t="e">
        <f>SUMIFS(#REF!,#REF!,Comparación!B46,#REF!,Comparación!A46)</f>
        <v>#REF!</v>
      </c>
      <c r="X46" s="89">
        <v>28209</v>
      </c>
      <c r="Y46" s="90" t="e">
        <f t="shared" si="1"/>
        <v>#REF!</v>
      </c>
      <c r="Z46" s="91"/>
    </row>
    <row r="47" spans="1:26" x14ac:dyDescent="0.3">
      <c r="A47" s="10" t="s">
        <v>163</v>
      </c>
      <c r="B47" s="10" t="s">
        <v>96</v>
      </c>
      <c r="C47" s="10">
        <v>2023</v>
      </c>
      <c r="D47" s="7">
        <v>1905</v>
      </c>
      <c r="E47" s="2">
        <v>12.066141732283464</v>
      </c>
      <c r="F47" s="2">
        <v>12.066141732283464</v>
      </c>
      <c r="G47" s="2">
        <v>0</v>
      </c>
      <c r="H47" s="2">
        <v>0</v>
      </c>
      <c r="I47" s="3">
        <v>22986</v>
      </c>
      <c r="J47" s="2">
        <v>22986</v>
      </c>
      <c r="K47" s="2">
        <v>0</v>
      </c>
      <c r="L47" s="2">
        <v>0</v>
      </c>
      <c r="M47" s="2" t="s">
        <v>7</v>
      </c>
      <c r="N47" s="5">
        <v>2022</v>
      </c>
      <c r="O47" s="1" t="s">
        <v>12</v>
      </c>
      <c r="P47" s="1" t="s">
        <v>180</v>
      </c>
      <c r="Q47" s="1" t="s">
        <v>136</v>
      </c>
      <c r="R47" s="1" t="s">
        <v>27</v>
      </c>
      <c r="S47" s="39" t="s">
        <v>96</v>
      </c>
      <c r="T47" s="88" t="e">
        <f>SUMIFS(#REF!,#REF!,Comparación!B47,#REF!,Comparación!A47)</f>
        <v>#REF!</v>
      </c>
      <c r="U47" s="92">
        <v>12.04</v>
      </c>
      <c r="V47" s="40" t="e">
        <f t="shared" si="0"/>
        <v>#REF!</v>
      </c>
      <c r="W47" s="89" t="e">
        <f>SUMIFS(#REF!,#REF!,Comparación!B47,#REF!,Comparación!A47)</f>
        <v>#REF!</v>
      </c>
      <c r="X47" s="89">
        <v>22986</v>
      </c>
      <c r="Y47" s="90" t="e">
        <f t="shared" si="1"/>
        <v>#REF!</v>
      </c>
      <c r="Z47" s="91" t="s">
        <v>230</v>
      </c>
    </row>
    <row r="48" spans="1:26" x14ac:dyDescent="0.3">
      <c r="A48" s="10" t="s">
        <v>163</v>
      </c>
      <c r="B48" s="10" t="s">
        <v>97</v>
      </c>
      <c r="C48" s="10">
        <v>2023</v>
      </c>
      <c r="D48" s="7">
        <v>1905</v>
      </c>
      <c r="E48" s="2">
        <v>16.934383202099738</v>
      </c>
      <c r="F48" s="2">
        <v>16.934383202099738</v>
      </c>
      <c r="G48" s="2">
        <v>0</v>
      </c>
      <c r="H48" s="2">
        <v>0</v>
      </c>
      <c r="I48" s="3">
        <v>32260</v>
      </c>
      <c r="J48" s="2">
        <v>32260</v>
      </c>
      <c r="K48" s="2">
        <v>0</v>
      </c>
      <c r="L48" s="2">
        <v>0</v>
      </c>
      <c r="M48" s="2" t="s">
        <v>7</v>
      </c>
      <c r="N48" s="5">
        <v>2022</v>
      </c>
      <c r="O48" s="1" t="s">
        <v>12</v>
      </c>
      <c r="P48" s="1" t="s">
        <v>180</v>
      </c>
      <c r="Q48" s="1" t="s">
        <v>136</v>
      </c>
      <c r="R48" s="1" t="s">
        <v>27</v>
      </c>
      <c r="S48" s="39" t="s">
        <v>97</v>
      </c>
      <c r="T48" s="88" t="e">
        <f>SUMIFS(#REF!,#REF!,Comparación!B48,#REF!,Comparación!A48)</f>
        <v>#REF!</v>
      </c>
      <c r="U48" s="92">
        <v>16.8</v>
      </c>
      <c r="V48" s="40" t="e">
        <f t="shared" si="0"/>
        <v>#REF!</v>
      </c>
      <c r="W48" s="89" t="e">
        <f>SUMIFS(#REF!,#REF!,Comparación!B48,#REF!,Comparación!A48)</f>
        <v>#REF!</v>
      </c>
      <c r="X48" s="89">
        <v>32260</v>
      </c>
      <c r="Y48" s="90" t="e">
        <f t="shared" si="1"/>
        <v>#REF!</v>
      </c>
      <c r="Z48" s="91" t="s">
        <v>231</v>
      </c>
    </row>
    <row r="49" spans="1:27" x14ac:dyDescent="0.3">
      <c r="A49" s="10" t="s">
        <v>163</v>
      </c>
      <c r="B49" s="10" t="s">
        <v>98</v>
      </c>
      <c r="C49" s="10">
        <v>2023</v>
      </c>
      <c r="D49" s="7">
        <v>1905</v>
      </c>
      <c r="E49" s="2">
        <v>7.5139107611548557</v>
      </c>
      <c r="F49" s="2">
        <v>7.5139107611548557</v>
      </c>
      <c r="G49" s="2">
        <v>0</v>
      </c>
      <c r="H49" s="2">
        <v>0</v>
      </c>
      <c r="I49" s="3">
        <v>14314</v>
      </c>
      <c r="J49" s="2">
        <v>14314</v>
      </c>
      <c r="K49" s="2">
        <v>0</v>
      </c>
      <c r="L49" s="2">
        <v>0</v>
      </c>
      <c r="M49" s="2" t="s">
        <v>7</v>
      </c>
      <c r="N49" s="5">
        <v>2022</v>
      </c>
      <c r="O49" s="1" t="s">
        <v>12</v>
      </c>
      <c r="P49" s="1" t="s">
        <v>181</v>
      </c>
      <c r="Q49" s="1" t="s">
        <v>136</v>
      </c>
      <c r="R49" s="1" t="s">
        <v>27</v>
      </c>
      <c r="S49" s="39" t="s">
        <v>98</v>
      </c>
      <c r="T49" s="88" t="e">
        <f>SUMIFS(#REF!,#REF!,Comparación!B49,#REF!,Comparación!A49)</f>
        <v>#REF!</v>
      </c>
      <c r="U49" s="92">
        <v>7.5</v>
      </c>
      <c r="V49" s="40" t="e">
        <f t="shared" si="0"/>
        <v>#REF!</v>
      </c>
      <c r="W49" s="89" t="e">
        <f>SUMIFS(#REF!,#REF!,Comparación!B49,#REF!,Comparación!A49)</f>
        <v>#REF!</v>
      </c>
      <c r="X49" s="89">
        <v>14314</v>
      </c>
      <c r="Y49" s="90" t="e">
        <f t="shared" si="1"/>
        <v>#REF!</v>
      </c>
      <c r="Z49" s="91" t="s">
        <v>232</v>
      </c>
    </row>
    <row r="50" spans="1:27" x14ac:dyDescent="0.3">
      <c r="A50" s="10" t="s">
        <v>163</v>
      </c>
      <c r="B50" s="10" t="s">
        <v>99</v>
      </c>
      <c r="C50" s="10">
        <v>2023</v>
      </c>
      <c r="D50" s="8">
        <v>1754</v>
      </c>
      <c r="E50" s="2">
        <v>19.72976054732041</v>
      </c>
      <c r="F50" s="2">
        <v>14.811818896753174</v>
      </c>
      <c r="G50" s="2">
        <v>0</v>
      </c>
      <c r="H50" s="2">
        <v>0</v>
      </c>
      <c r="I50" s="3">
        <v>34606</v>
      </c>
      <c r="J50" s="6">
        <v>34606</v>
      </c>
      <c r="K50" s="6">
        <v>0</v>
      </c>
      <c r="L50" s="2">
        <v>0</v>
      </c>
      <c r="M50" s="2" t="s">
        <v>7</v>
      </c>
      <c r="N50" s="5">
        <v>2022</v>
      </c>
      <c r="O50" s="1" t="s">
        <v>8</v>
      </c>
      <c r="P50" s="1" t="s">
        <v>185</v>
      </c>
      <c r="Q50" s="1" t="s">
        <v>134</v>
      </c>
      <c r="R50" s="1" t="s">
        <v>27</v>
      </c>
      <c r="S50" s="39" t="s">
        <v>99</v>
      </c>
      <c r="T50" s="88" t="e">
        <f>SUMIFS(#REF!,#REF!,Comparación!B50,#REF!,Comparación!A50)</f>
        <v>#REF!</v>
      </c>
      <c r="U50" s="93">
        <v>18.510000000000002</v>
      </c>
      <c r="V50" s="40" t="e">
        <f t="shared" si="0"/>
        <v>#REF!</v>
      </c>
      <c r="W50" s="89" t="e">
        <f>SUMIFS(#REF!,#REF!,Comparación!B50,#REF!,Comparación!A50)</f>
        <v>#REF!</v>
      </c>
      <c r="X50" s="89">
        <v>34606</v>
      </c>
      <c r="Y50" s="90" t="e">
        <f t="shared" si="1"/>
        <v>#REF!</v>
      </c>
      <c r="Z50" s="91" t="s">
        <v>233</v>
      </c>
      <c r="AA50" s="83"/>
    </row>
    <row r="51" spans="1:27" x14ac:dyDescent="0.3">
      <c r="A51" s="10" t="s">
        <v>163</v>
      </c>
      <c r="B51" s="10" t="s">
        <v>100</v>
      </c>
      <c r="C51" s="10">
        <v>2023</v>
      </c>
      <c r="D51" s="8">
        <v>1754</v>
      </c>
      <c r="E51" s="2">
        <v>6.7189281641961234</v>
      </c>
      <c r="F51" s="2">
        <v>13.547770700636944</v>
      </c>
      <c r="G51" s="2">
        <v>0</v>
      </c>
      <c r="H51" s="2">
        <v>0</v>
      </c>
      <c r="I51" s="3">
        <v>11785</v>
      </c>
      <c r="J51" s="6">
        <v>11785</v>
      </c>
      <c r="K51" s="6">
        <v>0</v>
      </c>
      <c r="L51" s="2">
        <v>0</v>
      </c>
      <c r="M51" s="2" t="s">
        <v>7</v>
      </c>
      <c r="N51" s="5">
        <v>2022</v>
      </c>
      <c r="O51" s="1" t="s">
        <v>8</v>
      </c>
      <c r="P51" s="1" t="s">
        <v>185</v>
      </c>
      <c r="Q51" s="1" t="s">
        <v>134</v>
      </c>
      <c r="R51" s="1" t="s">
        <v>27</v>
      </c>
      <c r="S51" s="39" t="s">
        <v>100</v>
      </c>
      <c r="T51" s="88" t="e">
        <f>SUMIFS(#REF!,#REF!,Comparación!B51,#REF!,Comparación!A51)</f>
        <v>#REF!</v>
      </c>
      <c r="U51" s="93">
        <v>8.33</v>
      </c>
      <c r="V51" s="40" t="e">
        <f t="shared" si="0"/>
        <v>#REF!</v>
      </c>
      <c r="W51" s="89" t="e">
        <f>SUMIFS(#REF!,#REF!,Comparación!B51,#REF!,Comparación!A51)</f>
        <v>#REF!</v>
      </c>
      <c r="X51" s="89">
        <v>11785</v>
      </c>
      <c r="Y51" s="90" t="e">
        <f t="shared" si="1"/>
        <v>#REF!</v>
      </c>
      <c r="Z51" s="91" t="s">
        <v>234</v>
      </c>
      <c r="AA51" s="83"/>
    </row>
    <row r="52" spans="1:27" x14ac:dyDescent="0.3">
      <c r="A52" s="10" t="s">
        <v>109</v>
      </c>
      <c r="B52" s="10" t="s">
        <v>59</v>
      </c>
      <c r="C52" s="10">
        <v>2023</v>
      </c>
      <c r="D52" s="4">
        <v>1905</v>
      </c>
      <c r="E52" s="2">
        <v>7.21</v>
      </c>
      <c r="F52" s="2">
        <v>6.91</v>
      </c>
      <c r="G52" s="2">
        <v>0</v>
      </c>
      <c r="H52" s="2">
        <v>0.3</v>
      </c>
      <c r="I52" s="3">
        <v>13740</v>
      </c>
      <c r="J52" s="11">
        <v>13164</v>
      </c>
      <c r="K52" s="11">
        <v>0</v>
      </c>
      <c r="L52" s="11">
        <v>576</v>
      </c>
      <c r="M52" s="2" t="s">
        <v>7</v>
      </c>
      <c r="N52" s="5">
        <v>2018</v>
      </c>
      <c r="O52" s="1" t="s">
        <v>8</v>
      </c>
      <c r="P52" s="1" t="s">
        <v>227</v>
      </c>
      <c r="Q52" s="1" t="s">
        <v>10</v>
      </c>
      <c r="R52" s="1" t="s">
        <v>9</v>
      </c>
      <c r="S52" s="94" t="s">
        <v>59</v>
      </c>
      <c r="T52" s="88" t="e">
        <f>SUMIFS(#REF!,#REF!,Comparación!B52,#REF!,Comparación!A52)</f>
        <v>#REF!</v>
      </c>
      <c r="U52" s="40">
        <v>7.21</v>
      </c>
      <c r="V52" s="40" t="e">
        <f t="shared" si="0"/>
        <v>#REF!</v>
      </c>
      <c r="W52" s="89" t="e">
        <f>SUMIFS(#REF!,#REF!,Comparación!B52,#REF!,Comparación!A52)</f>
        <v>#REF!</v>
      </c>
      <c r="X52" s="89">
        <v>13740</v>
      </c>
      <c r="Y52" s="90" t="e">
        <f t="shared" si="1"/>
        <v>#REF!</v>
      </c>
      <c r="Z52" s="91"/>
    </row>
    <row r="53" spans="1:27" x14ac:dyDescent="0.3">
      <c r="A53" s="10" t="s">
        <v>109</v>
      </c>
      <c r="B53" s="10" t="s">
        <v>60</v>
      </c>
      <c r="C53" s="10">
        <v>2023</v>
      </c>
      <c r="D53" s="4">
        <v>1905</v>
      </c>
      <c r="E53" s="2">
        <v>3.7622572178477691</v>
      </c>
      <c r="F53" s="2">
        <v>3.3</v>
      </c>
      <c r="G53" s="2">
        <v>0.34225721784776902</v>
      </c>
      <c r="H53" s="2">
        <v>0.12</v>
      </c>
      <c r="I53" s="3">
        <v>7176</v>
      </c>
      <c r="J53" s="11">
        <v>6291</v>
      </c>
      <c r="K53" s="11">
        <v>652</v>
      </c>
      <c r="L53" s="11">
        <v>233</v>
      </c>
      <c r="M53" s="2" t="s">
        <v>7</v>
      </c>
      <c r="N53" s="5" t="s">
        <v>61</v>
      </c>
      <c r="O53" s="1" t="s">
        <v>8</v>
      </c>
      <c r="P53" s="1" t="s">
        <v>227</v>
      </c>
      <c r="Q53" s="1" t="s">
        <v>10</v>
      </c>
      <c r="R53" s="1" t="s">
        <v>9</v>
      </c>
      <c r="S53" s="94" t="s">
        <v>60</v>
      </c>
      <c r="T53" s="88" t="e">
        <f>SUMIFS(#REF!,#REF!,Comparación!B53,#REF!,Comparación!A53)</f>
        <v>#REF!</v>
      </c>
      <c r="U53" s="40">
        <v>3.77</v>
      </c>
      <c r="V53" s="40" t="e">
        <f t="shared" si="0"/>
        <v>#REF!</v>
      </c>
      <c r="W53" s="89" t="e">
        <f>SUMIFS(#REF!,#REF!,Comparación!B53,#REF!,Comparación!A53)</f>
        <v>#REF!</v>
      </c>
      <c r="X53" s="89">
        <v>7176</v>
      </c>
      <c r="Y53" s="90" t="e">
        <f t="shared" si="1"/>
        <v>#REF!</v>
      </c>
      <c r="Z53" s="91"/>
    </row>
    <row r="54" spans="1:27" x14ac:dyDescent="0.3">
      <c r="A54" s="10" t="s">
        <v>109</v>
      </c>
      <c r="B54" s="10" t="s">
        <v>130</v>
      </c>
      <c r="C54" s="10">
        <v>2023</v>
      </c>
      <c r="D54" s="4">
        <v>1780</v>
      </c>
      <c r="E54" s="2">
        <v>10.65112359550562</v>
      </c>
      <c r="F54" s="2">
        <v>10.423033707865169</v>
      </c>
      <c r="G54" s="2">
        <v>8.5393258426966295E-2</v>
      </c>
      <c r="H54" s="2">
        <v>0.14269662921348314</v>
      </c>
      <c r="I54" s="3">
        <v>18959</v>
      </c>
      <c r="J54" s="11">
        <v>18553</v>
      </c>
      <c r="K54" s="11">
        <v>152</v>
      </c>
      <c r="L54" s="11">
        <v>254</v>
      </c>
      <c r="M54" s="2" t="s">
        <v>7</v>
      </c>
      <c r="N54" s="5">
        <v>2020</v>
      </c>
      <c r="O54" s="1" t="s">
        <v>12</v>
      </c>
      <c r="P54" s="1"/>
      <c r="Q54" s="1" t="s">
        <v>53</v>
      </c>
      <c r="R54" s="1" t="s">
        <v>27</v>
      </c>
      <c r="S54" s="39" t="s">
        <v>130</v>
      </c>
      <c r="T54" s="88" t="e">
        <f>SUMIFS(#REF!,#REF!,Comparación!B54,#REF!,Comparación!A54)</f>
        <v>#REF!</v>
      </c>
      <c r="U54" s="40">
        <v>10.67</v>
      </c>
      <c r="V54" s="40" t="e">
        <f t="shared" si="0"/>
        <v>#REF!</v>
      </c>
      <c r="W54" s="89" t="e">
        <f>SUMIFS(#REF!,#REF!,Comparación!B54,#REF!,Comparación!A54)</f>
        <v>#REF!</v>
      </c>
      <c r="X54" s="89">
        <v>18993</v>
      </c>
      <c r="Y54" s="90" t="e">
        <f t="shared" si="1"/>
        <v>#REF!</v>
      </c>
      <c r="Z54" s="91" t="s">
        <v>235</v>
      </c>
    </row>
    <row r="55" spans="1:27" x14ac:dyDescent="0.3">
      <c r="A55" s="10" t="s">
        <v>109</v>
      </c>
      <c r="B55" s="10" t="s">
        <v>63</v>
      </c>
      <c r="C55" s="10">
        <v>2023</v>
      </c>
      <c r="D55" s="4">
        <v>1780</v>
      </c>
      <c r="E55" s="2">
        <v>14.449438202247192</v>
      </c>
      <c r="F55" s="2">
        <v>14.020224719101124</v>
      </c>
      <c r="G55" s="2">
        <v>0.22191011235955055</v>
      </c>
      <c r="H55" s="2">
        <v>0.20730337078651687</v>
      </c>
      <c r="I55" s="3">
        <v>25720</v>
      </c>
      <c r="J55" s="11">
        <v>24956</v>
      </c>
      <c r="K55" s="11">
        <v>395</v>
      </c>
      <c r="L55" s="11">
        <v>369</v>
      </c>
      <c r="M55" s="2" t="s">
        <v>7</v>
      </c>
      <c r="N55" s="5">
        <v>2020</v>
      </c>
      <c r="O55" s="1" t="s">
        <v>12</v>
      </c>
      <c r="P55" s="1"/>
      <c r="Q55" s="1" t="s">
        <v>53</v>
      </c>
      <c r="R55" s="1" t="s">
        <v>27</v>
      </c>
      <c r="S55" s="39" t="s">
        <v>63</v>
      </c>
      <c r="T55" s="88" t="e">
        <f>SUMIFS(#REF!,#REF!,Comparación!B55,#REF!,Comparación!A55)</f>
        <v>#REF!</v>
      </c>
      <c r="U55" s="40">
        <v>14.68</v>
      </c>
      <c r="V55" s="40" t="e">
        <f t="shared" si="0"/>
        <v>#REF!</v>
      </c>
      <c r="W55" s="89" t="e">
        <f>SUMIFS(#REF!,#REF!,Comparación!B55,#REF!,Comparación!A55)</f>
        <v>#REF!</v>
      </c>
      <c r="X55" s="89">
        <v>26134</v>
      </c>
      <c r="Y55" s="90" t="e">
        <f t="shared" si="1"/>
        <v>#REF!</v>
      </c>
      <c r="Z55" s="91" t="s">
        <v>235</v>
      </c>
    </row>
    <row r="56" spans="1:27" x14ac:dyDescent="0.3">
      <c r="A56" s="10" t="s">
        <v>109</v>
      </c>
      <c r="B56" s="10" t="s">
        <v>64</v>
      </c>
      <c r="C56" s="10">
        <v>2023</v>
      </c>
      <c r="D56" s="4">
        <v>1780</v>
      </c>
      <c r="E56" s="2">
        <v>13.638764044943819</v>
      </c>
      <c r="F56" s="2">
        <v>13.566853932584269</v>
      </c>
      <c r="G56" s="2">
        <v>6.5168539325842698E-2</v>
      </c>
      <c r="H56" s="2">
        <v>6.7415730337078653E-3</v>
      </c>
      <c r="I56" s="3">
        <v>24277</v>
      </c>
      <c r="J56" s="11">
        <v>24149</v>
      </c>
      <c r="K56" s="11">
        <v>116</v>
      </c>
      <c r="L56" s="11">
        <v>12</v>
      </c>
      <c r="M56" s="2" t="s">
        <v>7</v>
      </c>
      <c r="N56" s="5">
        <v>2020</v>
      </c>
      <c r="O56" s="1" t="s">
        <v>12</v>
      </c>
      <c r="P56" s="1"/>
      <c r="Q56" s="1" t="s">
        <v>53</v>
      </c>
      <c r="R56" s="1" t="s">
        <v>27</v>
      </c>
      <c r="S56" s="39" t="s">
        <v>64</v>
      </c>
      <c r="T56" s="88" t="e">
        <f>SUMIFS(#REF!,#REF!,Comparación!B56,#REF!,Comparación!A56)</f>
        <v>#REF!</v>
      </c>
      <c r="U56" s="40">
        <v>13.64</v>
      </c>
      <c r="V56" s="40" t="e">
        <f t="shared" si="0"/>
        <v>#REF!</v>
      </c>
      <c r="W56" s="89" t="e">
        <f>SUMIFS(#REF!,#REF!,Comparación!B56,#REF!,Comparación!A56)</f>
        <v>#REF!</v>
      </c>
      <c r="X56" s="89">
        <v>24277</v>
      </c>
      <c r="Y56" s="90" t="e">
        <f t="shared" si="1"/>
        <v>#REF!</v>
      </c>
      <c r="Z56" s="91"/>
    </row>
    <row r="57" spans="1:27" x14ac:dyDescent="0.3">
      <c r="A57" s="10" t="s">
        <v>109</v>
      </c>
      <c r="B57" s="10" t="s">
        <v>65</v>
      </c>
      <c r="C57" s="10">
        <v>2023</v>
      </c>
      <c r="D57" s="7">
        <v>1838</v>
      </c>
      <c r="E57" s="2">
        <v>13.123090315560392</v>
      </c>
      <c r="F57" s="2">
        <v>12.43</v>
      </c>
      <c r="G57" s="2">
        <v>0.64309031556039176</v>
      </c>
      <c r="H57" s="2">
        <v>0.05</v>
      </c>
      <c r="I57" s="3">
        <v>24115</v>
      </c>
      <c r="J57" s="11">
        <v>22841</v>
      </c>
      <c r="K57" s="11">
        <v>1182</v>
      </c>
      <c r="L57" s="11">
        <v>92</v>
      </c>
      <c r="M57" s="2" t="s">
        <v>7</v>
      </c>
      <c r="N57" s="5">
        <v>2021</v>
      </c>
      <c r="O57" s="1" t="s">
        <v>12</v>
      </c>
      <c r="P57" s="1" t="s">
        <v>169</v>
      </c>
      <c r="Q57" s="1" t="s">
        <v>34</v>
      </c>
      <c r="R57" s="1" t="s">
        <v>27</v>
      </c>
      <c r="S57" s="39" t="s">
        <v>65</v>
      </c>
      <c r="T57" s="88" t="e">
        <f>SUMIFS(#REF!,#REF!,Comparación!B57,#REF!,Comparación!A57)</f>
        <v>#REF!</v>
      </c>
      <c r="U57" s="92">
        <v>13.12</v>
      </c>
      <c r="V57" s="40" t="e">
        <f t="shared" si="0"/>
        <v>#REF!</v>
      </c>
      <c r="W57" s="89" t="e">
        <f>SUMIFS(#REF!,#REF!,Comparación!B57,#REF!,Comparación!A57)</f>
        <v>#REF!</v>
      </c>
      <c r="X57" s="89">
        <v>24115</v>
      </c>
      <c r="Y57" s="90" t="e">
        <f t="shared" si="1"/>
        <v>#REF!</v>
      </c>
      <c r="Z57" s="91"/>
    </row>
    <row r="58" spans="1:27" x14ac:dyDescent="0.3">
      <c r="A58" s="10" t="s">
        <v>109</v>
      </c>
      <c r="B58" s="10" t="s">
        <v>66</v>
      </c>
      <c r="C58" s="10">
        <v>2023</v>
      </c>
      <c r="D58" s="7">
        <v>1838</v>
      </c>
      <c r="E58" s="2">
        <v>12.713275299238303</v>
      </c>
      <c r="F58" s="2">
        <v>11.94</v>
      </c>
      <c r="G58" s="2">
        <v>0.71327529923830246</v>
      </c>
      <c r="H58" s="2">
        <v>0.06</v>
      </c>
      <c r="I58" s="3">
        <v>23370</v>
      </c>
      <c r="J58" s="11">
        <v>21952</v>
      </c>
      <c r="K58" s="11">
        <v>1311</v>
      </c>
      <c r="L58" s="11">
        <v>107</v>
      </c>
      <c r="M58" s="2" t="s">
        <v>7</v>
      </c>
      <c r="N58" s="5">
        <v>2021</v>
      </c>
      <c r="O58" s="1" t="s">
        <v>12</v>
      </c>
      <c r="P58" s="1" t="s">
        <v>169</v>
      </c>
      <c r="Q58" s="1" t="s">
        <v>34</v>
      </c>
      <c r="R58" s="1" t="s">
        <v>27</v>
      </c>
      <c r="S58" s="39" t="s">
        <v>66</v>
      </c>
      <c r="T58" s="88" t="e">
        <f>SUMIFS(#REF!,#REF!,Comparación!B58,#REF!,Comparación!A58)</f>
        <v>#REF!</v>
      </c>
      <c r="U58" s="92">
        <v>12.71</v>
      </c>
      <c r="V58" s="40" t="e">
        <f t="shared" si="0"/>
        <v>#REF!</v>
      </c>
      <c r="W58" s="89" t="e">
        <f>SUMIFS(#REF!,#REF!,Comparación!B58,#REF!,Comparación!A58)</f>
        <v>#REF!</v>
      </c>
      <c r="X58" s="89">
        <v>23370</v>
      </c>
      <c r="Y58" s="90" t="e">
        <f t="shared" si="1"/>
        <v>#REF!</v>
      </c>
      <c r="Z58" s="91"/>
    </row>
    <row r="59" spans="1:27" x14ac:dyDescent="0.3">
      <c r="A59" s="10" t="s">
        <v>110</v>
      </c>
      <c r="B59" s="10" t="s">
        <v>67</v>
      </c>
      <c r="C59" s="10">
        <v>2023</v>
      </c>
      <c r="D59" s="4">
        <v>1684</v>
      </c>
      <c r="E59" s="2">
        <v>10.235581947743468</v>
      </c>
      <c r="F59" s="2">
        <v>9.99</v>
      </c>
      <c r="G59" s="2">
        <v>0.15558194774346792</v>
      </c>
      <c r="H59" s="2">
        <v>0.09</v>
      </c>
      <c r="I59" s="3">
        <v>17244</v>
      </c>
      <c r="J59" s="11">
        <v>16836</v>
      </c>
      <c r="K59" s="11">
        <v>262</v>
      </c>
      <c r="L59" s="11">
        <v>146</v>
      </c>
      <c r="M59" s="2" t="s">
        <v>7</v>
      </c>
      <c r="N59" s="5">
        <v>2018</v>
      </c>
      <c r="O59" s="1" t="s">
        <v>12</v>
      </c>
      <c r="P59" s="1"/>
      <c r="Q59" s="1" t="s">
        <v>49</v>
      </c>
      <c r="R59" s="1" t="s">
        <v>9</v>
      </c>
      <c r="S59" s="39" t="s">
        <v>67</v>
      </c>
      <c r="T59" s="88" t="e">
        <f>SUMIFS(#REF!,#REF!,Comparación!B59,#REF!,Comparación!A59)</f>
        <v>#REF!</v>
      </c>
      <c r="U59" s="40">
        <v>10.24</v>
      </c>
      <c r="V59" s="40" t="e">
        <f t="shared" si="0"/>
        <v>#REF!</v>
      </c>
      <c r="W59" s="89" t="e">
        <f>SUMIFS(#REF!,#REF!,Comparación!B59,#REF!,Comparación!A59)</f>
        <v>#REF!</v>
      </c>
      <c r="X59" s="89">
        <v>17244</v>
      </c>
      <c r="Y59" s="90" t="e">
        <f t="shared" si="1"/>
        <v>#REF!</v>
      </c>
      <c r="Z59" s="91"/>
    </row>
    <row r="60" spans="1:27" x14ac:dyDescent="0.3">
      <c r="A60" s="10" t="s">
        <v>110</v>
      </c>
      <c r="B60" s="10" t="s">
        <v>68</v>
      </c>
      <c r="C60" s="10">
        <v>2023</v>
      </c>
      <c r="D60" s="4">
        <v>1684</v>
      </c>
      <c r="E60" s="2">
        <v>13.538859857482185</v>
      </c>
      <c r="F60" s="2">
        <v>13.27</v>
      </c>
      <c r="G60" s="2">
        <v>0.12885985748218529</v>
      </c>
      <c r="H60" s="2">
        <v>0.14000000000000001</v>
      </c>
      <c r="I60" s="3">
        <v>22805</v>
      </c>
      <c r="J60" s="11">
        <v>22351</v>
      </c>
      <c r="K60" s="11">
        <v>217</v>
      </c>
      <c r="L60" s="11">
        <v>237</v>
      </c>
      <c r="M60" s="2" t="s">
        <v>7</v>
      </c>
      <c r="N60" s="5">
        <v>2018</v>
      </c>
      <c r="O60" s="1" t="s">
        <v>12</v>
      </c>
      <c r="P60" s="1"/>
      <c r="Q60" s="1" t="s">
        <v>49</v>
      </c>
      <c r="R60" s="1" t="s">
        <v>9</v>
      </c>
      <c r="S60" s="39" t="s">
        <v>68</v>
      </c>
      <c r="T60" s="88" t="e">
        <f>SUMIFS(#REF!,#REF!,Comparación!B60,#REF!,Comparación!A60)</f>
        <v>#REF!</v>
      </c>
      <c r="U60" s="40">
        <v>13.54</v>
      </c>
      <c r="V60" s="40" t="e">
        <f t="shared" si="0"/>
        <v>#REF!</v>
      </c>
      <c r="W60" s="89" t="e">
        <f>SUMIFS(#REF!,#REF!,Comparación!B60,#REF!,Comparación!A60)</f>
        <v>#REF!</v>
      </c>
      <c r="X60" s="89">
        <v>22805</v>
      </c>
      <c r="Y60" s="90" t="e">
        <f t="shared" si="1"/>
        <v>#REF!</v>
      </c>
      <c r="Z60" s="91"/>
    </row>
    <row r="61" spans="1:27" x14ac:dyDescent="0.3">
      <c r="A61" s="10" t="s">
        <v>110</v>
      </c>
      <c r="B61" s="10" t="s">
        <v>69</v>
      </c>
      <c r="C61" s="10">
        <v>2023</v>
      </c>
      <c r="D61" s="4">
        <v>1684</v>
      </c>
      <c r="E61" s="2">
        <v>14.805914489311162</v>
      </c>
      <c r="F61" s="2">
        <v>14.54</v>
      </c>
      <c r="G61" s="2">
        <v>6.5914489311163893E-2</v>
      </c>
      <c r="H61" s="2">
        <v>0.2</v>
      </c>
      <c r="I61" s="3">
        <v>24934</v>
      </c>
      <c r="J61" s="11">
        <v>24478</v>
      </c>
      <c r="K61" s="11">
        <v>111</v>
      </c>
      <c r="L61" s="11">
        <v>345</v>
      </c>
      <c r="M61" s="2" t="s">
        <v>7</v>
      </c>
      <c r="N61" s="5">
        <v>2018</v>
      </c>
      <c r="O61" s="1" t="s">
        <v>12</v>
      </c>
      <c r="P61" s="1"/>
      <c r="Q61" s="1" t="s">
        <v>49</v>
      </c>
      <c r="R61" s="1" t="s">
        <v>9</v>
      </c>
      <c r="S61" s="39" t="s">
        <v>69</v>
      </c>
      <c r="T61" s="88" t="e">
        <f>SUMIFS(#REF!,#REF!,Comparación!B61,#REF!,Comparación!A61)</f>
        <v>#REF!</v>
      </c>
      <c r="U61" s="40">
        <v>14.81</v>
      </c>
      <c r="V61" s="40" t="e">
        <f t="shared" si="0"/>
        <v>#REF!</v>
      </c>
      <c r="W61" s="89" t="e">
        <f>SUMIFS(#REF!,#REF!,Comparación!B61,#REF!,Comparación!A61)</f>
        <v>#REF!</v>
      </c>
      <c r="X61" s="89">
        <v>24934</v>
      </c>
      <c r="Y61" s="90" t="e">
        <f t="shared" si="1"/>
        <v>#REF!</v>
      </c>
      <c r="Z61" s="91"/>
    </row>
    <row r="62" spans="1:27" x14ac:dyDescent="0.3">
      <c r="A62" s="10" t="s">
        <v>110</v>
      </c>
      <c r="B62" s="10" t="s">
        <v>70</v>
      </c>
      <c r="C62" s="10">
        <v>2023</v>
      </c>
      <c r="D62" s="4">
        <v>1262</v>
      </c>
      <c r="E62" s="2">
        <v>12.261236133122029</v>
      </c>
      <c r="F62" s="2">
        <v>11.89</v>
      </c>
      <c r="G62" s="2">
        <v>0.12123613312202852</v>
      </c>
      <c r="H62" s="2">
        <v>0.25</v>
      </c>
      <c r="I62" s="3">
        <v>15472</v>
      </c>
      <c r="J62" s="11">
        <v>15004</v>
      </c>
      <c r="K62" s="11">
        <v>153</v>
      </c>
      <c r="L62" s="11">
        <v>315</v>
      </c>
      <c r="M62" s="2" t="s">
        <v>7</v>
      </c>
      <c r="N62" s="5">
        <v>2018</v>
      </c>
      <c r="O62" s="1" t="s">
        <v>12</v>
      </c>
      <c r="P62" s="1"/>
      <c r="Q62" s="1" t="s">
        <v>49</v>
      </c>
      <c r="R62" s="1" t="s">
        <v>9</v>
      </c>
      <c r="S62" s="39" t="s">
        <v>70</v>
      </c>
      <c r="T62" s="88" t="e">
        <f>SUMIFS(#REF!,#REF!,Comparación!B62,#REF!,Comparación!A62)</f>
        <v>#REF!</v>
      </c>
      <c r="U62" s="40">
        <v>12.26</v>
      </c>
      <c r="V62" s="40" t="e">
        <f t="shared" si="0"/>
        <v>#REF!</v>
      </c>
      <c r="W62" s="89" t="e">
        <f>SUMIFS(#REF!,#REF!,Comparación!B62,#REF!,Comparación!A62)</f>
        <v>#REF!</v>
      </c>
      <c r="X62" s="89">
        <v>15472</v>
      </c>
      <c r="Y62" s="90" t="e">
        <f t="shared" si="1"/>
        <v>#REF!</v>
      </c>
      <c r="Z62" s="91"/>
    </row>
    <row r="63" spans="1:27" x14ac:dyDescent="0.3">
      <c r="A63" s="10" t="s">
        <v>110</v>
      </c>
      <c r="B63" s="10" t="s">
        <v>71</v>
      </c>
      <c r="C63" s="10">
        <v>2023</v>
      </c>
      <c r="D63" s="4">
        <v>1780.2</v>
      </c>
      <c r="E63" s="2">
        <v>15</v>
      </c>
      <c r="F63" s="2">
        <v>14.81</v>
      </c>
      <c r="G63" s="2">
        <v>0</v>
      </c>
      <c r="H63" s="2">
        <v>0.19</v>
      </c>
      <c r="I63" s="3">
        <v>26703</v>
      </c>
      <c r="J63" s="11">
        <v>26364</v>
      </c>
      <c r="K63" s="11"/>
      <c r="L63" s="11">
        <v>339</v>
      </c>
      <c r="M63" s="2" t="s">
        <v>7</v>
      </c>
      <c r="N63" s="5">
        <v>2020</v>
      </c>
      <c r="O63" s="1" t="s">
        <v>12</v>
      </c>
      <c r="P63" s="1" t="s">
        <v>178</v>
      </c>
      <c r="Q63" s="1" t="s">
        <v>46</v>
      </c>
      <c r="R63" s="1" t="s">
        <v>9</v>
      </c>
      <c r="S63" s="94" t="s">
        <v>71</v>
      </c>
      <c r="T63" s="88" t="e">
        <f>SUMIFS(#REF!,#REF!,Comparación!B63,#REF!,Comparación!A63)</f>
        <v>#REF!</v>
      </c>
      <c r="U63" s="40">
        <v>15</v>
      </c>
      <c r="V63" s="40" t="e">
        <f t="shared" si="0"/>
        <v>#REF!</v>
      </c>
      <c r="W63" s="89" t="e">
        <f>SUMIFS(#REF!,#REF!,Comparación!B63,#REF!,Comparación!A63)</f>
        <v>#REF!</v>
      </c>
      <c r="X63" s="89">
        <v>26703</v>
      </c>
      <c r="Y63" s="90" t="e">
        <f t="shared" si="1"/>
        <v>#REF!</v>
      </c>
      <c r="Z63" s="91"/>
    </row>
    <row r="64" spans="1:27" x14ac:dyDescent="0.3">
      <c r="A64" s="10" t="s">
        <v>110</v>
      </c>
      <c r="B64" s="10" t="s">
        <v>72</v>
      </c>
      <c r="C64" s="10">
        <v>2023</v>
      </c>
      <c r="D64" s="4">
        <v>1780.2</v>
      </c>
      <c r="E64" s="2">
        <v>14.99</v>
      </c>
      <c r="F64" s="2">
        <v>14.81</v>
      </c>
      <c r="G64" s="2">
        <v>0</v>
      </c>
      <c r="H64" s="2">
        <v>0.18</v>
      </c>
      <c r="I64" s="3">
        <v>26688</v>
      </c>
      <c r="J64" s="11">
        <v>26368</v>
      </c>
      <c r="K64" s="11"/>
      <c r="L64" s="11">
        <v>320</v>
      </c>
      <c r="M64" s="2" t="s">
        <v>7</v>
      </c>
      <c r="N64" s="5">
        <v>2020</v>
      </c>
      <c r="O64" s="1" t="s">
        <v>12</v>
      </c>
      <c r="P64" s="1" t="s">
        <v>174</v>
      </c>
      <c r="Q64" s="1" t="s">
        <v>46</v>
      </c>
      <c r="R64" s="1" t="s">
        <v>9</v>
      </c>
      <c r="S64" s="94" t="s">
        <v>72</v>
      </c>
      <c r="T64" s="88" t="e">
        <f>SUMIFS(#REF!,#REF!,Comparación!B64,#REF!,Comparación!A64)</f>
        <v>#REF!</v>
      </c>
      <c r="U64" s="40">
        <v>14.99</v>
      </c>
      <c r="V64" s="40" t="e">
        <f t="shared" si="0"/>
        <v>#REF!</v>
      </c>
      <c r="W64" s="89" t="e">
        <f>SUMIFS(#REF!,#REF!,Comparación!B64,#REF!,Comparación!A64)</f>
        <v>#REF!</v>
      </c>
      <c r="X64" s="89">
        <v>26688</v>
      </c>
      <c r="Y64" s="90" t="e">
        <f t="shared" si="1"/>
        <v>#REF!</v>
      </c>
      <c r="Z64" s="91"/>
    </row>
    <row r="65" spans="1:26" x14ac:dyDescent="0.3">
      <c r="A65" s="10" t="s">
        <v>110</v>
      </c>
      <c r="B65" s="10" t="s">
        <v>73</v>
      </c>
      <c r="C65" s="10">
        <v>2023</v>
      </c>
      <c r="D65" s="4">
        <v>1779.3333333333333</v>
      </c>
      <c r="E65" s="2">
        <v>14.988823529411764</v>
      </c>
      <c r="F65" s="2">
        <v>13.54</v>
      </c>
      <c r="G65" s="2">
        <v>1.0588235294117647</v>
      </c>
      <c r="H65" s="2">
        <v>0.39</v>
      </c>
      <c r="I65" s="3">
        <v>26690</v>
      </c>
      <c r="J65" s="11">
        <v>24106</v>
      </c>
      <c r="K65" s="11">
        <v>1884</v>
      </c>
      <c r="L65" s="11">
        <v>700</v>
      </c>
      <c r="M65" s="2" t="s">
        <v>7</v>
      </c>
      <c r="N65" s="5">
        <v>2020</v>
      </c>
      <c r="O65" s="1" t="s">
        <v>12</v>
      </c>
      <c r="P65" s="1" t="s">
        <v>177</v>
      </c>
      <c r="Q65" s="1" t="s">
        <v>46</v>
      </c>
      <c r="R65" s="1" t="s">
        <v>9</v>
      </c>
      <c r="S65" s="94" t="s">
        <v>73</v>
      </c>
      <c r="T65" s="88" t="e">
        <f>SUMIFS(#REF!,#REF!,Comparación!B65,#REF!,Comparación!A65)</f>
        <v>#REF!</v>
      </c>
      <c r="U65" s="40">
        <v>14.99</v>
      </c>
      <c r="V65" s="40" t="e">
        <f t="shared" si="0"/>
        <v>#REF!</v>
      </c>
      <c r="W65" s="89" t="e">
        <f>SUMIFS(#REF!,#REF!,Comparación!B65,#REF!,Comparación!A65)</f>
        <v>#REF!</v>
      </c>
      <c r="X65" s="89">
        <v>26690</v>
      </c>
      <c r="Y65" s="90" t="e">
        <f t="shared" si="1"/>
        <v>#REF!</v>
      </c>
      <c r="Z65" s="91"/>
    </row>
    <row r="66" spans="1:26" x14ac:dyDescent="0.3">
      <c r="A66" s="10" t="s">
        <v>110</v>
      </c>
      <c r="B66" s="10" t="s">
        <v>74</v>
      </c>
      <c r="C66" s="10">
        <v>2023</v>
      </c>
      <c r="D66" s="8">
        <v>1894</v>
      </c>
      <c r="E66" s="2">
        <v>14.970200633579726</v>
      </c>
      <c r="F66" s="2">
        <v>14.05</v>
      </c>
      <c r="G66" s="2">
        <v>0.73020063357972542</v>
      </c>
      <c r="H66" s="2">
        <v>0.19</v>
      </c>
      <c r="I66" s="3">
        <v>28343</v>
      </c>
      <c r="J66" s="11">
        <v>26609</v>
      </c>
      <c r="K66" s="11">
        <v>1383</v>
      </c>
      <c r="L66" s="11">
        <v>351</v>
      </c>
      <c r="M66" s="2" t="s">
        <v>7</v>
      </c>
      <c r="N66" s="5">
        <v>2021</v>
      </c>
      <c r="O66" s="1" t="s">
        <v>12</v>
      </c>
      <c r="P66" s="1"/>
      <c r="Q66" s="1" t="s">
        <v>49</v>
      </c>
      <c r="R66" s="1" t="s">
        <v>9</v>
      </c>
      <c r="S66" s="39" t="s">
        <v>74</v>
      </c>
      <c r="T66" s="88" t="e">
        <f>SUMIFS(#REF!,#REF!,Comparación!B66,#REF!,Comparación!A66)</f>
        <v>#REF!</v>
      </c>
      <c r="U66" s="92">
        <v>14.96</v>
      </c>
      <c r="V66" s="40" t="e">
        <f t="shared" si="0"/>
        <v>#REF!</v>
      </c>
      <c r="W66" s="89" t="e">
        <f>SUMIFS(#REF!,#REF!,Comparación!B66,#REF!,Comparación!A66)</f>
        <v>#REF!</v>
      </c>
      <c r="X66" s="89">
        <v>28343</v>
      </c>
      <c r="Y66" s="90" t="e">
        <f t="shared" si="1"/>
        <v>#REF!</v>
      </c>
      <c r="Z66" s="91"/>
    </row>
    <row r="67" spans="1:26" x14ac:dyDescent="0.3">
      <c r="A67" s="10" t="s">
        <v>110</v>
      </c>
      <c r="B67" s="10" t="s">
        <v>75</v>
      </c>
      <c r="C67" s="10">
        <v>2023</v>
      </c>
      <c r="D67" s="8">
        <v>1894</v>
      </c>
      <c r="E67" s="2">
        <v>4.3561562829989446</v>
      </c>
      <c r="F67" s="2">
        <v>4.17</v>
      </c>
      <c r="G67" s="2">
        <v>0.11615628299894404</v>
      </c>
      <c r="H67" s="2">
        <v>7.0000000000000007E-2</v>
      </c>
      <c r="I67" s="3">
        <v>8256</v>
      </c>
      <c r="J67" s="11">
        <v>7897</v>
      </c>
      <c r="K67" s="11">
        <v>220</v>
      </c>
      <c r="L67" s="11">
        <v>139</v>
      </c>
      <c r="M67" s="2" t="s">
        <v>7</v>
      </c>
      <c r="N67" s="5">
        <v>2021</v>
      </c>
      <c r="O67" s="1" t="s">
        <v>12</v>
      </c>
      <c r="P67" s="1"/>
      <c r="Q67" s="1" t="s">
        <v>49</v>
      </c>
      <c r="R67" s="1" t="s">
        <v>9</v>
      </c>
      <c r="S67" s="39" t="s">
        <v>75</v>
      </c>
      <c r="T67" s="88" t="e">
        <f>SUMIFS(#REF!,#REF!,Comparación!B67,#REF!,Comparación!A67)</f>
        <v>#REF!</v>
      </c>
      <c r="U67" s="92">
        <v>4.3600000000000003</v>
      </c>
      <c r="V67" s="40" t="e">
        <f t="shared" ref="V67:V77" si="2">T67-U67</f>
        <v>#REF!</v>
      </c>
      <c r="W67" s="89" t="e">
        <f>SUMIFS(#REF!,#REF!,Comparación!B67,#REF!,Comparación!A67)</f>
        <v>#REF!</v>
      </c>
      <c r="X67" s="89">
        <v>8256</v>
      </c>
      <c r="Y67" s="90" t="e">
        <f t="shared" ref="Y67:Y77" si="3">W67-X67</f>
        <v>#REF!</v>
      </c>
      <c r="Z67" s="91"/>
    </row>
    <row r="68" spans="1:26" x14ac:dyDescent="0.3">
      <c r="A68" s="10" t="s">
        <v>110</v>
      </c>
      <c r="B68" s="10" t="s">
        <v>76</v>
      </c>
      <c r="C68" s="10">
        <v>2023</v>
      </c>
      <c r="D68" s="8">
        <v>1894</v>
      </c>
      <c r="E68" s="2">
        <v>7.8544561774023238</v>
      </c>
      <c r="F68" s="2">
        <v>7.57</v>
      </c>
      <c r="G68" s="2">
        <v>0.24445617740232312</v>
      </c>
      <c r="H68" s="2">
        <v>0.04</v>
      </c>
      <c r="I68" s="3">
        <v>14869</v>
      </c>
      <c r="J68" s="11">
        <v>14333</v>
      </c>
      <c r="K68" s="11">
        <v>463</v>
      </c>
      <c r="L68" s="11">
        <v>73</v>
      </c>
      <c r="M68" s="2" t="s">
        <v>7</v>
      </c>
      <c r="N68" s="5">
        <v>2021</v>
      </c>
      <c r="O68" s="1" t="s">
        <v>12</v>
      </c>
      <c r="P68" s="1"/>
      <c r="Q68" s="1" t="s">
        <v>49</v>
      </c>
      <c r="R68" s="1" t="s">
        <v>9</v>
      </c>
      <c r="S68" s="39" t="s">
        <v>76</v>
      </c>
      <c r="T68" s="88" t="e">
        <f>SUMIFS(#REF!,#REF!,Comparación!B68,#REF!,Comparación!A68)</f>
        <v>#REF!</v>
      </c>
      <c r="U68" s="92">
        <v>7.85</v>
      </c>
      <c r="V68" s="40" t="e">
        <f t="shared" si="2"/>
        <v>#REF!</v>
      </c>
      <c r="W68" s="89" t="e">
        <f>SUMIFS(#REF!,#REF!,Comparación!B68,#REF!,Comparación!A68)</f>
        <v>#REF!</v>
      </c>
      <c r="X68" s="89">
        <v>14869</v>
      </c>
      <c r="Y68" s="90" t="e">
        <f t="shared" si="3"/>
        <v>#REF!</v>
      </c>
      <c r="Z68" s="91"/>
    </row>
    <row r="69" spans="1:26" x14ac:dyDescent="0.3">
      <c r="A69" s="10" t="s">
        <v>110</v>
      </c>
      <c r="B69" s="10" t="s">
        <v>77</v>
      </c>
      <c r="C69" s="10">
        <v>2023</v>
      </c>
      <c r="D69" s="8">
        <v>1905</v>
      </c>
      <c r="E69" s="2">
        <v>13.086640419947505</v>
      </c>
      <c r="F69" s="2">
        <v>11.76</v>
      </c>
      <c r="G69" s="2">
        <v>0.87664041994750652</v>
      </c>
      <c r="H69" s="2">
        <v>0.45</v>
      </c>
      <c r="I69" s="3">
        <v>24926</v>
      </c>
      <c r="J69" s="11">
        <v>22407</v>
      </c>
      <c r="K69" s="11">
        <v>1670</v>
      </c>
      <c r="L69" s="11">
        <v>849</v>
      </c>
      <c r="M69" s="2" t="s">
        <v>7</v>
      </c>
      <c r="N69" s="5">
        <v>2021</v>
      </c>
      <c r="O69" s="1" t="s">
        <v>12</v>
      </c>
      <c r="P69" s="1"/>
      <c r="Q69" s="1" t="s">
        <v>49</v>
      </c>
      <c r="R69" s="1" t="s">
        <v>9</v>
      </c>
      <c r="S69" s="39" t="s">
        <v>77</v>
      </c>
      <c r="T69" s="88" t="e">
        <f>SUMIFS(#REF!,#REF!,Comparación!B69,#REF!,Comparación!A69)</f>
        <v>#REF!</v>
      </c>
      <c r="U69" s="92">
        <v>13.08</v>
      </c>
      <c r="V69" s="40" t="e">
        <f t="shared" si="2"/>
        <v>#REF!</v>
      </c>
      <c r="W69" s="89" t="e">
        <f>SUMIFS(#REF!,#REF!,Comparación!B69,#REF!,Comparación!A69)</f>
        <v>#REF!</v>
      </c>
      <c r="X69" s="89">
        <v>24926</v>
      </c>
      <c r="Y69" s="90" t="e">
        <f t="shared" si="3"/>
        <v>#REF!</v>
      </c>
      <c r="Z69" s="91"/>
    </row>
    <row r="70" spans="1:26" x14ac:dyDescent="0.3">
      <c r="A70" s="10" t="s">
        <v>112</v>
      </c>
      <c r="B70" s="10" t="s">
        <v>81</v>
      </c>
      <c r="C70" s="10">
        <v>2023</v>
      </c>
      <c r="D70" s="4">
        <v>1780</v>
      </c>
      <c r="E70" s="2">
        <v>14.767303370786516</v>
      </c>
      <c r="F70" s="2">
        <v>14.51</v>
      </c>
      <c r="G70" s="2">
        <v>0.25730337078651683</v>
      </c>
      <c r="H70" s="2">
        <v>0</v>
      </c>
      <c r="I70" s="3">
        <v>26289</v>
      </c>
      <c r="J70" s="2">
        <v>25831</v>
      </c>
      <c r="K70" s="2">
        <v>458</v>
      </c>
      <c r="L70" s="2"/>
      <c r="M70" s="2" t="s">
        <v>7</v>
      </c>
      <c r="N70" s="5">
        <v>2020</v>
      </c>
      <c r="O70" s="1" t="s">
        <v>12</v>
      </c>
      <c r="P70" s="1" t="s">
        <v>176</v>
      </c>
      <c r="Q70" s="1" t="s">
        <v>46</v>
      </c>
      <c r="R70" s="1" t="s">
        <v>9</v>
      </c>
      <c r="S70" s="39" t="s">
        <v>81</v>
      </c>
      <c r="T70" s="88" t="e">
        <f>SUMIFS(#REF!,#REF!,Comparación!B70,#REF!,Comparación!A70)</f>
        <v>#REF!</v>
      </c>
      <c r="U70" s="91">
        <v>14.77</v>
      </c>
      <c r="V70" s="40" t="e">
        <f t="shared" si="2"/>
        <v>#REF!</v>
      </c>
      <c r="W70" s="89" t="e">
        <f>SUMIFS(#REF!,#REF!,Comparación!B70,#REF!,Comparación!A70)</f>
        <v>#REF!</v>
      </c>
      <c r="X70" s="89">
        <v>26289</v>
      </c>
      <c r="Y70" s="90" t="e">
        <f t="shared" si="3"/>
        <v>#REF!</v>
      </c>
      <c r="Z70" s="91"/>
    </row>
    <row r="71" spans="1:26" x14ac:dyDescent="0.3">
      <c r="A71" s="10" t="s">
        <v>112</v>
      </c>
      <c r="B71" s="10" t="s">
        <v>82</v>
      </c>
      <c r="C71" s="10">
        <v>2023</v>
      </c>
      <c r="D71" s="4">
        <v>1780</v>
      </c>
      <c r="E71" s="2">
        <v>14.750224719101123</v>
      </c>
      <c r="F71" s="2">
        <v>14.53</v>
      </c>
      <c r="G71" s="2">
        <v>0.22022471910112359</v>
      </c>
      <c r="H71" s="2">
        <v>0</v>
      </c>
      <c r="I71" s="3">
        <v>26257</v>
      </c>
      <c r="J71" s="2">
        <v>25867</v>
      </c>
      <c r="K71" s="2">
        <v>392</v>
      </c>
      <c r="L71" s="2"/>
      <c r="M71" s="2" t="s">
        <v>7</v>
      </c>
      <c r="N71" s="5">
        <v>2020</v>
      </c>
      <c r="O71" s="1" t="s">
        <v>12</v>
      </c>
      <c r="P71" s="1" t="s">
        <v>179</v>
      </c>
      <c r="Q71" s="1" t="s">
        <v>46</v>
      </c>
      <c r="R71" s="1" t="s">
        <v>9</v>
      </c>
      <c r="S71" s="39" t="s">
        <v>82</v>
      </c>
      <c r="T71" s="88" t="e">
        <f>SUMIFS(#REF!,#REF!,Comparación!B71,#REF!,Comparación!A71)</f>
        <v>#REF!</v>
      </c>
      <c r="U71" s="91">
        <v>14.77</v>
      </c>
      <c r="V71" s="40" t="e">
        <f t="shared" si="2"/>
        <v>#REF!</v>
      </c>
      <c r="W71" s="89" t="e">
        <f>SUMIFS(#REF!,#REF!,Comparación!B71,#REF!,Comparación!A71)</f>
        <v>#REF!</v>
      </c>
      <c r="X71" s="89">
        <v>26289</v>
      </c>
      <c r="Y71" s="90" t="e">
        <f t="shared" si="3"/>
        <v>#REF!</v>
      </c>
      <c r="Z71" s="91" t="s">
        <v>229</v>
      </c>
    </row>
    <row r="72" spans="1:26" x14ac:dyDescent="0.3">
      <c r="A72" s="10" t="s">
        <v>112</v>
      </c>
      <c r="B72" s="10" t="s">
        <v>51</v>
      </c>
      <c r="C72" s="10">
        <v>2023</v>
      </c>
      <c r="D72" s="4">
        <v>1780</v>
      </c>
      <c r="E72" s="2">
        <v>7.2995505617977532</v>
      </c>
      <c r="F72" s="2">
        <v>6.74</v>
      </c>
      <c r="G72" s="2">
        <v>0.55955056179775275</v>
      </c>
      <c r="H72" s="2">
        <v>0</v>
      </c>
      <c r="I72" s="3">
        <v>12999</v>
      </c>
      <c r="J72" s="2">
        <v>12003</v>
      </c>
      <c r="K72" s="2">
        <v>996</v>
      </c>
      <c r="L72" s="2"/>
      <c r="M72" s="2" t="s">
        <v>7</v>
      </c>
      <c r="N72" s="5">
        <v>2021</v>
      </c>
      <c r="O72" s="1" t="s">
        <v>12</v>
      </c>
      <c r="P72" s="1" t="s">
        <v>175</v>
      </c>
      <c r="Q72" s="1" t="s">
        <v>46</v>
      </c>
      <c r="R72" s="1" t="s">
        <v>9</v>
      </c>
      <c r="S72" s="39" t="s">
        <v>51</v>
      </c>
      <c r="T72" s="88" t="e">
        <f>SUMIFS(#REF!,#REF!,Comparación!B72,#REF!,Comparación!A72)</f>
        <v>#REF!</v>
      </c>
      <c r="U72" s="91">
        <v>7.3</v>
      </c>
      <c r="V72" s="40" t="e">
        <f t="shared" si="2"/>
        <v>#REF!</v>
      </c>
      <c r="W72" s="89" t="e">
        <f>SUMIFS(#REF!,#REF!,Comparación!B72,#REF!,Comparación!A72)</f>
        <v>#REF!</v>
      </c>
      <c r="X72" s="89">
        <v>12999</v>
      </c>
      <c r="Y72" s="90" t="e">
        <f t="shared" si="3"/>
        <v>#REF!</v>
      </c>
      <c r="Z72" s="91"/>
    </row>
    <row r="73" spans="1:26" x14ac:dyDescent="0.3">
      <c r="A73" s="10" t="s">
        <v>112</v>
      </c>
      <c r="B73" s="10" t="s">
        <v>83</v>
      </c>
      <c r="C73" s="10">
        <v>2023</v>
      </c>
      <c r="D73" s="4">
        <v>1632</v>
      </c>
      <c r="E73" s="2">
        <v>11.598651960784315</v>
      </c>
      <c r="F73" s="2">
        <v>11.527573529411764</v>
      </c>
      <c r="G73" s="2">
        <v>0</v>
      </c>
      <c r="H73" s="2">
        <v>7.1078431372549017E-2</v>
      </c>
      <c r="I73" s="3">
        <v>18929</v>
      </c>
      <c r="J73" s="6">
        <v>18813</v>
      </c>
      <c r="K73" s="2">
        <v>0</v>
      </c>
      <c r="L73" s="6">
        <v>116</v>
      </c>
      <c r="M73" s="2" t="s">
        <v>7</v>
      </c>
      <c r="N73" s="5">
        <v>2016</v>
      </c>
      <c r="O73" s="1" t="s">
        <v>12</v>
      </c>
      <c r="P73" s="1" t="s">
        <v>182</v>
      </c>
      <c r="Q73" s="1" t="s">
        <v>134</v>
      </c>
      <c r="R73" s="1" t="s">
        <v>27</v>
      </c>
      <c r="S73" s="39" t="s">
        <v>83</v>
      </c>
      <c r="T73" s="88" t="e">
        <f>SUMIFS(#REF!,#REF!,Comparación!B73,#REF!,Comparación!A73)</f>
        <v>#REF!</v>
      </c>
      <c r="U73" s="91">
        <v>11.6</v>
      </c>
      <c r="V73" s="40" t="e">
        <f t="shared" si="2"/>
        <v>#REF!</v>
      </c>
      <c r="W73" s="89" t="e">
        <f>SUMIFS(#REF!,#REF!,Comparación!B73,#REF!,Comparación!A73)</f>
        <v>#REF!</v>
      </c>
      <c r="X73" s="89">
        <v>18922</v>
      </c>
      <c r="Y73" s="90" t="e">
        <f t="shared" si="3"/>
        <v>#REF!</v>
      </c>
      <c r="Z73" s="91"/>
    </row>
    <row r="74" spans="1:26" x14ac:dyDescent="0.3">
      <c r="A74" s="10" t="s">
        <v>112</v>
      </c>
      <c r="B74" s="10" t="s">
        <v>84</v>
      </c>
      <c r="C74" s="10">
        <v>2023</v>
      </c>
      <c r="D74" s="4">
        <v>1632</v>
      </c>
      <c r="E74" s="2">
        <v>15.235294117647058</v>
      </c>
      <c r="F74" s="2">
        <v>15.034926470588236</v>
      </c>
      <c r="G74" s="2">
        <v>0</v>
      </c>
      <c r="H74" s="2">
        <v>0.20036764705882354</v>
      </c>
      <c r="I74" s="3">
        <v>24864</v>
      </c>
      <c r="J74" s="6">
        <v>24537</v>
      </c>
      <c r="K74" s="2">
        <v>0</v>
      </c>
      <c r="L74" s="6">
        <v>327</v>
      </c>
      <c r="M74" s="2" t="s">
        <v>7</v>
      </c>
      <c r="N74" s="5">
        <v>2016</v>
      </c>
      <c r="O74" s="1" t="s">
        <v>12</v>
      </c>
      <c r="P74" s="1" t="s">
        <v>182</v>
      </c>
      <c r="Q74" s="1" t="s">
        <v>134</v>
      </c>
      <c r="R74" s="1" t="s">
        <v>27</v>
      </c>
      <c r="S74" s="39" t="s">
        <v>84</v>
      </c>
      <c r="T74" s="88" t="e">
        <f>SUMIFS(#REF!,#REF!,Comparación!B74,#REF!,Comparación!A74)</f>
        <v>#REF!</v>
      </c>
      <c r="U74" s="91">
        <v>15.24</v>
      </c>
      <c r="V74" s="40" t="e">
        <f t="shared" si="2"/>
        <v>#REF!</v>
      </c>
      <c r="W74" s="89" t="e">
        <f>SUMIFS(#REF!,#REF!,Comparación!B74,#REF!,Comparación!A74)</f>
        <v>#REF!</v>
      </c>
      <c r="X74" s="89">
        <v>24864</v>
      </c>
      <c r="Y74" s="90" t="e">
        <f t="shared" si="3"/>
        <v>#REF!</v>
      </c>
      <c r="Z74" s="91"/>
    </row>
    <row r="75" spans="1:26" x14ac:dyDescent="0.3">
      <c r="A75" s="10" t="s">
        <v>112</v>
      </c>
      <c r="B75" s="10" t="s">
        <v>85</v>
      </c>
      <c r="C75" s="10">
        <v>2023</v>
      </c>
      <c r="D75" s="4">
        <v>1632</v>
      </c>
      <c r="E75" s="2">
        <v>15.167279411764707</v>
      </c>
      <c r="F75" s="2">
        <v>14.890318627450981</v>
      </c>
      <c r="G75" s="2">
        <v>0</v>
      </c>
      <c r="H75" s="2">
        <v>0.27696078431372551</v>
      </c>
      <c r="I75" s="3">
        <v>24753</v>
      </c>
      <c r="J75" s="6">
        <v>24301</v>
      </c>
      <c r="K75" s="2">
        <v>0</v>
      </c>
      <c r="L75" s="6">
        <v>452</v>
      </c>
      <c r="M75" s="2" t="s">
        <v>7</v>
      </c>
      <c r="N75" s="5">
        <v>2016</v>
      </c>
      <c r="O75" s="1" t="s">
        <v>12</v>
      </c>
      <c r="P75" s="1" t="s">
        <v>183</v>
      </c>
      <c r="Q75" s="1" t="s">
        <v>134</v>
      </c>
      <c r="R75" s="1" t="s">
        <v>27</v>
      </c>
      <c r="S75" s="39" t="s">
        <v>85</v>
      </c>
      <c r="T75" s="88" t="e">
        <f>SUMIFS(#REF!,#REF!,Comparación!B75,#REF!,Comparación!A75)</f>
        <v>#REF!</v>
      </c>
      <c r="U75" s="91">
        <v>15.17</v>
      </c>
      <c r="V75" s="40" t="e">
        <f t="shared" si="2"/>
        <v>#REF!</v>
      </c>
      <c r="W75" s="89" t="e">
        <f>SUMIFS(#REF!,#REF!,Comparación!B75,#REF!,Comparación!A75)</f>
        <v>#REF!</v>
      </c>
      <c r="X75" s="89">
        <v>24753</v>
      </c>
      <c r="Y75" s="90" t="e">
        <f t="shared" si="3"/>
        <v>#REF!</v>
      </c>
      <c r="Z75" s="91"/>
    </row>
    <row r="76" spans="1:26" x14ac:dyDescent="0.3">
      <c r="A76" s="10" t="s">
        <v>112</v>
      </c>
      <c r="B76" s="10" t="s">
        <v>86</v>
      </c>
      <c r="C76" s="10">
        <v>2023</v>
      </c>
      <c r="D76" s="4">
        <v>1632</v>
      </c>
      <c r="E76" s="2">
        <v>13.748774509803921</v>
      </c>
      <c r="F76" s="2">
        <v>13.647671568627452</v>
      </c>
      <c r="G76" s="2">
        <v>0</v>
      </c>
      <c r="H76" s="2">
        <v>0.1</v>
      </c>
      <c r="I76" s="3">
        <v>22438</v>
      </c>
      <c r="J76" s="6">
        <v>22273</v>
      </c>
      <c r="K76" s="6">
        <v>0</v>
      </c>
      <c r="L76" s="6">
        <v>165</v>
      </c>
      <c r="M76" s="2" t="s">
        <v>7</v>
      </c>
      <c r="N76" s="5">
        <v>2016</v>
      </c>
      <c r="O76" s="1" t="s">
        <v>12</v>
      </c>
      <c r="P76" s="1" t="s">
        <v>183</v>
      </c>
      <c r="Q76" s="1" t="s">
        <v>134</v>
      </c>
      <c r="R76" s="1" t="s">
        <v>27</v>
      </c>
      <c r="S76" s="39" t="s">
        <v>86</v>
      </c>
      <c r="T76" s="88" t="e">
        <f>SUMIFS(#REF!,#REF!,Comparación!B76,#REF!,Comparación!A76)</f>
        <v>#REF!</v>
      </c>
      <c r="U76" s="91">
        <v>13.7</v>
      </c>
      <c r="V76" s="40" t="e">
        <f t="shared" si="2"/>
        <v>#REF!</v>
      </c>
      <c r="W76" s="89" t="e">
        <f>SUMIFS(#REF!,#REF!,Comparación!B76,#REF!,Comparación!A76)</f>
        <v>#REF!</v>
      </c>
      <c r="X76" s="89">
        <v>22360</v>
      </c>
      <c r="Y76" s="90" t="e">
        <f t="shared" si="3"/>
        <v>#REF!</v>
      </c>
      <c r="Z76" s="91"/>
    </row>
    <row r="77" spans="1:26" x14ac:dyDescent="0.3">
      <c r="A77" s="10" t="s">
        <v>112</v>
      </c>
      <c r="B77" s="10" t="s">
        <v>87</v>
      </c>
      <c r="C77" s="10">
        <v>2023</v>
      </c>
      <c r="D77" s="4">
        <v>1587</v>
      </c>
      <c r="E77" s="2">
        <v>6.3957151858853178</v>
      </c>
      <c r="F77" s="2">
        <v>6.3616887208569626</v>
      </c>
      <c r="G77" s="2">
        <v>0</v>
      </c>
      <c r="H77" s="2">
        <v>3.4026465028355386E-2</v>
      </c>
      <c r="I77" s="3">
        <v>10150</v>
      </c>
      <c r="J77" s="6">
        <v>10096</v>
      </c>
      <c r="K77" s="6">
        <v>0</v>
      </c>
      <c r="L77" s="6">
        <v>54</v>
      </c>
      <c r="M77" s="2" t="s">
        <v>7</v>
      </c>
      <c r="N77" s="5">
        <v>2019</v>
      </c>
      <c r="O77" s="1" t="s">
        <v>12</v>
      </c>
      <c r="P77" s="1" t="s">
        <v>184</v>
      </c>
      <c r="Q77" s="1" t="s">
        <v>134</v>
      </c>
      <c r="R77" s="1" t="s">
        <v>27</v>
      </c>
      <c r="S77" s="39" t="s">
        <v>87</v>
      </c>
      <c r="T77" s="88" t="e">
        <f>SUMIFS(#REF!,#REF!,Comparación!B77,#REF!,Comparación!A77)</f>
        <v>#REF!</v>
      </c>
      <c r="U77" s="91">
        <v>6.4</v>
      </c>
      <c r="V77" s="40" t="e">
        <f t="shared" si="2"/>
        <v>#REF!</v>
      </c>
      <c r="W77" s="89" t="e">
        <f>SUMIFS(#REF!,#REF!,Comparación!B77,#REF!,Comparación!A77)</f>
        <v>#REF!</v>
      </c>
      <c r="X77" s="89">
        <v>10150</v>
      </c>
      <c r="Y77" s="90" t="e">
        <f t="shared" si="3"/>
        <v>#REF!</v>
      </c>
      <c r="Z77" s="91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Hoja36"/>
  <dimension ref="A1:B17"/>
  <sheetViews>
    <sheetView workbookViewId="0"/>
  </sheetViews>
  <sheetFormatPr baseColWidth="10" defaultRowHeight="14.4" x14ac:dyDescent="0.3"/>
  <sheetData>
    <row r="1" spans="1:2" x14ac:dyDescent="0.3">
      <c r="A1" s="19" t="s">
        <v>145</v>
      </c>
      <c r="B1" s="20">
        <v>2023</v>
      </c>
    </row>
    <row r="2" spans="1:2" x14ac:dyDescent="0.3">
      <c r="A2" s="19" t="s">
        <v>1</v>
      </c>
      <c r="B2" t="s">
        <v>7</v>
      </c>
    </row>
    <row r="4" spans="1:2" x14ac:dyDescent="0.3">
      <c r="A4" s="19" t="s">
        <v>138</v>
      </c>
      <c r="B4" s="19" t="s">
        <v>5</v>
      </c>
    </row>
    <row r="5" spans="1:2" x14ac:dyDescent="0.3">
      <c r="A5" s="20" t="s">
        <v>52</v>
      </c>
      <c r="B5" s="20" t="s">
        <v>53</v>
      </c>
    </row>
    <row r="6" spans="1:2" x14ac:dyDescent="0.3">
      <c r="A6" s="20" t="s">
        <v>54</v>
      </c>
      <c r="B6" s="20" t="s">
        <v>53</v>
      </c>
    </row>
    <row r="7" spans="1:2" x14ac:dyDescent="0.3">
      <c r="A7" s="20" t="s">
        <v>55</v>
      </c>
      <c r="B7" s="20" t="s">
        <v>53</v>
      </c>
    </row>
    <row r="8" spans="1:2" x14ac:dyDescent="0.3">
      <c r="A8" s="20" t="s">
        <v>56</v>
      </c>
      <c r="B8" s="20" t="s">
        <v>53</v>
      </c>
    </row>
    <row r="9" spans="1:2" x14ac:dyDescent="0.3">
      <c r="A9" s="20" t="s">
        <v>57</v>
      </c>
      <c r="B9" s="20" t="s">
        <v>53</v>
      </c>
    </row>
    <row r="10" spans="1:2" x14ac:dyDescent="0.3">
      <c r="A10" s="20" t="s">
        <v>58</v>
      </c>
      <c r="B10" s="20" t="s">
        <v>53</v>
      </c>
    </row>
    <row r="11" spans="1:2" x14ac:dyDescent="0.3">
      <c r="A11" s="20" t="s">
        <v>90</v>
      </c>
      <c r="B11" s="20" t="s">
        <v>53</v>
      </c>
    </row>
    <row r="12" spans="1:2" x14ac:dyDescent="0.3">
      <c r="A12" s="20" t="s">
        <v>92</v>
      </c>
      <c r="B12" s="20" t="s">
        <v>53</v>
      </c>
    </row>
    <row r="13" spans="1:2" x14ac:dyDescent="0.3">
      <c r="A13" s="20" t="s">
        <v>80</v>
      </c>
      <c r="B13" s="20" t="s">
        <v>53</v>
      </c>
    </row>
    <row r="14" spans="1:2" x14ac:dyDescent="0.3">
      <c r="A14" s="20" t="s">
        <v>130</v>
      </c>
      <c r="B14" s="20" t="s">
        <v>53</v>
      </c>
    </row>
    <row r="15" spans="1:2" x14ac:dyDescent="0.3">
      <c r="A15" s="20" t="s">
        <v>63</v>
      </c>
      <c r="B15" s="20" t="s">
        <v>53</v>
      </c>
    </row>
    <row r="16" spans="1:2" x14ac:dyDescent="0.3">
      <c r="A16" s="20" t="s">
        <v>64</v>
      </c>
      <c r="B16" s="20" t="s">
        <v>53</v>
      </c>
    </row>
    <row r="17" spans="1:1" x14ac:dyDescent="0.3">
      <c r="A17" s="20" t="s">
        <v>126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Hoja37"/>
  <dimension ref="A1:N794"/>
  <sheetViews>
    <sheetView workbookViewId="0"/>
  </sheetViews>
  <sheetFormatPr baseColWidth="10" defaultRowHeight="14.4" x14ac:dyDescent="0.3"/>
  <sheetData>
    <row r="1" spans="1:12" ht="15.6" x14ac:dyDescent="0.3">
      <c r="A1" s="16" t="s">
        <v>152</v>
      </c>
      <c r="B1" s="16" t="s">
        <v>114</v>
      </c>
      <c r="C1" s="16" t="s">
        <v>115</v>
      </c>
      <c r="D1" s="16" t="s">
        <v>145</v>
      </c>
      <c r="E1" s="16" t="s">
        <v>0</v>
      </c>
      <c r="F1" s="16" t="s">
        <v>1</v>
      </c>
      <c r="G1" s="22" t="s">
        <v>148</v>
      </c>
      <c r="H1" s="22" t="s">
        <v>149</v>
      </c>
      <c r="I1" s="16" t="s">
        <v>2</v>
      </c>
      <c r="J1" s="16" t="s">
        <v>3</v>
      </c>
      <c r="K1" s="16" t="s">
        <v>4</v>
      </c>
      <c r="L1" s="16" t="s">
        <v>5</v>
      </c>
    </row>
    <row r="2" spans="1:12" x14ac:dyDescent="0.3">
      <c r="A2" s="9">
        <v>1</v>
      </c>
      <c r="B2" s="9" t="s">
        <v>105</v>
      </c>
      <c r="C2" s="10" t="s">
        <v>6</v>
      </c>
      <c r="D2" s="10">
        <v>2022</v>
      </c>
      <c r="E2" s="4">
        <v>1780</v>
      </c>
      <c r="F2" s="4" t="s">
        <v>7</v>
      </c>
      <c r="G2" s="2">
        <v>15.03</v>
      </c>
      <c r="H2" s="11">
        <v>26752</v>
      </c>
      <c r="I2" s="1">
        <v>2018</v>
      </c>
      <c r="J2" s="4" t="s">
        <v>8</v>
      </c>
      <c r="K2" s="4" t="s">
        <v>9</v>
      </c>
      <c r="L2" s="4" t="s">
        <v>10</v>
      </c>
    </row>
    <row r="3" spans="1:12" x14ac:dyDescent="0.3">
      <c r="A3" s="9">
        <v>2</v>
      </c>
      <c r="B3" s="9" t="s">
        <v>105</v>
      </c>
      <c r="C3" s="10" t="s">
        <v>11</v>
      </c>
      <c r="D3" s="10">
        <v>2022</v>
      </c>
      <c r="E3" s="4">
        <v>2132</v>
      </c>
      <c r="F3" s="4" t="s">
        <v>7</v>
      </c>
      <c r="G3" s="2">
        <v>14.86</v>
      </c>
      <c r="H3" s="11">
        <v>31677</v>
      </c>
      <c r="I3" s="1">
        <v>2016</v>
      </c>
      <c r="J3" s="4" t="s">
        <v>12</v>
      </c>
      <c r="K3" s="4" t="s">
        <v>9</v>
      </c>
      <c r="L3" s="4" t="s">
        <v>10</v>
      </c>
    </row>
    <row r="4" spans="1:12" x14ac:dyDescent="0.3">
      <c r="A4" s="9">
        <v>3</v>
      </c>
      <c r="B4" s="9" t="s">
        <v>105</v>
      </c>
      <c r="C4" s="10" t="s">
        <v>13</v>
      </c>
      <c r="D4" s="10">
        <v>2022</v>
      </c>
      <c r="E4" s="4">
        <v>2132</v>
      </c>
      <c r="F4" s="4" t="s">
        <v>7</v>
      </c>
      <c r="G4" s="2">
        <v>14.03</v>
      </c>
      <c r="H4" s="11">
        <v>29908</v>
      </c>
      <c r="I4" s="1">
        <v>2016</v>
      </c>
      <c r="J4" s="4" t="s">
        <v>12</v>
      </c>
      <c r="K4" s="4" t="s">
        <v>9</v>
      </c>
      <c r="L4" s="4" t="s">
        <v>10</v>
      </c>
    </row>
    <row r="5" spans="1:12" x14ac:dyDescent="0.3">
      <c r="A5" s="9">
        <v>4</v>
      </c>
      <c r="B5" s="9" t="s">
        <v>105</v>
      </c>
      <c r="C5" s="10" t="s">
        <v>14</v>
      </c>
      <c r="D5" s="10">
        <v>2022</v>
      </c>
      <c r="E5" s="4">
        <v>2132</v>
      </c>
      <c r="F5" s="4" t="s">
        <v>7</v>
      </c>
      <c r="G5" s="2">
        <v>14.67</v>
      </c>
      <c r="H5" s="11">
        <v>31272</v>
      </c>
      <c r="I5" s="1">
        <v>2016</v>
      </c>
      <c r="J5" s="4" t="s">
        <v>12</v>
      </c>
      <c r="K5" s="4" t="s">
        <v>9</v>
      </c>
      <c r="L5" s="4" t="s">
        <v>10</v>
      </c>
    </row>
    <row r="6" spans="1:12" x14ac:dyDescent="0.3">
      <c r="A6" s="9">
        <v>5</v>
      </c>
      <c r="B6" s="9" t="s">
        <v>105</v>
      </c>
      <c r="C6" s="10" t="s">
        <v>15</v>
      </c>
      <c r="D6" s="10">
        <v>2022</v>
      </c>
      <c r="E6" s="4">
        <v>2132</v>
      </c>
      <c r="F6" s="4" t="s">
        <v>7</v>
      </c>
      <c r="G6" s="2">
        <v>14.73</v>
      </c>
      <c r="H6" s="11">
        <v>31403</v>
      </c>
      <c r="I6" s="1">
        <v>2017</v>
      </c>
      <c r="J6" s="4" t="s">
        <v>12</v>
      </c>
      <c r="K6" s="4" t="s">
        <v>9</v>
      </c>
      <c r="L6" s="4" t="s">
        <v>10</v>
      </c>
    </row>
    <row r="7" spans="1:12" x14ac:dyDescent="0.3">
      <c r="A7" s="9">
        <v>6</v>
      </c>
      <c r="B7" s="9" t="s">
        <v>105</v>
      </c>
      <c r="C7" s="10" t="s">
        <v>16</v>
      </c>
      <c r="D7" s="10">
        <v>2022</v>
      </c>
      <c r="E7" s="4">
        <v>2070</v>
      </c>
      <c r="F7" s="4" t="s">
        <v>7</v>
      </c>
      <c r="G7" s="2">
        <v>14.97</v>
      </c>
      <c r="H7" s="11">
        <v>30998</v>
      </c>
      <c r="I7" s="1">
        <v>2017</v>
      </c>
      <c r="J7" s="4" t="s">
        <v>12</v>
      </c>
      <c r="K7" s="4" t="s">
        <v>9</v>
      </c>
      <c r="L7" s="4" t="s">
        <v>10</v>
      </c>
    </row>
    <row r="8" spans="1:12" x14ac:dyDescent="0.3">
      <c r="A8" s="9">
        <v>7</v>
      </c>
      <c r="B8" s="9" t="s">
        <v>105</v>
      </c>
      <c r="C8" s="10" t="s">
        <v>18</v>
      </c>
      <c r="D8" s="10">
        <v>2022</v>
      </c>
      <c r="E8" s="4">
        <v>2070</v>
      </c>
      <c r="F8" s="4" t="s">
        <v>7</v>
      </c>
      <c r="G8" s="2">
        <v>14.98</v>
      </c>
      <c r="H8" s="11">
        <v>31006</v>
      </c>
      <c r="I8" s="1">
        <v>2017</v>
      </c>
      <c r="J8" s="4" t="s">
        <v>12</v>
      </c>
      <c r="K8" s="4" t="s">
        <v>9</v>
      </c>
      <c r="L8" s="4" t="s">
        <v>10</v>
      </c>
    </row>
    <row r="9" spans="1:12" x14ac:dyDescent="0.3">
      <c r="A9" s="9">
        <v>8</v>
      </c>
      <c r="B9" s="9" t="s">
        <v>105</v>
      </c>
      <c r="C9" s="10" t="s">
        <v>19</v>
      </c>
      <c r="D9" s="10">
        <v>2022</v>
      </c>
      <c r="E9" s="4">
        <v>2070</v>
      </c>
      <c r="F9" s="4" t="s">
        <v>7</v>
      </c>
      <c r="G9" s="2">
        <v>12.71</v>
      </c>
      <c r="H9" s="11">
        <v>26310</v>
      </c>
      <c r="I9" s="1">
        <v>2017</v>
      </c>
      <c r="J9" s="4" t="s">
        <v>12</v>
      </c>
      <c r="K9" s="4" t="s">
        <v>9</v>
      </c>
      <c r="L9" s="4" t="s">
        <v>10</v>
      </c>
    </row>
    <row r="10" spans="1:12" x14ac:dyDescent="0.3">
      <c r="A10" s="9">
        <v>9</v>
      </c>
      <c r="B10" s="9" t="s">
        <v>105</v>
      </c>
      <c r="C10" s="10" t="s">
        <v>20</v>
      </c>
      <c r="D10" s="10">
        <v>2022</v>
      </c>
      <c r="E10" s="4">
        <v>2132</v>
      </c>
      <c r="F10" s="4" t="s">
        <v>7</v>
      </c>
      <c r="G10" s="2">
        <v>14.35</v>
      </c>
      <c r="H10" s="11">
        <v>30586</v>
      </c>
      <c r="I10" s="1">
        <v>2015</v>
      </c>
      <c r="J10" s="4" t="s">
        <v>12</v>
      </c>
      <c r="K10" s="4" t="s">
        <v>9</v>
      </c>
      <c r="L10" s="4" t="s">
        <v>133</v>
      </c>
    </row>
    <row r="11" spans="1:12" x14ac:dyDescent="0.3">
      <c r="A11" s="9">
        <v>10</v>
      </c>
      <c r="B11" s="9" t="s">
        <v>105</v>
      </c>
      <c r="C11" s="10" t="s">
        <v>21</v>
      </c>
      <c r="D11" s="10">
        <v>2022</v>
      </c>
      <c r="E11" s="4">
        <v>2132</v>
      </c>
      <c r="F11" s="4" t="s">
        <v>7</v>
      </c>
      <c r="G11" s="2">
        <v>10.89</v>
      </c>
      <c r="H11" s="11">
        <v>23225</v>
      </c>
      <c r="I11" s="1">
        <v>2015</v>
      </c>
      <c r="J11" s="4" t="s">
        <v>12</v>
      </c>
      <c r="K11" s="4" t="s">
        <v>9</v>
      </c>
      <c r="L11" s="4" t="s">
        <v>133</v>
      </c>
    </row>
    <row r="12" spans="1:12" x14ac:dyDescent="0.3">
      <c r="A12" s="9">
        <v>11</v>
      </c>
      <c r="B12" s="9" t="s">
        <v>105</v>
      </c>
      <c r="C12" s="10" t="s">
        <v>22</v>
      </c>
      <c r="D12" s="10">
        <v>2022</v>
      </c>
      <c r="E12" s="4">
        <v>2132</v>
      </c>
      <c r="F12" s="4" t="s">
        <v>7</v>
      </c>
      <c r="G12" s="2">
        <v>14.54</v>
      </c>
      <c r="H12" s="11">
        <v>30998</v>
      </c>
      <c r="I12" s="1">
        <v>2015</v>
      </c>
      <c r="J12" s="4" t="s">
        <v>12</v>
      </c>
      <c r="K12" s="4" t="s">
        <v>9</v>
      </c>
      <c r="L12" s="4" t="s">
        <v>133</v>
      </c>
    </row>
    <row r="13" spans="1:12" x14ac:dyDescent="0.3">
      <c r="A13" s="9">
        <v>12</v>
      </c>
      <c r="B13" s="9" t="s">
        <v>105</v>
      </c>
      <c r="C13" s="10" t="s">
        <v>23</v>
      </c>
      <c r="D13" s="10">
        <v>2022</v>
      </c>
      <c r="E13" s="4">
        <v>2070</v>
      </c>
      <c r="F13" s="4" t="s">
        <v>7</v>
      </c>
      <c r="G13" s="2">
        <v>14</v>
      </c>
      <c r="H13" s="11">
        <v>29030</v>
      </c>
      <c r="I13" s="1">
        <v>2016</v>
      </c>
      <c r="J13" s="4" t="s">
        <v>12</v>
      </c>
      <c r="K13" s="4" t="s">
        <v>9</v>
      </c>
      <c r="L13" s="4" t="s">
        <v>132</v>
      </c>
    </row>
    <row r="14" spans="1:12" x14ac:dyDescent="0.3">
      <c r="A14" s="9">
        <v>13</v>
      </c>
      <c r="B14" s="9" t="s">
        <v>105</v>
      </c>
      <c r="C14" s="10" t="s">
        <v>24</v>
      </c>
      <c r="D14" s="10">
        <v>2022</v>
      </c>
      <c r="E14" s="4">
        <v>2070</v>
      </c>
      <c r="F14" s="4" t="s">
        <v>7</v>
      </c>
      <c r="G14" s="2">
        <v>13.1</v>
      </c>
      <c r="H14" s="11">
        <v>27101</v>
      </c>
      <c r="I14" s="1">
        <v>2017</v>
      </c>
      <c r="J14" s="4" t="s">
        <v>12</v>
      </c>
      <c r="K14" s="4" t="s">
        <v>9</v>
      </c>
      <c r="L14" s="4" t="s">
        <v>132</v>
      </c>
    </row>
    <row r="15" spans="1:12" x14ac:dyDescent="0.3">
      <c r="A15" s="9">
        <v>14</v>
      </c>
      <c r="B15" s="9" t="s">
        <v>105</v>
      </c>
      <c r="C15" s="10" t="s">
        <v>25</v>
      </c>
      <c r="D15" s="10">
        <v>2022</v>
      </c>
      <c r="E15" s="4">
        <v>2070</v>
      </c>
      <c r="F15" s="4" t="s">
        <v>7</v>
      </c>
      <c r="G15" s="2">
        <v>14.81</v>
      </c>
      <c r="H15" s="11">
        <v>30661</v>
      </c>
      <c r="I15" s="1">
        <v>2016</v>
      </c>
      <c r="J15" s="4" t="s">
        <v>12</v>
      </c>
      <c r="K15" s="4" t="s">
        <v>9</v>
      </c>
      <c r="L15" s="4" t="s">
        <v>132</v>
      </c>
    </row>
    <row r="16" spans="1:12" x14ac:dyDescent="0.3">
      <c r="A16" s="9">
        <v>15</v>
      </c>
      <c r="B16" s="9" t="s">
        <v>105</v>
      </c>
      <c r="C16" s="10" t="s">
        <v>26</v>
      </c>
      <c r="D16" s="10">
        <v>2022</v>
      </c>
      <c r="E16" s="4">
        <v>1905</v>
      </c>
      <c r="F16" s="4" t="s">
        <v>7</v>
      </c>
      <c r="G16" s="2">
        <v>12.36</v>
      </c>
      <c r="H16" s="11">
        <v>23556</v>
      </c>
      <c r="I16" s="1">
        <v>2015</v>
      </c>
      <c r="J16" s="4" t="s">
        <v>8</v>
      </c>
      <c r="K16" s="4" t="s">
        <v>27</v>
      </c>
      <c r="L16" s="4" t="s">
        <v>28</v>
      </c>
    </row>
    <row r="17" spans="1:12" x14ac:dyDescent="0.3">
      <c r="A17" s="9">
        <v>16</v>
      </c>
      <c r="B17" s="9" t="s">
        <v>105</v>
      </c>
      <c r="C17" s="10" t="s">
        <v>29</v>
      </c>
      <c r="D17" s="10">
        <v>2022</v>
      </c>
      <c r="E17" s="4">
        <v>1905</v>
      </c>
      <c r="F17" s="4" t="s">
        <v>7</v>
      </c>
      <c r="G17" s="2">
        <v>10.79</v>
      </c>
      <c r="H17" s="11">
        <v>20573</v>
      </c>
      <c r="I17" s="1">
        <v>2017</v>
      </c>
      <c r="J17" s="4" t="s">
        <v>8</v>
      </c>
      <c r="K17" s="4" t="s">
        <v>27</v>
      </c>
      <c r="L17" s="4" t="s">
        <v>28</v>
      </c>
    </row>
    <row r="18" spans="1:12" x14ac:dyDescent="0.3">
      <c r="A18" s="9">
        <v>17</v>
      </c>
      <c r="B18" s="9" t="s">
        <v>105</v>
      </c>
      <c r="C18" s="10" t="s">
        <v>30</v>
      </c>
      <c r="D18" s="10">
        <v>2022</v>
      </c>
      <c r="E18" s="4">
        <v>1953</v>
      </c>
      <c r="F18" s="4" t="s">
        <v>7</v>
      </c>
      <c r="G18" s="2">
        <v>16.190000000000001</v>
      </c>
      <c r="H18" s="11">
        <v>31624</v>
      </c>
      <c r="I18" s="1">
        <v>2018</v>
      </c>
      <c r="J18" s="4" t="s">
        <v>8</v>
      </c>
      <c r="K18" s="4" t="s">
        <v>27</v>
      </c>
      <c r="L18" s="4" t="s">
        <v>28</v>
      </c>
    </row>
    <row r="19" spans="1:12" x14ac:dyDescent="0.3">
      <c r="A19" s="9">
        <v>18</v>
      </c>
      <c r="B19" s="9" t="s">
        <v>105</v>
      </c>
      <c r="C19" s="10" t="s">
        <v>31</v>
      </c>
      <c r="D19" s="10">
        <v>2022</v>
      </c>
      <c r="E19" s="4">
        <v>1905.1398337112623</v>
      </c>
      <c r="F19" s="4" t="s">
        <v>7</v>
      </c>
      <c r="G19" s="2">
        <v>13.13</v>
      </c>
      <c r="H19" s="11">
        <v>25017</v>
      </c>
      <c r="I19" s="1">
        <v>2016</v>
      </c>
      <c r="J19" s="4" t="s">
        <v>8</v>
      </c>
      <c r="K19" s="4" t="s">
        <v>27</v>
      </c>
      <c r="L19" s="4" t="s">
        <v>28</v>
      </c>
    </row>
    <row r="20" spans="1:12" x14ac:dyDescent="0.3">
      <c r="A20" s="9">
        <v>19</v>
      </c>
      <c r="B20" s="9" t="s">
        <v>105</v>
      </c>
      <c r="C20" s="10" t="s">
        <v>32</v>
      </c>
      <c r="D20" s="10">
        <v>2022</v>
      </c>
      <c r="E20" s="4">
        <v>1953</v>
      </c>
      <c r="F20" s="4" t="s">
        <v>7</v>
      </c>
      <c r="G20" s="2">
        <v>13.99</v>
      </c>
      <c r="H20" s="11">
        <v>27344</v>
      </c>
      <c r="I20" s="1">
        <v>2014</v>
      </c>
      <c r="J20" s="4" t="s">
        <v>8</v>
      </c>
      <c r="K20" s="4" t="s">
        <v>27</v>
      </c>
      <c r="L20" s="4" t="s">
        <v>28</v>
      </c>
    </row>
    <row r="21" spans="1:12" x14ac:dyDescent="0.3">
      <c r="A21" s="9">
        <v>20</v>
      </c>
      <c r="B21" s="9" t="s">
        <v>105</v>
      </c>
      <c r="C21" s="10" t="s">
        <v>33</v>
      </c>
      <c r="D21" s="10">
        <v>2022</v>
      </c>
      <c r="E21" s="4">
        <v>1953</v>
      </c>
      <c r="F21" s="4" t="s">
        <v>7</v>
      </c>
      <c r="G21" s="2">
        <v>14.37</v>
      </c>
      <c r="H21" s="11">
        <v>28067</v>
      </c>
      <c r="I21" s="1">
        <v>2019</v>
      </c>
      <c r="J21" s="4" t="s">
        <v>12</v>
      </c>
      <c r="K21" s="4" t="s">
        <v>9</v>
      </c>
      <c r="L21" s="4" t="s">
        <v>132</v>
      </c>
    </row>
    <row r="22" spans="1:12" x14ac:dyDescent="0.3">
      <c r="A22" s="9">
        <v>21</v>
      </c>
      <c r="B22" s="9" t="s">
        <v>105</v>
      </c>
      <c r="C22" s="10" t="s">
        <v>35</v>
      </c>
      <c r="D22" s="10">
        <v>2022</v>
      </c>
      <c r="E22" s="4">
        <v>1953</v>
      </c>
      <c r="F22" s="4" t="s">
        <v>7</v>
      </c>
      <c r="G22" s="2">
        <v>14.26</v>
      </c>
      <c r="H22" s="11">
        <v>27845</v>
      </c>
      <c r="I22" s="1">
        <v>2019</v>
      </c>
      <c r="J22" s="4" t="s">
        <v>12</v>
      </c>
      <c r="K22" s="4" t="s">
        <v>9</v>
      </c>
      <c r="L22" s="4" t="s">
        <v>132</v>
      </c>
    </row>
    <row r="23" spans="1:12" x14ac:dyDescent="0.3">
      <c r="A23" s="9">
        <v>22</v>
      </c>
      <c r="B23" s="9" t="s">
        <v>105</v>
      </c>
      <c r="C23" s="10" t="s">
        <v>36</v>
      </c>
      <c r="D23" s="10">
        <v>2022</v>
      </c>
      <c r="E23" s="4">
        <v>1953</v>
      </c>
      <c r="F23" s="4" t="s">
        <v>7</v>
      </c>
      <c r="G23" s="2">
        <v>14.63</v>
      </c>
      <c r="H23" s="11">
        <v>28573</v>
      </c>
      <c r="I23" s="1">
        <v>2019</v>
      </c>
      <c r="J23" s="4" t="s">
        <v>12</v>
      </c>
      <c r="K23" s="4" t="s">
        <v>9</v>
      </c>
      <c r="L23" s="4" t="s">
        <v>132</v>
      </c>
    </row>
    <row r="24" spans="1:12" x14ac:dyDescent="0.3">
      <c r="A24" s="9">
        <v>23</v>
      </c>
      <c r="B24" s="9" t="s">
        <v>105</v>
      </c>
      <c r="C24" s="10" t="s">
        <v>37</v>
      </c>
      <c r="D24" s="10">
        <v>2022</v>
      </c>
      <c r="E24" s="4">
        <v>1780</v>
      </c>
      <c r="F24" s="4" t="s">
        <v>7</v>
      </c>
      <c r="G24" s="2">
        <v>14.58</v>
      </c>
      <c r="H24" s="11">
        <v>25984</v>
      </c>
      <c r="I24" s="1">
        <v>2020</v>
      </c>
      <c r="J24" s="4" t="s">
        <v>12</v>
      </c>
      <c r="K24" s="4" t="s">
        <v>9</v>
      </c>
      <c r="L24" s="4" t="s">
        <v>132</v>
      </c>
    </row>
    <row r="25" spans="1:12" x14ac:dyDescent="0.3">
      <c r="A25" s="9">
        <v>24</v>
      </c>
      <c r="B25" s="9" t="s">
        <v>105</v>
      </c>
      <c r="C25" s="10" t="s">
        <v>38</v>
      </c>
      <c r="D25" s="10">
        <v>2022</v>
      </c>
      <c r="E25" s="4">
        <v>1780</v>
      </c>
      <c r="F25" s="4" t="s">
        <v>7</v>
      </c>
      <c r="G25" s="2">
        <v>14.67</v>
      </c>
      <c r="H25" s="11">
        <v>26121</v>
      </c>
      <c r="I25" s="1">
        <v>2020</v>
      </c>
      <c r="J25" s="4" t="s">
        <v>12</v>
      </c>
      <c r="K25" s="4" t="s">
        <v>9</v>
      </c>
      <c r="L25" s="4" t="s">
        <v>132</v>
      </c>
    </row>
    <row r="26" spans="1:12" x14ac:dyDescent="0.3">
      <c r="A26" s="9">
        <v>25</v>
      </c>
      <c r="B26" s="9" t="s">
        <v>105</v>
      </c>
      <c r="C26" s="10" t="s">
        <v>39</v>
      </c>
      <c r="D26" s="10">
        <v>2022</v>
      </c>
      <c r="E26" s="4">
        <v>1780</v>
      </c>
      <c r="F26" s="4" t="s">
        <v>7</v>
      </c>
      <c r="G26" s="2">
        <v>14.88</v>
      </c>
      <c r="H26" s="11">
        <v>26482</v>
      </c>
      <c r="I26" s="1">
        <v>2020</v>
      </c>
      <c r="J26" s="4" t="s">
        <v>12</v>
      </c>
      <c r="K26" s="4" t="s">
        <v>9</v>
      </c>
      <c r="L26" s="4" t="s">
        <v>132</v>
      </c>
    </row>
    <row r="27" spans="1:12" x14ac:dyDescent="0.3">
      <c r="A27" s="9">
        <v>26</v>
      </c>
      <c r="B27" s="9" t="s">
        <v>105</v>
      </c>
      <c r="C27" s="10" t="s">
        <v>40</v>
      </c>
      <c r="D27" s="10">
        <v>2022</v>
      </c>
      <c r="E27" s="4">
        <v>1780</v>
      </c>
      <c r="F27" s="4" t="s">
        <v>7</v>
      </c>
      <c r="G27" s="2">
        <v>13.55</v>
      </c>
      <c r="H27" s="11">
        <v>24120</v>
      </c>
      <c r="I27" s="1">
        <v>2020</v>
      </c>
      <c r="J27" s="4" t="s">
        <v>12</v>
      </c>
      <c r="K27" s="4" t="s">
        <v>27</v>
      </c>
      <c r="L27" s="4" t="s">
        <v>34</v>
      </c>
    </row>
    <row r="28" spans="1:12" x14ac:dyDescent="0.3">
      <c r="A28" s="9">
        <v>27</v>
      </c>
      <c r="B28" s="9" t="s">
        <v>105</v>
      </c>
      <c r="C28" s="10" t="s">
        <v>41</v>
      </c>
      <c r="D28" s="10">
        <v>2022</v>
      </c>
      <c r="E28" s="4">
        <v>1780</v>
      </c>
      <c r="F28" s="4" t="s">
        <v>7</v>
      </c>
      <c r="G28" s="2">
        <v>12.14</v>
      </c>
      <c r="H28" s="11">
        <v>21604</v>
      </c>
      <c r="I28" s="1">
        <v>2020</v>
      </c>
      <c r="J28" s="4" t="s">
        <v>12</v>
      </c>
      <c r="K28" s="4" t="s">
        <v>27</v>
      </c>
      <c r="L28" s="4" t="s">
        <v>34</v>
      </c>
    </row>
    <row r="29" spans="1:12" x14ac:dyDescent="0.3">
      <c r="A29" s="9">
        <v>28</v>
      </c>
      <c r="B29" s="9" t="s">
        <v>105</v>
      </c>
      <c r="C29" s="10" t="s">
        <v>42</v>
      </c>
      <c r="D29" s="10">
        <v>2022</v>
      </c>
      <c r="E29" s="4">
        <v>1780</v>
      </c>
      <c r="F29" s="4" t="s">
        <v>7</v>
      </c>
      <c r="G29" s="2">
        <v>14.78</v>
      </c>
      <c r="H29" s="11">
        <v>26310</v>
      </c>
      <c r="I29" s="1">
        <v>2020</v>
      </c>
      <c r="J29" s="4" t="s">
        <v>12</v>
      </c>
      <c r="K29" s="4" t="s">
        <v>27</v>
      </c>
      <c r="L29" s="4" t="s">
        <v>34</v>
      </c>
    </row>
    <row r="30" spans="1:12" x14ac:dyDescent="0.3">
      <c r="A30" s="9">
        <v>29</v>
      </c>
      <c r="B30" s="9" t="s">
        <v>105</v>
      </c>
      <c r="C30" s="10" t="s">
        <v>43</v>
      </c>
      <c r="D30" s="10">
        <v>2022</v>
      </c>
      <c r="E30" s="4">
        <v>1780</v>
      </c>
      <c r="F30" s="4" t="s">
        <v>7</v>
      </c>
      <c r="G30" s="2">
        <v>14.67</v>
      </c>
      <c r="H30" s="11">
        <v>26119</v>
      </c>
      <c r="I30" s="1">
        <v>2020</v>
      </c>
      <c r="J30" s="4" t="s">
        <v>12</v>
      </c>
      <c r="K30" s="4" t="s">
        <v>27</v>
      </c>
      <c r="L30" s="4" t="s">
        <v>34</v>
      </c>
    </row>
    <row r="31" spans="1:12" x14ac:dyDescent="0.3">
      <c r="A31" s="9">
        <v>30</v>
      </c>
      <c r="B31" s="9" t="s">
        <v>105</v>
      </c>
      <c r="C31" s="10" t="s">
        <v>44</v>
      </c>
      <c r="D31" s="10">
        <v>2022</v>
      </c>
      <c r="E31" s="4">
        <v>1780</v>
      </c>
      <c r="F31" s="4" t="s">
        <v>7</v>
      </c>
      <c r="G31" s="2">
        <v>0</v>
      </c>
      <c r="H31" s="11">
        <v>0</v>
      </c>
      <c r="I31" s="1">
        <v>2022</v>
      </c>
      <c r="J31" s="4" t="s">
        <v>12</v>
      </c>
      <c r="K31" s="4" t="s">
        <v>9</v>
      </c>
      <c r="L31" s="4" t="s">
        <v>10</v>
      </c>
    </row>
    <row r="32" spans="1:12" x14ac:dyDescent="0.3">
      <c r="A32" s="10">
        <v>31</v>
      </c>
      <c r="B32" s="10" t="s">
        <v>106</v>
      </c>
      <c r="C32" s="10" t="s">
        <v>45</v>
      </c>
      <c r="D32" s="10">
        <v>2022</v>
      </c>
      <c r="E32" s="4">
        <v>1587</v>
      </c>
      <c r="F32" s="4" t="s">
        <v>7</v>
      </c>
      <c r="G32" s="2">
        <v>7.93</v>
      </c>
      <c r="H32" s="11">
        <v>12589</v>
      </c>
      <c r="I32" s="1">
        <v>2018</v>
      </c>
      <c r="J32" s="4" t="s">
        <v>12</v>
      </c>
      <c r="K32" s="4" t="s">
        <v>27</v>
      </c>
      <c r="L32" s="4" t="s">
        <v>134</v>
      </c>
    </row>
    <row r="33" spans="1:12" x14ac:dyDescent="0.3">
      <c r="A33" s="10">
        <v>32</v>
      </c>
      <c r="B33" s="10" t="s">
        <v>106</v>
      </c>
      <c r="C33" s="10" t="s">
        <v>47</v>
      </c>
      <c r="D33" s="10">
        <v>2022</v>
      </c>
      <c r="E33" s="4">
        <v>1587</v>
      </c>
      <c r="F33" s="4" t="s">
        <v>7</v>
      </c>
      <c r="G33" s="2">
        <v>8.68</v>
      </c>
      <c r="H33" s="11">
        <v>13777</v>
      </c>
      <c r="I33" s="1">
        <v>2018</v>
      </c>
      <c r="J33" s="4" t="s">
        <v>12</v>
      </c>
      <c r="K33" s="4" t="s">
        <v>27</v>
      </c>
      <c r="L33" s="4" t="s">
        <v>134</v>
      </c>
    </row>
    <row r="34" spans="1:12" x14ac:dyDescent="0.3">
      <c r="A34" s="10">
        <v>33</v>
      </c>
      <c r="B34" s="10" t="s">
        <v>107</v>
      </c>
      <c r="C34" s="10" t="s">
        <v>48</v>
      </c>
      <c r="D34" s="10">
        <v>2022</v>
      </c>
      <c r="E34" s="6">
        <v>1587</v>
      </c>
      <c r="F34" s="6" t="s">
        <v>7</v>
      </c>
      <c r="G34" s="2">
        <v>14.96</v>
      </c>
      <c r="H34" s="11">
        <v>28335</v>
      </c>
      <c r="I34" s="1">
        <v>2012</v>
      </c>
      <c r="J34" s="6" t="s">
        <v>12</v>
      </c>
      <c r="K34" s="6" t="s">
        <v>27</v>
      </c>
      <c r="L34" s="6" t="s">
        <v>28</v>
      </c>
    </row>
    <row r="35" spans="1:12" x14ac:dyDescent="0.3">
      <c r="A35" s="10">
        <v>34</v>
      </c>
      <c r="B35" s="10" t="s">
        <v>107</v>
      </c>
      <c r="C35" s="10" t="s">
        <v>50</v>
      </c>
      <c r="D35" s="10">
        <v>2022</v>
      </c>
      <c r="E35" s="6">
        <v>1587</v>
      </c>
      <c r="F35" s="6" t="s">
        <v>7</v>
      </c>
      <c r="G35" s="2">
        <v>17.25</v>
      </c>
      <c r="H35" s="11">
        <v>32674</v>
      </c>
      <c r="I35" s="1">
        <v>2012</v>
      </c>
      <c r="J35" s="6" t="s">
        <v>12</v>
      </c>
      <c r="K35" s="6" t="s">
        <v>27</v>
      </c>
      <c r="L35" s="6" t="s">
        <v>28</v>
      </c>
    </row>
    <row r="36" spans="1:12" x14ac:dyDescent="0.3">
      <c r="A36" s="10">
        <v>35</v>
      </c>
      <c r="B36" s="10" t="s">
        <v>108</v>
      </c>
      <c r="C36" s="10" t="s">
        <v>51</v>
      </c>
      <c r="D36" s="10">
        <v>2022</v>
      </c>
      <c r="E36" s="4">
        <v>1780</v>
      </c>
      <c r="F36" s="4" t="s">
        <v>7</v>
      </c>
      <c r="G36" s="2">
        <v>7.39</v>
      </c>
      <c r="H36" s="11">
        <v>13155</v>
      </c>
      <c r="I36" s="1">
        <v>2018</v>
      </c>
      <c r="J36" s="4" t="s">
        <v>12</v>
      </c>
      <c r="K36" s="4" t="s">
        <v>9</v>
      </c>
      <c r="L36" s="4" t="s">
        <v>46</v>
      </c>
    </row>
    <row r="37" spans="1:12" x14ac:dyDescent="0.3">
      <c r="A37" s="10">
        <v>36</v>
      </c>
      <c r="B37" s="10" t="s">
        <v>108</v>
      </c>
      <c r="C37" s="10" t="s">
        <v>52</v>
      </c>
      <c r="D37" s="10">
        <v>2022</v>
      </c>
      <c r="E37" s="4">
        <v>1905</v>
      </c>
      <c r="F37" s="4" t="s">
        <v>7</v>
      </c>
      <c r="G37" s="2">
        <v>2.25</v>
      </c>
      <c r="H37" s="11">
        <v>4367</v>
      </c>
      <c r="I37" s="1">
        <v>2018</v>
      </c>
      <c r="J37" s="4" t="s">
        <v>8</v>
      </c>
      <c r="K37" s="4" t="s">
        <v>27</v>
      </c>
      <c r="L37" s="4" t="s">
        <v>53</v>
      </c>
    </row>
    <row r="38" spans="1:12" x14ac:dyDescent="0.3">
      <c r="A38" s="10">
        <v>37</v>
      </c>
      <c r="B38" s="10" t="s">
        <v>108</v>
      </c>
      <c r="C38" s="10" t="s">
        <v>54</v>
      </c>
      <c r="D38" s="10">
        <v>2022</v>
      </c>
      <c r="E38" s="4">
        <v>1905</v>
      </c>
      <c r="F38" s="4" t="s">
        <v>7</v>
      </c>
      <c r="G38" s="2">
        <v>13.27</v>
      </c>
      <c r="H38" s="11">
        <v>25904</v>
      </c>
      <c r="I38" s="1">
        <v>2017</v>
      </c>
      <c r="J38" s="4" t="s">
        <v>8</v>
      </c>
      <c r="K38" s="4" t="s">
        <v>27</v>
      </c>
      <c r="L38" s="4" t="s">
        <v>53</v>
      </c>
    </row>
    <row r="39" spans="1:12" x14ac:dyDescent="0.3">
      <c r="A39" s="10">
        <v>38</v>
      </c>
      <c r="B39" s="10" t="s">
        <v>108</v>
      </c>
      <c r="C39" s="10" t="s">
        <v>55</v>
      </c>
      <c r="D39" s="10">
        <v>2022</v>
      </c>
      <c r="E39" s="4">
        <v>1905</v>
      </c>
      <c r="F39" s="4" t="s">
        <v>7</v>
      </c>
      <c r="G39" s="2">
        <v>11.34</v>
      </c>
      <c r="H39" s="11">
        <v>22673</v>
      </c>
      <c r="I39" s="1">
        <v>2017</v>
      </c>
      <c r="J39" s="4" t="s">
        <v>8</v>
      </c>
      <c r="K39" s="4" t="s">
        <v>27</v>
      </c>
      <c r="L39" s="4" t="s">
        <v>53</v>
      </c>
    </row>
    <row r="40" spans="1:12" x14ac:dyDescent="0.3">
      <c r="A40" s="10">
        <v>39</v>
      </c>
      <c r="B40" s="10" t="s">
        <v>108</v>
      </c>
      <c r="C40" s="10" t="s">
        <v>56</v>
      </c>
      <c r="D40" s="10">
        <v>2022</v>
      </c>
      <c r="E40" s="4">
        <v>1905</v>
      </c>
      <c r="F40" s="4" t="s">
        <v>7</v>
      </c>
      <c r="G40" s="2">
        <v>13.7</v>
      </c>
      <c r="H40" s="11">
        <v>26225</v>
      </c>
      <c r="I40" s="1">
        <v>2016</v>
      </c>
      <c r="J40" s="4" t="s">
        <v>8</v>
      </c>
      <c r="K40" s="4" t="s">
        <v>27</v>
      </c>
      <c r="L40" s="4" t="s">
        <v>53</v>
      </c>
    </row>
    <row r="41" spans="1:12" x14ac:dyDescent="0.3">
      <c r="A41" s="10">
        <v>40</v>
      </c>
      <c r="B41" s="10" t="s">
        <v>108</v>
      </c>
      <c r="C41" s="10" t="s">
        <v>57</v>
      </c>
      <c r="D41" s="10">
        <v>2022</v>
      </c>
      <c r="E41" s="4">
        <v>1905</v>
      </c>
      <c r="F41" s="4" t="s">
        <v>7</v>
      </c>
      <c r="G41" s="2">
        <v>13.96</v>
      </c>
      <c r="H41" s="11">
        <v>26852</v>
      </c>
      <c r="I41" s="1">
        <v>2016</v>
      </c>
      <c r="J41" s="4" t="s">
        <v>8</v>
      </c>
      <c r="K41" s="4" t="s">
        <v>27</v>
      </c>
      <c r="L41" s="4" t="s">
        <v>53</v>
      </c>
    </row>
    <row r="42" spans="1:12" x14ac:dyDescent="0.3">
      <c r="A42" s="10">
        <v>41</v>
      </c>
      <c r="B42" s="10" t="s">
        <v>108</v>
      </c>
      <c r="C42" s="10" t="s">
        <v>58</v>
      </c>
      <c r="D42" s="10">
        <v>2022</v>
      </c>
      <c r="E42" s="4">
        <v>1905</v>
      </c>
      <c r="F42" s="4" t="s">
        <v>7</v>
      </c>
      <c r="G42" s="2">
        <v>6.94</v>
      </c>
      <c r="H42" s="11">
        <v>13732</v>
      </c>
      <c r="I42" s="1">
        <v>2016</v>
      </c>
      <c r="J42" s="4" t="s">
        <v>8</v>
      </c>
      <c r="K42" s="4" t="s">
        <v>27</v>
      </c>
      <c r="L42" s="4" t="s">
        <v>53</v>
      </c>
    </row>
    <row r="43" spans="1:12" x14ac:dyDescent="0.3">
      <c r="A43" s="10">
        <v>42</v>
      </c>
      <c r="B43" s="10" t="s">
        <v>109</v>
      </c>
      <c r="C43" s="10" t="s">
        <v>59</v>
      </c>
      <c r="D43" s="10">
        <v>2022</v>
      </c>
      <c r="E43" s="4">
        <v>1905</v>
      </c>
      <c r="F43" s="4" t="s">
        <v>7</v>
      </c>
      <c r="G43" s="2">
        <v>6.91</v>
      </c>
      <c r="H43" s="11">
        <v>13164</v>
      </c>
      <c r="I43" s="1">
        <v>2018</v>
      </c>
      <c r="J43" s="4" t="s">
        <v>8</v>
      </c>
      <c r="K43" s="4" t="s">
        <v>9</v>
      </c>
      <c r="L43" s="4" t="s">
        <v>10</v>
      </c>
    </row>
    <row r="44" spans="1:12" x14ac:dyDescent="0.3">
      <c r="A44" s="10">
        <v>43</v>
      </c>
      <c r="B44" s="10" t="s">
        <v>109</v>
      </c>
      <c r="C44" s="10" t="s">
        <v>60</v>
      </c>
      <c r="D44" s="10">
        <v>2022</v>
      </c>
      <c r="E44" s="4">
        <v>1905</v>
      </c>
      <c r="F44" s="4" t="s">
        <v>7</v>
      </c>
      <c r="G44" s="2">
        <v>3.3</v>
      </c>
      <c r="H44" s="11">
        <v>6291</v>
      </c>
      <c r="I44" s="1" t="s">
        <v>61</v>
      </c>
      <c r="J44" s="4" t="s">
        <v>8</v>
      </c>
      <c r="K44" s="4" t="s">
        <v>9</v>
      </c>
      <c r="L44" s="4" t="s">
        <v>10</v>
      </c>
    </row>
    <row r="45" spans="1:12" x14ac:dyDescent="0.3">
      <c r="A45" s="10">
        <v>44</v>
      </c>
      <c r="B45" s="10" t="s">
        <v>109</v>
      </c>
      <c r="C45" s="10" t="s">
        <v>130</v>
      </c>
      <c r="D45" s="10">
        <v>2022</v>
      </c>
      <c r="E45" s="4">
        <v>1780</v>
      </c>
      <c r="F45" s="4" t="s">
        <v>7</v>
      </c>
      <c r="G45" s="2">
        <v>10.44</v>
      </c>
      <c r="H45" s="11">
        <v>18553</v>
      </c>
      <c r="I45" s="1">
        <v>2020</v>
      </c>
      <c r="J45" s="4" t="s">
        <v>12</v>
      </c>
      <c r="K45" s="4" t="s">
        <v>27</v>
      </c>
      <c r="L45" s="4" t="s">
        <v>53</v>
      </c>
    </row>
    <row r="46" spans="1:12" x14ac:dyDescent="0.3">
      <c r="A46" s="10">
        <v>45</v>
      </c>
      <c r="B46" s="10" t="s">
        <v>109</v>
      </c>
      <c r="C46" s="10" t="s">
        <v>63</v>
      </c>
      <c r="D46" s="10">
        <v>2022</v>
      </c>
      <c r="E46" s="4">
        <v>1780</v>
      </c>
      <c r="F46" s="4" t="s">
        <v>7</v>
      </c>
      <c r="G46" s="2">
        <v>14.18</v>
      </c>
      <c r="H46" s="11">
        <v>24956</v>
      </c>
      <c r="I46" s="1">
        <v>2020</v>
      </c>
      <c r="J46" s="4" t="s">
        <v>12</v>
      </c>
      <c r="K46" s="4" t="s">
        <v>27</v>
      </c>
      <c r="L46" s="4" t="s">
        <v>53</v>
      </c>
    </row>
    <row r="47" spans="1:12" x14ac:dyDescent="0.3">
      <c r="A47" s="10">
        <v>46</v>
      </c>
      <c r="B47" s="10" t="s">
        <v>109</v>
      </c>
      <c r="C47" s="10" t="s">
        <v>64</v>
      </c>
      <c r="D47" s="10">
        <v>2022</v>
      </c>
      <c r="E47" s="4">
        <v>1780</v>
      </c>
      <c r="F47" s="4" t="s">
        <v>7</v>
      </c>
      <c r="G47" s="2">
        <v>13.57</v>
      </c>
      <c r="H47" s="11">
        <v>24149</v>
      </c>
      <c r="I47" s="1">
        <v>2020</v>
      </c>
      <c r="J47" s="4" t="s">
        <v>12</v>
      </c>
      <c r="K47" s="4" t="s">
        <v>27</v>
      </c>
      <c r="L47" s="4" t="s">
        <v>53</v>
      </c>
    </row>
    <row r="48" spans="1:12" x14ac:dyDescent="0.3">
      <c r="A48" s="10">
        <v>47</v>
      </c>
      <c r="B48" s="10" t="s">
        <v>109</v>
      </c>
      <c r="C48" s="10" t="s">
        <v>65</v>
      </c>
      <c r="D48" s="10">
        <v>2022</v>
      </c>
      <c r="E48" s="7">
        <v>1838</v>
      </c>
      <c r="F48" s="7" t="s">
        <v>7</v>
      </c>
      <c r="G48" s="2">
        <v>12.43</v>
      </c>
      <c r="H48" s="11">
        <v>22841</v>
      </c>
      <c r="I48" s="1">
        <v>2021</v>
      </c>
      <c r="J48" s="7" t="s">
        <v>12</v>
      </c>
      <c r="K48" s="7" t="s">
        <v>27</v>
      </c>
      <c r="L48" s="7" t="s">
        <v>34</v>
      </c>
    </row>
    <row r="49" spans="1:12" x14ac:dyDescent="0.3">
      <c r="A49" s="10">
        <v>48</v>
      </c>
      <c r="B49" s="10" t="s">
        <v>109</v>
      </c>
      <c r="C49" s="10" t="s">
        <v>66</v>
      </c>
      <c r="D49" s="10">
        <v>2022</v>
      </c>
      <c r="E49" s="7">
        <v>1838</v>
      </c>
      <c r="F49" s="7" t="s">
        <v>7</v>
      </c>
      <c r="G49" s="2">
        <v>11.94</v>
      </c>
      <c r="H49" s="11">
        <v>21952</v>
      </c>
      <c r="I49" s="1">
        <v>2021</v>
      </c>
      <c r="J49" s="7" t="s">
        <v>12</v>
      </c>
      <c r="K49" s="7" t="s">
        <v>27</v>
      </c>
      <c r="L49" s="7" t="s">
        <v>34</v>
      </c>
    </row>
    <row r="50" spans="1:12" x14ac:dyDescent="0.3">
      <c r="A50" s="10">
        <v>49</v>
      </c>
      <c r="B50" s="10" t="s">
        <v>167</v>
      </c>
      <c r="C50" s="10" t="s">
        <v>67</v>
      </c>
      <c r="D50" s="10">
        <v>2022</v>
      </c>
      <c r="E50" s="4">
        <v>1684</v>
      </c>
      <c r="F50" s="4" t="s">
        <v>7</v>
      </c>
      <c r="G50" s="2">
        <v>9.99</v>
      </c>
      <c r="H50" s="11">
        <v>16836</v>
      </c>
      <c r="I50" s="1">
        <v>2018</v>
      </c>
      <c r="J50" s="4" t="s">
        <v>12</v>
      </c>
      <c r="K50" s="4" t="s">
        <v>9</v>
      </c>
      <c r="L50" s="4" t="s">
        <v>49</v>
      </c>
    </row>
    <row r="51" spans="1:12" x14ac:dyDescent="0.3">
      <c r="A51" s="10">
        <v>50</v>
      </c>
      <c r="B51" s="10" t="s">
        <v>167</v>
      </c>
      <c r="C51" s="10" t="s">
        <v>68</v>
      </c>
      <c r="D51" s="10">
        <v>2022</v>
      </c>
      <c r="E51" s="4">
        <v>1684</v>
      </c>
      <c r="F51" s="4" t="s">
        <v>7</v>
      </c>
      <c r="G51" s="2">
        <v>13.27</v>
      </c>
      <c r="H51" s="11">
        <v>22351</v>
      </c>
      <c r="I51" s="1">
        <v>2018</v>
      </c>
      <c r="J51" s="4" t="s">
        <v>12</v>
      </c>
      <c r="K51" s="4" t="s">
        <v>9</v>
      </c>
      <c r="L51" s="4" t="s">
        <v>49</v>
      </c>
    </row>
    <row r="52" spans="1:12" x14ac:dyDescent="0.3">
      <c r="A52" s="10">
        <v>51</v>
      </c>
      <c r="B52" s="10" t="s">
        <v>167</v>
      </c>
      <c r="C52" s="10" t="s">
        <v>69</v>
      </c>
      <c r="D52" s="10">
        <v>2022</v>
      </c>
      <c r="E52" s="4">
        <v>1684</v>
      </c>
      <c r="F52" s="4" t="s">
        <v>7</v>
      </c>
      <c r="G52" s="2">
        <v>14.54</v>
      </c>
      <c r="H52" s="11">
        <v>24478</v>
      </c>
      <c r="I52" s="1">
        <v>2018</v>
      </c>
      <c r="J52" s="4" t="s">
        <v>12</v>
      </c>
      <c r="K52" s="4" t="s">
        <v>9</v>
      </c>
      <c r="L52" s="4" t="s">
        <v>49</v>
      </c>
    </row>
    <row r="53" spans="1:12" x14ac:dyDescent="0.3">
      <c r="A53" s="10">
        <v>52</v>
      </c>
      <c r="B53" s="10" t="s">
        <v>167</v>
      </c>
      <c r="C53" s="10" t="s">
        <v>70</v>
      </c>
      <c r="D53" s="10">
        <v>2022</v>
      </c>
      <c r="E53" s="4">
        <v>1262</v>
      </c>
      <c r="F53" s="4" t="s">
        <v>7</v>
      </c>
      <c r="G53" s="2">
        <v>11.89</v>
      </c>
      <c r="H53" s="11">
        <v>15004</v>
      </c>
      <c r="I53" s="1">
        <v>2018</v>
      </c>
      <c r="J53" s="4" t="s">
        <v>12</v>
      </c>
      <c r="K53" s="4" t="s">
        <v>9</v>
      </c>
      <c r="L53" s="4" t="s">
        <v>49</v>
      </c>
    </row>
    <row r="54" spans="1:12" x14ac:dyDescent="0.3">
      <c r="A54" s="10">
        <v>53</v>
      </c>
      <c r="B54" s="10" t="s">
        <v>167</v>
      </c>
      <c r="C54" s="10" t="s">
        <v>71</v>
      </c>
      <c r="D54" s="10">
        <v>2022</v>
      </c>
      <c r="E54" s="4">
        <v>1780.2</v>
      </c>
      <c r="F54" s="4" t="s">
        <v>7</v>
      </c>
      <c r="G54" s="2">
        <v>14.81</v>
      </c>
      <c r="H54" s="11">
        <v>26364</v>
      </c>
      <c r="I54" s="1">
        <v>2020</v>
      </c>
      <c r="J54" s="4" t="s">
        <v>12</v>
      </c>
      <c r="K54" s="4" t="s">
        <v>9</v>
      </c>
      <c r="L54" s="4" t="s">
        <v>46</v>
      </c>
    </row>
    <row r="55" spans="1:12" x14ac:dyDescent="0.3">
      <c r="A55" s="10">
        <v>54</v>
      </c>
      <c r="B55" s="10" t="s">
        <v>167</v>
      </c>
      <c r="C55" s="10" t="s">
        <v>72</v>
      </c>
      <c r="D55" s="10">
        <v>2022</v>
      </c>
      <c r="E55" s="4">
        <v>1780.2</v>
      </c>
      <c r="F55" s="4" t="s">
        <v>7</v>
      </c>
      <c r="G55" s="2">
        <v>14.81</v>
      </c>
      <c r="H55" s="11">
        <v>26368</v>
      </c>
      <c r="I55" s="1">
        <v>2020</v>
      </c>
      <c r="J55" s="4" t="s">
        <v>12</v>
      </c>
      <c r="K55" s="4" t="s">
        <v>9</v>
      </c>
      <c r="L55" s="4" t="s">
        <v>46</v>
      </c>
    </row>
    <row r="56" spans="1:12" x14ac:dyDescent="0.3">
      <c r="A56" s="10">
        <v>55</v>
      </c>
      <c r="B56" s="10" t="s">
        <v>167</v>
      </c>
      <c r="C56" s="10" t="s">
        <v>73</v>
      </c>
      <c r="D56" s="10">
        <v>2022</v>
      </c>
      <c r="E56" s="4">
        <v>1779.3333333333333</v>
      </c>
      <c r="F56" s="4" t="s">
        <v>7</v>
      </c>
      <c r="G56" s="2">
        <v>13.54</v>
      </c>
      <c r="H56" s="11">
        <v>24106</v>
      </c>
      <c r="I56" s="1">
        <v>2020</v>
      </c>
      <c r="J56" s="4" t="s">
        <v>12</v>
      </c>
      <c r="K56" s="4" t="s">
        <v>9</v>
      </c>
      <c r="L56" s="4" t="s">
        <v>46</v>
      </c>
    </row>
    <row r="57" spans="1:12" x14ac:dyDescent="0.3">
      <c r="A57" s="10">
        <v>56</v>
      </c>
      <c r="B57" s="10" t="s">
        <v>167</v>
      </c>
      <c r="C57" s="10" t="s">
        <v>74</v>
      </c>
      <c r="D57" s="10">
        <v>2022</v>
      </c>
      <c r="E57" s="8">
        <v>1894</v>
      </c>
      <c r="F57" s="8" t="s">
        <v>7</v>
      </c>
      <c r="G57" s="2">
        <v>14.05</v>
      </c>
      <c r="H57" s="11">
        <v>26609</v>
      </c>
      <c r="I57" s="1">
        <v>2021</v>
      </c>
      <c r="J57" s="8" t="s">
        <v>12</v>
      </c>
      <c r="K57" s="8" t="s">
        <v>9</v>
      </c>
      <c r="L57" s="8" t="s">
        <v>49</v>
      </c>
    </row>
    <row r="58" spans="1:12" x14ac:dyDescent="0.3">
      <c r="A58" s="10">
        <v>57</v>
      </c>
      <c r="B58" s="10" t="s">
        <v>167</v>
      </c>
      <c r="C58" s="10" t="s">
        <v>75</v>
      </c>
      <c r="D58" s="10">
        <v>2022</v>
      </c>
      <c r="E58" s="8">
        <v>1894</v>
      </c>
      <c r="F58" s="8" t="s">
        <v>7</v>
      </c>
      <c r="G58" s="2">
        <v>4.17</v>
      </c>
      <c r="H58" s="11">
        <v>7897</v>
      </c>
      <c r="I58" s="1">
        <v>2021</v>
      </c>
      <c r="J58" s="8" t="s">
        <v>12</v>
      </c>
      <c r="K58" s="8" t="s">
        <v>9</v>
      </c>
      <c r="L58" s="8" t="s">
        <v>49</v>
      </c>
    </row>
    <row r="59" spans="1:12" x14ac:dyDescent="0.3">
      <c r="A59" s="10">
        <v>58</v>
      </c>
      <c r="B59" s="10" t="s">
        <v>167</v>
      </c>
      <c r="C59" s="10" t="s">
        <v>76</v>
      </c>
      <c r="D59" s="10">
        <v>2022</v>
      </c>
      <c r="E59" s="8">
        <v>1894</v>
      </c>
      <c r="F59" s="8" t="s">
        <v>7</v>
      </c>
      <c r="G59" s="2">
        <v>7.57</v>
      </c>
      <c r="H59" s="11">
        <v>14333</v>
      </c>
      <c r="I59" s="1">
        <v>2021</v>
      </c>
      <c r="J59" s="8" t="s">
        <v>12</v>
      </c>
      <c r="K59" s="8" t="s">
        <v>9</v>
      </c>
      <c r="L59" s="8" t="s">
        <v>49</v>
      </c>
    </row>
    <row r="60" spans="1:12" x14ac:dyDescent="0.3">
      <c r="A60" s="10">
        <v>59</v>
      </c>
      <c r="B60" s="10" t="s">
        <v>167</v>
      </c>
      <c r="C60" s="10" t="s">
        <v>77</v>
      </c>
      <c r="D60" s="10">
        <v>2022</v>
      </c>
      <c r="E60" s="8">
        <v>1905</v>
      </c>
      <c r="F60" s="8" t="s">
        <v>7</v>
      </c>
      <c r="G60" s="2">
        <v>11.76</v>
      </c>
      <c r="H60" s="11">
        <v>22407</v>
      </c>
      <c r="I60" s="1">
        <v>2021</v>
      </c>
      <c r="J60" s="8" t="s">
        <v>12</v>
      </c>
      <c r="K60" s="8" t="s">
        <v>9</v>
      </c>
      <c r="L60" s="8" t="s">
        <v>49</v>
      </c>
    </row>
    <row r="61" spans="1:12" x14ac:dyDescent="0.3">
      <c r="A61" s="10">
        <v>60</v>
      </c>
      <c r="B61" s="10" t="s">
        <v>111</v>
      </c>
      <c r="C61" s="10" t="s">
        <v>78</v>
      </c>
      <c r="D61" s="10">
        <v>2022</v>
      </c>
      <c r="E61" s="4">
        <v>1905</v>
      </c>
      <c r="F61" s="4" t="s">
        <v>7</v>
      </c>
      <c r="G61" s="2">
        <v>2.63</v>
      </c>
      <c r="H61" s="2"/>
      <c r="I61" s="1">
        <v>2022</v>
      </c>
      <c r="J61" s="4" t="s">
        <v>12</v>
      </c>
      <c r="K61" s="4" t="s">
        <v>27</v>
      </c>
      <c r="L61" s="4" t="s">
        <v>137</v>
      </c>
    </row>
    <row r="62" spans="1:12" x14ac:dyDescent="0.3">
      <c r="A62" s="10">
        <v>61</v>
      </c>
      <c r="B62" s="10" t="s">
        <v>135</v>
      </c>
      <c r="C62" s="10" t="s">
        <v>80</v>
      </c>
      <c r="D62" s="10">
        <v>2022</v>
      </c>
      <c r="E62" s="4">
        <v>1780</v>
      </c>
      <c r="F62" s="4" t="s">
        <v>7</v>
      </c>
      <c r="G62" s="2">
        <v>0</v>
      </c>
      <c r="H62" s="2">
        <v>0</v>
      </c>
      <c r="I62" s="1">
        <v>2021</v>
      </c>
      <c r="J62" s="4" t="s">
        <v>12</v>
      </c>
      <c r="K62" s="4" t="s">
        <v>27</v>
      </c>
      <c r="L62" s="4" t="s">
        <v>53</v>
      </c>
    </row>
    <row r="63" spans="1:12" x14ac:dyDescent="0.3">
      <c r="A63" s="10">
        <v>62</v>
      </c>
      <c r="B63" s="10" t="s">
        <v>112</v>
      </c>
      <c r="C63" s="10" t="s">
        <v>81</v>
      </c>
      <c r="D63" s="10">
        <v>2022</v>
      </c>
      <c r="E63" s="4">
        <v>1780</v>
      </c>
      <c r="F63" s="4" t="s">
        <v>7</v>
      </c>
      <c r="G63" s="2">
        <v>14.51</v>
      </c>
      <c r="H63" s="2">
        <v>25831</v>
      </c>
      <c r="I63" s="1">
        <v>2020</v>
      </c>
      <c r="J63" s="4" t="s">
        <v>12</v>
      </c>
      <c r="K63" s="4" t="s">
        <v>9</v>
      </c>
      <c r="L63" s="4" t="s">
        <v>46</v>
      </c>
    </row>
    <row r="64" spans="1:12" x14ac:dyDescent="0.3">
      <c r="A64" s="10">
        <v>63</v>
      </c>
      <c r="B64" s="10" t="s">
        <v>112</v>
      </c>
      <c r="C64" s="10" t="s">
        <v>82</v>
      </c>
      <c r="D64" s="10">
        <v>2022</v>
      </c>
      <c r="E64" s="4">
        <v>1780</v>
      </c>
      <c r="F64" s="4" t="s">
        <v>7</v>
      </c>
      <c r="G64" s="2">
        <v>14.53</v>
      </c>
      <c r="H64" s="2">
        <v>25867</v>
      </c>
      <c r="I64" s="1">
        <v>2020</v>
      </c>
      <c r="J64" s="4" t="s">
        <v>12</v>
      </c>
      <c r="K64" s="4" t="s">
        <v>9</v>
      </c>
      <c r="L64" s="4" t="s">
        <v>46</v>
      </c>
    </row>
    <row r="65" spans="1:12" x14ac:dyDescent="0.3">
      <c r="A65" s="10">
        <v>64</v>
      </c>
      <c r="B65" s="10" t="s">
        <v>112</v>
      </c>
      <c r="C65" s="10" t="s">
        <v>51</v>
      </c>
      <c r="D65" s="10">
        <v>2022</v>
      </c>
      <c r="E65" s="4">
        <v>1780</v>
      </c>
      <c r="F65" s="4" t="s">
        <v>7</v>
      </c>
      <c r="G65" s="2">
        <v>6.74</v>
      </c>
      <c r="H65" s="2">
        <v>12003</v>
      </c>
      <c r="I65" s="1">
        <v>2021</v>
      </c>
      <c r="J65" s="4" t="s">
        <v>12</v>
      </c>
      <c r="K65" s="4" t="s">
        <v>9</v>
      </c>
      <c r="L65" s="4" t="s">
        <v>46</v>
      </c>
    </row>
    <row r="66" spans="1:12" x14ac:dyDescent="0.3">
      <c r="A66" s="10">
        <v>65</v>
      </c>
      <c r="B66" s="10" t="s">
        <v>112</v>
      </c>
      <c r="C66" s="10" t="s">
        <v>83</v>
      </c>
      <c r="D66" s="10">
        <v>2022</v>
      </c>
      <c r="E66" s="4">
        <v>1632</v>
      </c>
      <c r="F66" s="4" t="s">
        <v>7</v>
      </c>
      <c r="G66" s="2">
        <v>10.680000000000005</v>
      </c>
      <c r="H66" s="2">
        <v>17410</v>
      </c>
      <c r="I66" s="1">
        <v>2016</v>
      </c>
      <c r="J66" s="4" t="s">
        <v>12</v>
      </c>
      <c r="K66" s="4" t="s">
        <v>27</v>
      </c>
      <c r="L66" s="4" t="s">
        <v>134</v>
      </c>
    </row>
    <row r="67" spans="1:12" x14ac:dyDescent="0.3">
      <c r="A67" s="10">
        <v>66</v>
      </c>
      <c r="B67" s="10" t="s">
        <v>112</v>
      </c>
      <c r="C67" s="10" t="s">
        <v>84</v>
      </c>
      <c r="D67" s="10">
        <v>2022</v>
      </c>
      <c r="E67" s="4">
        <v>1632</v>
      </c>
      <c r="F67" s="4" t="s">
        <v>7</v>
      </c>
      <c r="G67" s="2">
        <v>13.67999999999998</v>
      </c>
      <c r="H67" s="2">
        <v>22220</v>
      </c>
      <c r="I67" s="1">
        <v>2016</v>
      </c>
      <c r="J67" s="4" t="s">
        <v>12</v>
      </c>
      <c r="K67" s="4" t="s">
        <v>27</v>
      </c>
      <c r="L67" s="4" t="s">
        <v>134</v>
      </c>
    </row>
    <row r="68" spans="1:12" x14ac:dyDescent="0.3">
      <c r="A68" s="10">
        <v>67</v>
      </c>
      <c r="B68" s="10" t="s">
        <v>112</v>
      </c>
      <c r="C68" s="10" t="s">
        <v>85</v>
      </c>
      <c r="D68" s="10">
        <v>2022</v>
      </c>
      <c r="E68" s="4">
        <v>1632</v>
      </c>
      <c r="F68" s="4" t="s">
        <v>7</v>
      </c>
      <c r="G68" s="2">
        <v>14.049999999999988</v>
      </c>
      <c r="H68" s="2">
        <v>22729</v>
      </c>
      <c r="I68" s="1">
        <v>2016</v>
      </c>
      <c r="J68" s="4" t="s">
        <v>12</v>
      </c>
      <c r="K68" s="4" t="s">
        <v>27</v>
      </c>
      <c r="L68" s="4" t="s">
        <v>134</v>
      </c>
    </row>
    <row r="69" spans="1:12" x14ac:dyDescent="0.3">
      <c r="A69" s="10">
        <v>68</v>
      </c>
      <c r="B69" s="10" t="s">
        <v>112</v>
      </c>
      <c r="C69" s="10" t="s">
        <v>86</v>
      </c>
      <c r="D69" s="10">
        <v>2022</v>
      </c>
      <c r="E69" s="4">
        <v>1632</v>
      </c>
      <c r="F69" s="4" t="s">
        <v>7</v>
      </c>
      <c r="G69" s="2">
        <v>13.370000000000003</v>
      </c>
      <c r="H69" s="2">
        <v>21762</v>
      </c>
      <c r="I69" s="1">
        <v>2016</v>
      </c>
      <c r="J69" s="4" t="s">
        <v>12</v>
      </c>
      <c r="K69" s="4" t="s">
        <v>27</v>
      </c>
      <c r="L69" s="4" t="s">
        <v>134</v>
      </c>
    </row>
    <row r="70" spans="1:12" x14ac:dyDescent="0.3">
      <c r="A70" s="10">
        <v>69</v>
      </c>
      <c r="B70" s="10" t="s">
        <v>112</v>
      </c>
      <c r="C70" s="10" t="s">
        <v>87</v>
      </c>
      <c r="D70" s="10">
        <v>2022</v>
      </c>
      <c r="E70" s="4">
        <v>1587</v>
      </c>
      <c r="F70" s="4" t="s">
        <v>7</v>
      </c>
      <c r="G70" s="2">
        <v>6.1299999999999972</v>
      </c>
      <c r="H70" s="2">
        <v>9705</v>
      </c>
      <c r="I70" s="1">
        <v>2019</v>
      </c>
      <c r="J70" s="4" t="s">
        <v>12</v>
      </c>
      <c r="K70" s="4" t="s">
        <v>27</v>
      </c>
      <c r="L70" s="4" t="s">
        <v>134</v>
      </c>
    </row>
    <row r="71" spans="1:12" x14ac:dyDescent="0.3">
      <c r="A71" s="10">
        <v>70</v>
      </c>
      <c r="B71" s="10" t="s">
        <v>163</v>
      </c>
      <c r="C71" s="10" t="s">
        <v>88</v>
      </c>
      <c r="D71" s="10">
        <v>2022</v>
      </c>
      <c r="E71" s="4">
        <v>1838</v>
      </c>
      <c r="F71" s="4" t="s">
        <v>7</v>
      </c>
      <c r="G71" s="2">
        <v>13.18</v>
      </c>
      <c r="H71" s="2">
        <v>24218</v>
      </c>
      <c r="I71" s="1">
        <v>2021</v>
      </c>
      <c r="J71" s="4" t="s">
        <v>12</v>
      </c>
      <c r="K71" s="4" t="s">
        <v>27</v>
      </c>
      <c r="L71" s="4" t="s">
        <v>34</v>
      </c>
    </row>
    <row r="72" spans="1:12" x14ac:dyDescent="0.3">
      <c r="A72" s="10">
        <v>71</v>
      </c>
      <c r="B72" s="10" t="s">
        <v>163</v>
      </c>
      <c r="C72" s="10" t="s">
        <v>89</v>
      </c>
      <c r="D72" s="10">
        <v>2022</v>
      </c>
      <c r="E72" s="4">
        <v>1838</v>
      </c>
      <c r="F72" s="4" t="s">
        <v>7</v>
      </c>
      <c r="G72" s="2">
        <v>9.33</v>
      </c>
      <c r="H72" s="2">
        <v>17147</v>
      </c>
      <c r="I72" s="1">
        <v>2021</v>
      </c>
      <c r="J72" s="4" t="s">
        <v>12</v>
      </c>
      <c r="K72" s="4" t="s">
        <v>27</v>
      </c>
      <c r="L72" s="4" t="s">
        <v>34</v>
      </c>
    </row>
    <row r="73" spans="1:12" x14ac:dyDescent="0.3">
      <c r="A73" s="10">
        <v>72</v>
      </c>
      <c r="B73" s="10" t="s">
        <v>163</v>
      </c>
      <c r="C73" s="10" t="s">
        <v>90</v>
      </c>
      <c r="D73" s="10">
        <v>2022</v>
      </c>
      <c r="E73" s="7">
        <v>1905</v>
      </c>
      <c r="F73" s="7" t="s">
        <v>7</v>
      </c>
      <c r="G73" s="2">
        <v>0</v>
      </c>
      <c r="H73" s="2">
        <v>0</v>
      </c>
      <c r="I73" s="1">
        <v>2022</v>
      </c>
      <c r="J73" s="7" t="s">
        <v>8</v>
      </c>
      <c r="K73" s="7" t="s">
        <v>27</v>
      </c>
      <c r="L73" s="7" t="s">
        <v>53</v>
      </c>
    </row>
    <row r="74" spans="1:12" x14ac:dyDescent="0.3">
      <c r="A74" s="10">
        <v>73</v>
      </c>
      <c r="B74" s="10" t="s">
        <v>163</v>
      </c>
      <c r="C74" s="10" t="s">
        <v>92</v>
      </c>
      <c r="D74" s="10">
        <v>2022</v>
      </c>
      <c r="E74" s="7">
        <v>1905</v>
      </c>
      <c r="F74" s="7" t="s">
        <v>7</v>
      </c>
      <c r="G74" s="2">
        <v>0</v>
      </c>
      <c r="H74" s="2">
        <v>0</v>
      </c>
      <c r="I74" s="1">
        <v>2022</v>
      </c>
      <c r="J74" s="7" t="s">
        <v>8</v>
      </c>
      <c r="K74" s="7" t="s">
        <v>27</v>
      </c>
      <c r="L74" s="7" t="s">
        <v>53</v>
      </c>
    </row>
    <row r="75" spans="1:12" x14ac:dyDescent="0.3">
      <c r="A75" s="10">
        <v>74</v>
      </c>
      <c r="B75" s="10" t="s">
        <v>163</v>
      </c>
      <c r="C75" s="10" t="s">
        <v>80</v>
      </c>
      <c r="D75" s="10">
        <v>2022</v>
      </c>
      <c r="E75" s="7">
        <v>1780</v>
      </c>
      <c r="F75" s="7" t="s">
        <v>7</v>
      </c>
      <c r="G75" s="2">
        <v>0</v>
      </c>
      <c r="H75" s="2">
        <v>0</v>
      </c>
      <c r="I75" s="1">
        <v>2021</v>
      </c>
      <c r="J75" s="7" t="s">
        <v>12</v>
      </c>
      <c r="K75" s="7" t="s">
        <v>27</v>
      </c>
      <c r="L75" s="7" t="s">
        <v>53</v>
      </c>
    </row>
    <row r="76" spans="1:12" x14ac:dyDescent="0.3">
      <c r="A76" s="10">
        <v>75</v>
      </c>
      <c r="B76" s="10" t="s">
        <v>163</v>
      </c>
      <c r="C76" s="10" t="s">
        <v>93</v>
      </c>
      <c r="D76" s="10">
        <v>2022</v>
      </c>
      <c r="E76" s="7">
        <v>1905</v>
      </c>
      <c r="F76" s="7" t="s">
        <v>7</v>
      </c>
      <c r="G76" s="2">
        <v>0</v>
      </c>
      <c r="H76" s="2">
        <v>0</v>
      </c>
      <c r="I76" s="1">
        <v>2022</v>
      </c>
      <c r="J76" s="7" t="s">
        <v>8</v>
      </c>
      <c r="K76" s="7" t="s">
        <v>9</v>
      </c>
      <c r="L76" s="7" t="s">
        <v>133</v>
      </c>
    </row>
    <row r="77" spans="1:12" x14ac:dyDescent="0.3">
      <c r="A77" s="10">
        <v>76</v>
      </c>
      <c r="B77" s="10" t="s">
        <v>163</v>
      </c>
      <c r="C77" s="10" t="s">
        <v>94</v>
      </c>
      <c r="D77" s="10">
        <v>2022</v>
      </c>
      <c r="E77" s="7">
        <v>1905</v>
      </c>
      <c r="F77" s="7" t="s">
        <v>7</v>
      </c>
      <c r="G77" s="2">
        <v>0</v>
      </c>
      <c r="H77" s="2">
        <v>0</v>
      </c>
      <c r="I77" s="1">
        <v>2022</v>
      </c>
      <c r="J77" s="7" t="s">
        <v>8</v>
      </c>
      <c r="K77" s="7" t="s">
        <v>9</v>
      </c>
      <c r="L77" s="7" t="s">
        <v>133</v>
      </c>
    </row>
    <row r="78" spans="1:12" x14ac:dyDescent="0.3">
      <c r="A78" s="10">
        <v>77</v>
      </c>
      <c r="B78" s="10" t="s">
        <v>163</v>
      </c>
      <c r="C78" s="10" t="s">
        <v>95</v>
      </c>
      <c r="D78" s="10">
        <v>2022</v>
      </c>
      <c r="E78" s="7">
        <v>1905</v>
      </c>
      <c r="F78" s="7" t="s">
        <v>7</v>
      </c>
      <c r="G78" s="2">
        <v>0</v>
      </c>
      <c r="H78" s="2">
        <v>0</v>
      </c>
      <c r="I78" s="1">
        <v>2022</v>
      </c>
      <c r="J78" s="7" t="s">
        <v>8</v>
      </c>
      <c r="K78" s="7" t="s">
        <v>9</v>
      </c>
      <c r="L78" s="7" t="s">
        <v>133</v>
      </c>
    </row>
    <row r="79" spans="1:12" x14ac:dyDescent="0.3">
      <c r="A79" s="10">
        <v>78</v>
      </c>
      <c r="B79" s="10" t="s">
        <v>163</v>
      </c>
      <c r="C79" s="10" t="s">
        <v>96</v>
      </c>
      <c r="D79" s="10">
        <v>2022</v>
      </c>
      <c r="E79" s="7">
        <v>1905</v>
      </c>
      <c r="F79" s="7" t="s">
        <v>7</v>
      </c>
      <c r="G79" s="2">
        <v>0</v>
      </c>
      <c r="H79" s="2">
        <v>0</v>
      </c>
      <c r="I79" s="1">
        <v>2022</v>
      </c>
      <c r="J79" s="7" t="s">
        <v>12</v>
      </c>
      <c r="K79" s="7" t="s">
        <v>27</v>
      </c>
      <c r="L79" s="7" t="s">
        <v>136</v>
      </c>
    </row>
    <row r="80" spans="1:12" x14ac:dyDescent="0.3">
      <c r="A80" s="10">
        <v>79</v>
      </c>
      <c r="B80" s="10" t="s">
        <v>163</v>
      </c>
      <c r="C80" s="10" t="s">
        <v>97</v>
      </c>
      <c r="D80" s="10">
        <v>2022</v>
      </c>
      <c r="E80" s="7">
        <v>1905</v>
      </c>
      <c r="F80" s="7" t="s">
        <v>7</v>
      </c>
      <c r="G80" s="2">
        <v>0</v>
      </c>
      <c r="H80" s="2">
        <v>0</v>
      </c>
      <c r="I80" s="1">
        <v>2022</v>
      </c>
      <c r="J80" s="7" t="s">
        <v>12</v>
      </c>
      <c r="K80" s="7" t="s">
        <v>27</v>
      </c>
      <c r="L80" s="7" t="s">
        <v>136</v>
      </c>
    </row>
    <row r="81" spans="1:12" x14ac:dyDescent="0.3">
      <c r="A81" s="10">
        <v>80</v>
      </c>
      <c r="B81" s="10" t="s">
        <v>163</v>
      </c>
      <c r="C81" s="10" t="s">
        <v>98</v>
      </c>
      <c r="D81" s="10">
        <v>2022</v>
      </c>
      <c r="E81" s="7">
        <v>1905</v>
      </c>
      <c r="F81" s="7" t="s">
        <v>7</v>
      </c>
      <c r="G81" s="2">
        <v>0</v>
      </c>
      <c r="H81" s="2">
        <v>0</v>
      </c>
      <c r="I81" s="1">
        <v>2022</v>
      </c>
      <c r="J81" s="7" t="s">
        <v>12</v>
      </c>
      <c r="K81" s="7" t="s">
        <v>27</v>
      </c>
      <c r="L81" s="7" t="s">
        <v>136</v>
      </c>
    </row>
    <row r="82" spans="1:12" x14ac:dyDescent="0.3">
      <c r="A82" s="10">
        <v>81</v>
      </c>
      <c r="B82" s="10" t="s">
        <v>163</v>
      </c>
      <c r="C82" s="10" t="s">
        <v>99</v>
      </c>
      <c r="D82" s="10">
        <v>2022</v>
      </c>
      <c r="E82" s="8">
        <v>1754</v>
      </c>
      <c r="F82" s="8" t="s">
        <v>7</v>
      </c>
      <c r="G82" s="2">
        <v>0</v>
      </c>
      <c r="H82" s="2">
        <v>0</v>
      </c>
      <c r="I82" s="1">
        <v>2022</v>
      </c>
      <c r="J82" s="8" t="s">
        <v>8</v>
      </c>
      <c r="K82" s="8" t="s">
        <v>27</v>
      </c>
      <c r="L82" s="8" t="s">
        <v>134</v>
      </c>
    </row>
    <row r="83" spans="1:12" x14ac:dyDescent="0.3">
      <c r="A83" s="10">
        <v>82</v>
      </c>
      <c r="B83" s="10" t="s">
        <v>163</v>
      </c>
      <c r="C83" s="10" t="s">
        <v>100</v>
      </c>
      <c r="D83" s="10">
        <v>2022</v>
      </c>
      <c r="E83" s="8">
        <v>1754</v>
      </c>
      <c r="F83" s="8" t="s">
        <v>7</v>
      </c>
      <c r="G83" s="2">
        <v>0</v>
      </c>
      <c r="H83" s="2">
        <v>0</v>
      </c>
      <c r="I83" s="1">
        <v>2022</v>
      </c>
      <c r="J83" s="8" t="s">
        <v>8</v>
      </c>
      <c r="K83" s="8" t="s">
        <v>27</v>
      </c>
      <c r="L83" s="8" t="s">
        <v>134</v>
      </c>
    </row>
    <row r="84" spans="1:12" x14ac:dyDescent="0.3">
      <c r="A84" s="9">
        <v>83</v>
      </c>
      <c r="B84" s="9" t="s">
        <v>105</v>
      </c>
      <c r="C84" s="10" t="s">
        <v>6</v>
      </c>
      <c r="D84" s="10">
        <v>2022</v>
      </c>
      <c r="E84" s="4">
        <v>1780</v>
      </c>
      <c r="F84" s="8" t="s">
        <v>162</v>
      </c>
      <c r="G84" s="2">
        <v>0.03</v>
      </c>
      <c r="H84" s="11">
        <v>52</v>
      </c>
      <c r="I84" s="1">
        <v>2018</v>
      </c>
      <c r="J84" s="8" t="s">
        <v>8</v>
      </c>
      <c r="K84" s="8" t="s">
        <v>9</v>
      </c>
      <c r="L84" s="8" t="s">
        <v>10</v>
      </c>
    </row>
    <row r="85" spans="1:12" x14ac:dyDescent="0.3">
      <c r="A85" s="9">
        <v>84</v>
      </c>
      <c r="B85" s="9" t="s">
        <v>105</v>
      </c>
      <c r="C85" s="10" t="s">
        <v>11</v>
      </c>
      <c r="D85" s="10">
        <v>2022</v>
      </c>
      <c r="E85" s="4">
        <v>2132</v>
      </c>
      <c r="F85" s="8" t="s">
        <v>162</v>
      </c>
      <c r="G85" s="2">
        <v>0.13</v>
      </c>
      <c r="H85" s="11">
        <v>274</v>
      </c>
      <c r="I85" s="1">
        <v>2016</v>
      </c>
      <c r="J85" s="8" t="s">
        <v>12</v>
      </c>
      <c r="K85" s="8" t="s">
        <v>9</v>
      </c>
      <c r="L85" s="8" t="s">
        <v>10</v>
      </c>
    </row>
    <row r="86" spans="1:12" x14ac:dyDescent="0.3">
      <c r="A86" s="9">
        <v>85</v>
      </c>
      <c r="B86" s="9" t="s">
        <v>105</v>
      </c>
      <c r="C86" s="10" t="s">
        <v>13</v>
      </c>
      <c r="D86" s="10">
        <v>2022</v>
      </c>
      <c r="E86" s="4">
        <v>2132</v>
      </c>
      <c r="F86" s="8" t="s">
        <v>162</v>
      </c>
      <c r="G86" s="2">
        <v>0.25</v>
      </c>
      <c r="H86" s="11">
        <v>523</v>
      </c>
      <c r="I86" s="1">
        <v>2016</v>
      </c>
      <c r="J86" s="8" t="s">
        <v>12</v>
      </c>
      <c r="K86" s="8" t="s">
        <v>9</v>
      </c>
      <c r="L86" s="8" t="s">
        <v>10</v>
      </c>
    </row>
    <row r="87" spans="1:12" x14ac:dyDescent="0.3">
      <c r="A87" s="9">
        <v>86</v>
      </c>
      <c r="B87" s="9" t="s">
        <v>105</v>
      </c>
      <c r="C87" s="10" t="s">
        <v>14</v>
      </c>
      <c r="D87" s="10">
        <v>2022</v>
      </c>
      <c r="E87" s="4">
        <v>2132</v>
      </c>
      <c r="F87" s="8" t="s">
        <v>162</v>
      </c>
      <c r="G87" s="2">
        <v>7.0000000000000007E-2</v>
      </c>
      <c r="H87" s="11">
        <v>151</v>
      </c>
      <c r="I87" s="1">
        <v>2016</v>
      </c>
      <c r="J87" s="8" t="s">
        <v>12</v>
      </c>
      <c r="K87" s="8" t="s">
        <v>9</v>
      </c>
      <c r="L87" s="8" t="s">
        <v>10</v>
      </c>
    </row>
    <row r="88" spans="1:12" x14ac:dyDescent="0.3">
      <c r="A88" s="9">
        <v>87</v>
      </c>
      <c r="B88" s="9" t="s">
        <v>105</v>
      </c>
      <c r="C88" s="10" t="s">
        <v>15</v>
      </c>
      <c r="D88" s="10">
        <v>2022</v>
      </c>
      <c r="E88" s="4">
        <v>2132</v>
      </c>
      <c r="F88" s="8" t="s">
        <v>162</v>
      </c>
      <c r="G88" s="2">
        <v>0.1</v>
      </c>
      <c r="H88" s="11">
        <v>223</v>
      </c>
      <c r="I88" s="1">
        <v>2017</v>
      </c>
      <c r="J88" s="8" t="s">
        <v>12</v>
      </c>
      <c r="K88" s="8" t="s">
        <v>9</v>
      </c>
      <c r="L88" s="8" t="s">
        <v>10</v>
      </c>
    </row>
    <row r="89" spans="1:12" x14ac:dyDescent="0.3">
      <c r="A89" s="9">
        <v>88</v>
      </c>
      <c r="B89" s="9" t="s">
        <v>105</v>
      </c>
      <c r="C89" s="10" t="s">
        <v>16</v>
      </c>
      <c r="D89" s="10">
        <v>2022</v>
      </c>
      <c r="E89" s="4">
        <v>2070</v>
      </c>
      <c r="F89" s="8" t="s">
        <v>162</v>
      </c>
      <c r="G89" s="2">
        <v>0.01</v>
      </c>
      <c r="H89" s="11">
        <v>25</v>
      </c>
      <c r="I89" s="1">
        <v>2017</v>
      </c>
      <c r="J89" s="8" t="s">
        <v>12</v>
      </c>
      <c r="K89" s="8" t="s">
        <v>9</v>
      </c>
      <c r="L89" s="8" t="s">
        <v>10</v>
      </c>
    </row>
    <row r="90" spans="1:12" x14ac:dyDescent="0.3">
      <c r="A90" s="9">
        <v>89</v>
      </c>
      <c r="B90" s="9" t="s">
        <v>105</v>
      </c>
      <c r="C90" s="10" t="s">
        <v>18</v>
      </c>
      <c r="D90" s="10">
        <v>2022</v>
      </c>
      <c r="E90" s="4">
        <v>2070</v>
      </c>
      <c r="F90" s="8" t="s">
        <v>162</v>
      </c>
      <c r="G90" s="2">
        <v>0.01</v>
      </c>
      <c r="H90" s="11">
        <v>15</v>
      </c>
      <c r="I90" s="1">
        <v>2017</v>
      </c>
      <c r="J90" s="8" t="s">
        <v>12</v>
      </c>
      <c r="K90" s="8" t="s">
        <v>9</v>
      </c>
      <c r="L90" s="8" t="s">
        <v>10</v>
      </c>
    </row>
    <row r="91" spans="1:12" x14ac:dyDescent="0.3">
      <c r="A91" s="9">
        <v>90</v>
      </c>
      <c r="B91" s="9" t="s">
        <v>105</v>
      </c>
      <c r="C91" s="10" t="s">
        <v>19</v>
      </c>
      <c r="D91" s="10">
        <v>2022</v>
      </c>
      <c r="E91" s="4">
        <v>2070</v>
      </c>
      <c r="F91" s="8" t="s">
        <v>162</v>
      </c>
      <c r="G91" s="2">
        <v>0.06</v>
      </c>
      <c r="H91" s="11">
        <v>125</v>
      </c>
      <c r="I91" s="1">
        <v>2017</v>
      </c>
      <c r="J91" s="8" t="s">
        <v>12</v>
      </c>
      <c r="K91" s="8" t="s">
        <v>9</v>
      </c>
      <c r="L91" s="8" t="s">
        <v>10</v>
      </c>
    </row>
    <row r="92" spans="1:12" x14ac:dyDescent="0.3">
      <c r="A92" s="9">
        <v>91</v>
      </c>
      <c r="B92" s="9" t="s">
        <v>105</v>
      </c>
      <c r="C92" s="10" t="s">
        <v>20</v>
      </c>
      <c r="D92" s="10">
        <v>2022</v>
      </c>
      <c r="E92" s="4">
        <v>2132</v>
      </c>
      <c r="F92" s="8" t="s">
        <v>162</v>
      </c>
      <c r="G92" s="2">
        <v>0.05</v>
      </c>
      <c r="H92" s="11">
        <v>100</v>
      </c>
      <c r="I92" s="1">
        <v>2015</v>
      </c>
      <c r="J92" s="8" t="s">
        <v>12</v>
      </c>
      <c r="K92" s="8" t="s">
        <v>9</v>
      </c>
      <c r="L92" s="8" t="s">
        <v>133</v>
      </c>
    </row>
    <row r="93" spans="1:12" x14ac:dyDescent="0.3">
      <c r="A93" s="9">
        <v>92</v>
      </c>
      <c r="B93" s="9" t="s">
        <v>105</v>
      </c>
      <c r="C93" s="10" t="s">
        <v>21</v>
      </c>
      <c r="D93" s="10">
        <v>2022</v>
      </c>
      <c r="E93" s="4">
        <v>2132</v>
      </c>
      <c r="F93" s="8" t="s">
        <v>162</v>
      </c>
      <c r="G93" s="2">
        <v>0.14000000000000001</v>
      </c>
      <c r="H93" s="11">
        <v>297</v>
      </c>
      <c r="I93" s="1">
        <v>2015</v>
      </c>
      <c r="J93" s="8" t="s">
        <v>12</v>
      </c>
      <c r="K93" s="8" t="s">
        <v>9</v>
      </c>
      <c r="L93" s="8" t="s">
        <v>133</v>
      </c>
    </row>
    <row r="94" spans="1:12" x14ac:dyDescent="0.3">
      <c r="A94" s="9">
        <v>93</v>
      </c>
      <c r="B94" s="9" t="s">
        <v>105</v>
      </c>
      <c r="C94" s="10" t="s">
        <v>22</v>
      </c>
      <c r="D94" s="10">
        <v>2022</v>
      </c>
      <c r="E94" s="4">
        <v>2132</v>
      </c>
      <c r="F94" s="8" t="s">
        <v>162</v>
      </c>
      <c r="G94" s="2">
        <v>0.12</v>
      </c>
      <c r="H94" s="11">
        <v>263</v>
      </c>
      <c r="I94" s="1">
        <v>2015</v>
      </c>
      <c r="J94" s="8" t="s">
        <v>12</v>
      </c>
      <c r="K94" s="8" t="s">
        <v>9</v>
      </c>
      <c r="L94" s="8" t="s">
        <v>133</v>
      </c>
    </row>
    <row r="95" spans="1:12" x14ac:dyDescent="0.3">
      <c r="A95" s="9">
        <v>94</v>
      </c>
      <c r="B95" s="9" t="s">
        <v>105</v>
      </c>
      <c r="C95" s="10" t="s">
        <v>23</v>
      </c>
      <c r="D95" s="10">
        <v>2022</v>
      </c>
      <c r="E95" s="4">
        <v>2070</v>
      </c>
      <c r="F95" s="8" t="s">
        <v>162</v>
      </c>
      <c r="G95" s="2">
        <v>0.03</v>
      </c>
      <c r="H95" s="11">
        <v>10</v>
      </c>
      <c r="I95" s="1">
        <v>2016</v>
      </c>
      <c r="J95" s="8" t="s">
        <v>12</v>
      </c>
      <c r="K95" s="8" t="s">
        <v>9</v>
      </c>
      <c r="L95" s="8" t="s">
        <v>132</v>
      </c>
    </row>
    <row r="96" spans="1:12" x14ac:dyDescent="0.3">
      <c r="A96" s="9">
        <v>95</v>
      </c>
      <c r="B96" s="9" t="s">
        <v>105</v>
      </c>
      <c r="C96" s="10" t="s">
        <v>24</v>
      </c>
      <c r="D96" s="10">
        <v>2022</v>
      </c>
      <c r="E96" s="4">
        <v>2070</v>
      </c>
      <c r="F96" s="8" t="s">
        <v>162</v>
      </c>
      <c r="G96" s="2">
        <v>7.0000000000000007E-2</v>
      </c>
      <c r="H96" s="11">
        <v>119</v>
      </c>
      <c r="I96" s="1">
        <v>2017</v>
      </c>
      <c r="J96" s="8" t="s">
        <v>12</v>
      </c>
      <c r="K96" s="8" t="s">
        <v>9</v>
      </c>
      <c r="L96" s="8" t="s">
        <v>132</v>
      </c>
    </row>
    <row r="97" spans="1:12" x14ac:dyDescent="0.3">
      <c r="A97" s="9">
        <v>96</v>
      </c>
      <c r="B97" s="9" t="s">
        <v>105</v>
      </c>
      <c r="C97" s="10" t="s">
        <v>25</v>
      </c>
      <c r="D97" s="10">
        <v>2022</v>
      </c>
      <c r="E97" s="4">
        <v>2070</v>
      </c>
      <c r="F97" s="8" t="s">
        <v>162</v>
      </c>
      <c r="G97" s="2">
        <v>0.05</v>
      </c>
      <c r="H97" s="11">
        <v>107</v>
      </c>
      <c r="I97" s="1">
        <v>2016</v>
      </c>
      <c r="J97" s="8" t="s">
        <v>12</v>
      </c>
      <c r="K97" s="8" t="s">
        <v>9</v>
      </c>
      <c r="L97" s="8" t="s">
        <v>132</v>
      </c>
    </row>
    <row r="98" spans="1:12" x14ac:dyDescent="0.3">
      <c r="A98" s="9">
        <v>97</v>
      </c>
      <c r="B98" s="9" t="s">
        <v>105</v>
      </c>
      <c r="C98" s="10" t="s">
        <v>26</v>
      </c>
      <c r="D98" s="10">
        <v>2022</v>
      </c>
      <c r="E98" s="4">
        <v>1905</v>
      </c>
      <c r="F98" s="8" t="s">
        <v>162</v>
      </c>
      <c r="G98" s="2">
        <v>0.03</v>
      </c>
      <c r="H98" s="11">
        <v>52</v>
      </c>
      <c r="I98" s="1">
        <v>2015</v>
      </c>
      <c r="J98" s="8" t="s">
        <v>8</v>
      </c>
      <c r="K98" s="8" t="s">
        <v>27</v>
      </c>
      <c r="L98" s="8" t="s">
        <v>28</v>
      </c>
    </row>
    <row r="99" spans="1:12" x14ac:dyDescent="0.3">
      <c r="A99" s="9">
        <v>98</v>
      </c>
      <c r="B99" s="9" t="s">
        <v>105</v>
      </c>
      <c r="C99" s="10" t="s">
        <v>29</v>
      </c>
      <c r="D99" s="10">
        <v>2022</v>
      </c>
      <c r="E99" s="4">
        <v>1905</v>
      </c>
      <c r="F99" s="8" t="s">
        <v>162</v>
      </c>
      <c r="G99" s="2">
        <v>0.17</v>
      </c>
      <c r="H99" s="11">
        <v>318</v>
      </c>
      <c r="I99" s="1">
        <v>2017</v>
      </c>
      <c r="J99" s="8" t="s">
        <v>8</v>
      </c>
      <c r="K99" s="8" t="s">
        <v>27</v>
      </c>
      <c r="L99" s="8" t="s">
        <v>28</v>
      </c>
    </row>
    <row r="100" spans="1:12" x14ac:dyDescent="0.3">
      <c r="A100" s="9">
        <v>99</v>
      </c>
      <c r="B100" s="9" t="s">
        <v>105</v>
      </c>
      <c r="C100" s="10" t="s">
        <v>30</v>
      </c>
      <c r="D100" s="10">
        <v>2022</v>
      </c>
      <c r="E100" s="4">
        <v>1953</v>
      </c>
      <c r="F100" s="8" t="s">
        <v>162</v>
      </c>
      <c r="G100" s="2">
        <v>7.0000000000000007E-2</v>
      </c>
      <c r="H100" s="11">
        <v>127</v>
      </c>
      <c r="I100" s="1">
        <v>2018</v>
      </c>
      <c r="J100" s="8" t="s">
        <v>8</v>
      </c>
      <c r="K100" s="8" t="s">
        <v>27</v>
      </c>
      <c r="L100" s="8" t="s">
        <v>28</v>
      </c>
    </row>
    <row r="101" spans="1:12" x14ac:dyDescent="0.3">
      <c r="A101" s="9">
        <v>100</v>
      </c>
      <c r="B101" s="9" t="s">
        <v>105</v>
      </c>
      <c r="C101" s="10" t="s">
        <v>31</v>
      </c>
      <c r="D101" s="10">
        <v>2022</v>
      </c>
      <c r="E101" s="4">
        <v>1905.1398337112623</v>
      </c>
      <c r="F101" s="8" t="s">
        <v>162</v>
      </c>
      <c r="G101" s="2">
        <v>0.04</v>
      </c>
      <c r="H101" s="11">
        <v>81</v>
      </c>
      <c r="I101" s="1">
        <v>2016</v>
      </c>
      <c r="J101" s="8" t="s">
        <v>8</v>
      </c>
      <c r="K101" s="8" t="s">
        <v>27</v>
      </c>
      <c r="L101" s="8" t="s">
        <v>28</v>
      </c>
    </row>
    <row r="102" spans="1:12" x14ac:dyDescent="0.3">
      <c r="A102" s="9">
        <v>101</v>
      </c>
      <c r="B102" s="9" t="s">
        <v>105</v>
      </c>
      <c r="C102" s="10" t="s">
        <v>32</v>
      </c>
      <c r="D102" s="10">
        <v>2022</v>
      </c>
      <c r="E102" s="4">
        <v>1953</v>
      </c>
      <c r="F102" s="8" t="s">
        <v>162</v>
      </c>
      <c r="G102" s="2">
        <v>0</v>
      </c>
      <c r="H102" s="11">
        <v>2</v>
      </c>
      <c r="I102" s="1">
        <v>2014</v>
      </c>
      <c r="J102" s="8" t="s">
        <v>8</v>
      </c>
      <c r="K102" s="8" t="s">
        <v>27</v>
      </c>
      <c r="L102" s="8" t="s">
        <v>28</v>
      </c>
    </row>
    <row r="103" spans="1:12" x14ac:dyDescent="0.3">
      <c r="A103" s="9">
        <v>102</v>
      </c>
      <c r="B103" s="9" t="s">
        <v>105</v>
      </c>
      <c r="C103" s="10" t="s">
        <v>33</v>
      </c>
      <c r="D103" s="10">
        <v>2022</v>
      </c>
      <c r="E103" s="4">
        <v>1953</v>
      </c>
      <c r="F103" s="8" t="s">
        <v>162</v>
      </c>
      <c r="G103" s="2">
        <v>0.02</v>
      </c>
      <c r="H103" s="11">
        <v>32</v>
      </c>
      <c r="I103" s="1">
        <v>2019</v>
      </c>
      <c r="J103" s="8" t="s">
        <v>12</v>
      </c>
      <c r="K103" s="8" t="s">
        <v>9</v>
      </c>
      <c r="L103" s="8" t="s">
        <v>132</v>
      </c>
    </row>
    <row r="104" spans="1:12" x14ac:dyDescent="0.3">
      <c r="A104" s="9">
        <v>103</v>
      </c>
      <c r="B104" s="9" t="s">
        <v>105</v>
      </c>
      <c r="C104" s="10" t="s">
        <v>35</v>
      </c>
      <c r="D104" s="10">
        <v>2022</v>
      </c>
      <c r="E104" s="4">
        <v>1953</v>
      </c>
      <c r="F104" s="8" t="s">
        <v>162</v>
      </c>
      <c r="G104" s="2">
        <v>0</v>
      </c>
      <c r="H104" s="11">
        <v>9</v>
      </c>
      <c r="I104" s="1">
        <v>2019</v>
      </c>
      <c r="J104" s="8" t="s">
        <v>12</v>
      </c>
      <c r="K104" s="8" t="s">
        <v>9</v>
      </c>
      <c r="L104" s="8" t="s">
        <v>132</v>
      </c>
    </row>
    <row r="105" spans="1:12" x14ac:dyDescent="0.3">
      <c r="A105" s="9">
        <v>104</v>
      </c>
      <c r="B105" s="9" t="s">
        <v>105</v>
      </c>
      <c r="C105" s="10" t="s">
        <v>36</v>
      </c>
      <c r="D105" s="10">
        <v>2022</v>
      </c>
      <c r="E105" s="4">
        <v>1953</v>
      </c>
      <c r="F105" s="8" t="s">
        <v>162</v>
      </c>
      <c r="G105" s="2">
        <v>0.01</v>
      </c>
      <c r="H105" s="11">
        <v>16</v>
      </c>
      <c r="I105" s="1">
        <v>2019</v>
      </c>
      <c r="J105" s="8" t="s">
        <v>12</v>
      </c>
      <c r="K105" s="8" t="s">
        <v>9</v>
      </c>
      <c r="L105" s="8" t="s">
        <v>132</v>
      </c>
    </row>
    <row r="106" spans="1:12" x14ac:dyDescent="0.3">
      <c r="A106" s="9">
        <v>105</v>
      </c>
      <c r="B106" s="9" t="s">
        <v>105</v>
      </c>
      <c r="C106" s="10" t="s">
        <v>37</v>
      </c>
      <c r="D106" s="10">
        <v>2022</v>
      </c>
      <c r="E106" s="4">
        <v>1780</v>
      </c>
      <c r="F106" s="8" t="s">
        <v>162</v>
      </c>
      <c r="G106" s="2">
        <v>0.09</v>
      </c>
      <c r="H106" s="11">
        <v>156</v>
      </c>
      <c r="I106" s="1">
        <v>2020</v>
      </c>
      <c r="J106" s="8" t="s">
        <v>12</v>
      </c>
      <c r="K106" s="8" t="s">
        <v>9</v>
      </c>
      <c r="L106" s="8" t="s">
        <v>132</v>
      </c>
    </row>
    <row r="107" spans="1:12" x14ac:dyDescent="0.3">
      <c r="A107" s="9">
        <v>106</v>
      </c>
      <c r="B107" s="9" t="s">
        <v>105</v>
      </c>
      <c r="C107" s="10" t="s">
        <v>38</v>
      </c>
      <c r="D107" s="10">
        <v>2022</v>
      </c>
      <c r="E107" s="4">
        <v>1780</v>
      </c>
      <c r="F107" s="8" t="s">
        <v>162</v>
      </c>
      <c r="G107" s="2">
        <v>0.02</v>
      </c>
      <c r="H107" s="11">
        <v>35</v>
      </c>
      <c r="I107" s="1">
        <v>2020</v>
      </c>
      <c r="J107" s="8" t="s">
        <v>12</v>
      </c>
      <c r="K107" s="8" t="s">
        <v>9</v>
      </c>
      <c r="L107" s="8" t="s">
        <v>132</v>
      </c>
    </row>
    <row r="108" spans="1:12" x14ac:dyDescent="0.3">
      <c r="A108" s="9">
        <v>107</v>
      </c>
      <c r="B108" s="9" t="s">
        <v>105</v>
      </c>
      <c r="C108" s="10" t="s">
        <v>39</v>
      </c>
      <c r="D108" s="10">
        <v>2022</v>
      </c>
      <c r="E108" s="4">
        <v>1780</v>
      </c>
      <c r="F108" s="8" t="s">
        <v>162</v>
      </c>
      <c r="G108" s="2">
        <v>0.02</v>
      </c>
      <c r="H108" s="11">
        <v>40</v>
      </c>
      <c r="I108" s="1">
        <v>2020</v>
      </c>
      <c r="J108" s="8" t="s">
        <v>12</v>
      </c>
      <c r="K108" s="8" t="s">
        <v>9</v>
      </c>
      <c r="L108" s="8" t="s">
        <v>132</v>
      </c>
    </row>
    <row r="109" spans="1:12" x14ac:dyDescent="0.3">
      <c r="A109" s="9">
        <v>108</v>
      </c>
      <c r="B109" s="9" t="s">
        <v>105</v>
      </c>
      <c r="C109" s="10" t="s">
        <v>40</v>
      </c>
      <c r="D109" s="10">
        <v>2022</v>
      </c>
      <c r="E109" s="4">
        <v>1780</v>
      </c>
      <c r="F109" s="8" t="s">
        <v>162</v>
      </c>
      <c r="G109" s="2">
        <v>0.11</v>
      </c>
      <c r="H109" s="11">
        <v>203</v>
      </c>
      <c r="I109" s="1">
        <v>2020</v>
      </c>
      <c r="J109" s="8" t="s">
        <v>12</v>
      </c>
      <c r="K109" s="8" t="s">
        <v>27</v>
      </c>
      <c r="L109" s="8" t="s">
        <v>34</v>
      </c>
    </row>
    <row r="110" spans="1:12" x14ac:dyDescent="0.3">
      <c r="A110" s="9">
        <v>109</v>
      </c>
      <c r="B110" s="9" t="s">
        <v>105</v>
      </c>
      <c r="C110" s="10" t="s">
        <v>41</v>
      </c>
      <c r="D110" s="10">
        <v>2022</v>
      </c>
      <c r="E110" s="4">
        <v>1780</v>
      </c>
      <c r="F110" s="8" t="s">
        <v>162</v>
      </c>
      <c r="G110" s="2">
        <v>0.06</v>
      </c>
      <c r="H110" s="11">
        <v>107</v>
      </c>
      <c r="I110" s="1">
        <v>2020</v>
      </c>
      <c r="J110" s="8" t="s">
        <v>12</v>
      </c>
      <c r="K110" s="8" t="s">
        <v>27</v>
      </c>
      <c r="L110" s="8" t="s">
        <v>34</v>
      </c>
    </row>
    <row r="111" spans="1:12" x14ac:dyDescent="0.3">
      <c r="A111" s="9">
        <v>110</v>
      </c>
      <c r="B111" s="9" t="s">
        <v>105</v>
      </c>
      <c r="C111" s="10" t="s">
        <v>42</v>
      </c>
      <c r="D111" s="10">
        <v>2022</v>
      </c>
      <c r="E111" s="4">
        <v>1780</v>
      </c>
      <c r="F111" s="8" t="s">
        <v>162</v>
      </c>
      <c r="G111" s="2">
        <v>0.05</v>
      </c>
      <c r="H111" s="11">
        <v>82</v>
      </c>
      <c r="I111" s="1">
        <v>2020</v>
      </c>
      <c r="J111" s="8" t="s">
        <v>12</v>
      </c>
      <c r="K111" s="8" t="s">
        <v>27</v>
      </c>
      <c r="L111" s="8" t="s">
        <v>34</v>
      </c>
    </row>
    <row r="112" spans="1:12" x14ac:dyDescent="0.3">
      <c r="A112" s="9">
        <v>111</v>
      </c>
      <c r="B112" s="9" t="s">
        <v>105</v>
      </c>
      <c r="C112" s="10" t="s">
        <v>43</v>
      </c>
      <c r="D112" s="10">
        <v>2022</v>
      </c>
      <c r="E112" s="4">
        <v>1780</v>
      </c>
      <c r="F112" s="8" t="s">
        <v>162</v>
      </c>
      <c r="G112" s="2">
        <v>7.0000000000000007E-2</v>
      </c>
      <c r="H112" s="11">
        <v>133</v>
      </c>
      <c r="I112" s="1">
        <v>2020</v>
      </c>
      <c r="J112" s="8" t="s">
        <v>12</v>
      </c>
      <c r="K112" s="8" t="s">
        <v>27</v>
      </c>
      <c r="L112" s="8" t="s">
        <v>34</v>
      </c>
    </row>
    <row r="113" spans="1:12" x14ac:dyDescent="0.3">
      <c r="A113" s="9">
        <v>112</v>
      </c>
      <c r="B113" s="9" t="s">
        <v>105</v>
      </c>
      <c r="C113" s="10" t="s">
        <v>44</v>
      </c>
      <c r="D113" s="10">
        <v>2022</v>
      </c>
      <c r="E113" s="4">
        <v>1780</v>
      </c>
      <c r="F113" s="8" t="s">
        <v>162</v>
      </c>
      <c r="G113" s="2">
        <v>14.77</v>
      </c>
      <c r="H113" s="11">
        <v>26147</v>
      </c>
      <c r="I113" s="1">
        <v>2022</v>
      </c>
      <c r="J113" s="8" t="s">
        <v>12</v>
      </c>
      <c r="K113" s="8" t="s">
        <v>9</v>
      </c>
      <c r="L113" s="8" t="s">
        <v>10</v>
      </c>
    </row>
    <row r="114" spans="1:12" x14ac:dyDescent="0.3">
      <c r="A114" s="10">
        <v>113</v>
      </c>
      <c r="B114" s="10" t="s">
        <v>106</v>
      </c>
      <c r="C114" s="10" t="s">
        <v>45</v>
      </c>
      <c r="D114" s="10">
        <v>2022</v>
      </c>
      <c r="E114" s="4">
        <v>1587</v>
      </c>
      <c r="F114" s="8" t="s">
        <v>162</v>
      </c>
      <c r="G114" s="2">
        <v>0</v>
      </c>
      <c r="H114" s="11">
        <v>206</v>
      </c>
      <c r="I114" s="1">
        <v>2018</v>
      </c>
      <c r="J114" s="8" t="s">
        <v>12</v>
      </c>
      <c r="K114" s="8" t="s">
        <v>27</v>
      </c>
      <c r="L114" s="8" t="s">
        <v>134</v>
      </c>
    </row>
    <row r="115" spans="1:12" x14ac:dyDescent="0.3">
      <c r="A115" s="10">
        <v>114</v>
      </c>
      <c r="B115" s="10" t="s">
        <v>106</v>
      </c>
      <c r="C115" s="10" t="s">
        <v>47</v>
      </c>
      <c r="D115" s="10">
        <v>2022</v>
      </c>
      <c r="E115" s="4">
        <v>1587</v>
      </c>
      <c r="F115" s="8" t="s">
        <v>162</v>
      </c>
      <c r="G115" s="2">
        <v>0</v>
      </c>
      <c r="H115" s="11">
        <v>119</v>
      </c>
      <c r="I115" s="1">
        <v>2018</v>
      </c>
      <c r="J115" s="8" t="s">
        <v>12</v>
      </c>
      <c r="K115" s="8" t="s">
        <v>27</v>
      </c>
      <c r="L115" s="8" t="s">
        <v>134</v>
      </c>
    </row>
    <row r="116" spans="1:12" x14ac:dyDescent="0.3">
      <c r="A116" s="10">
        <v>115</v>
      </c>
      <c r="B116" s="10" t="s">
        <v>107</v>
      </c>
      <c r="C116" s="10" t="s">
        <v>48</v>
      </c>
      <c r="D116" s="10">
        <v>2022</v>
      </c>
      <c r="E116" s="6">
        <v>1587</v>
      </c>
      <c r="F116" s="8" t="s">
        <v>162</v>
      </c>
      <c r="G116" s="2">
        <v>0.11</v>
      </c>
      <c r="H116" s="11">
        <v>206</v>
      </c>
      <c r="I116" s="1">
        <v>2012</v>
      </c>
      <c r="J116" s="8" t="s">
        <v>12</v>
      </c>
      <c r="K116" s="8" t="s">
        <v>27</v>
      </c>
      <c r="L116" s="8" t="s">
        <v>28</v>
      </c>
    </row>
    <row r="117" spans="1:12" x14ac:dyDescent="0.3">
      <c r="A117" s="10">
        <v>116</v>
      </c>
      <c r="B117" s="10" t="s">
        <v>107</v>
      </c>
      <c r="C117" s="10" t="s">
        <v>50</v>
      </c>
      <c r="D117" s="10">
        <v>2022</v>
      </c>
      <c r="E117" s="6">
        <v>1587</v>
      </c>
      <c r="F117" s="8" t="s">
        <v>162</v>
      </c>
      <c r="G117" s="2">
        <v>0.28000000000000003</v>
      </c>
      <c r="H117" s="11">
        <v>525</v>
      </c>
      <c r="I117" s="1">
        <v>2012</v>
      </c>
      <c r="J117" s="8" t="s">
        <v>12</v>
      </c>
      <c r="K117" s="8" t="s">
        <v>27</v>
      </c>
      <c r="L117" s="8" t="s">
        <v>28</v>
      </c>
    </row>
    <row r="118" spans="1:12" x14ac:dyDescent="0.3">
      <c r="A118" s="10">
        <v>117</v>
      </c>
      <c r="B118" s="10" t="s">
        <v>108</v>
      </c>
      <c r="C118" s="10" t="s">
        <v>51</v>
      </c>
      <c r="D118" s="10">
        <v>2022</v>
      </c>
      <c r="E118" s="4">
        <v>1780</v>
      </c>
      <c r="F118" s="8" t="s">
        <v>162</v>
      </c>
      <c r="G118" s="2">
        <v>0.05</v>
      </c>
      <c r="H118" s="11">
        <v>93</v>
      </c>
      <c r="I118" s="1">
        <v>2018</v>
      </c>
      <c r="J118" s="8" t="s">
        <v>12</v>
      </c>
      <c r="K118" s="8" t="s">
        <v>9</v>
      </c>
      <c r="L118" s="8" t="s">
        <v>46</v>
      </c>
    </row>
    <row r="119" spans="1:12" x14ac:dyDescent="0.3">
      <c r="A119" s="10">
        <v>118</v>
      </c>
      <c r="B119" s="10" t="s">
        <v>108</v>
      </c>
      <c r="C119" s="10" t="s">
        <v>52</v>
      </c>
      <c r="D119" s="10">
        <v>2022</v>
      </c>
      <c r="E119" s="4">
        <v>1905</v>
      </c>
      <c r="F119" s="8" t="s">
        <v>162</v>
      </c>
      <c r="G119" s="2">
        <v>0.04</v>
      </c>
      <c r="H119" s="11"/>
      <c r="I119" s="1">
        <v>2018</v>
      </c>
      <c r="J119" s="8" t="s">
        <v>8</v>
      </c>
      <c r="K119" s="8" t="s">
        <v>27</v>
      </c>
      <c r="L119" s="8" t="s">
        <v>53</v>
      </c>
    </row>
    <row r="120" spans="1:12" x14ac:dyDescent="0.3">
      <c r="A120" s="10">
        <v>119</v>
      </c>
      <c r="B120" s="10" t="s">
        <v>108</v>
      </c>
      <c r="C120" s="10" t="s">
        <v>54</v>
      </c>
      <c r="D120" s="10">
        <v>2022</v>
      </c>
      <c r="E120" s="4">
        <v>1905</v>
      </c>
      <c r="F120" s="8" t="s">
        <v>162</v>
      </c>
      <c r="G120" s="2">
        <v>0.33999999999999986</v>
      </c>
      <c r="H120" s="11"/>
      <c r="I120" s="1">
        <v>2017</v>
      </c>
      <c r="J120" s="8" t="s">
        <v>8</v>
      </c>
      <c r="K120" s="8" t="s">
        <v>27</v>
      </c>
      <c r="L120" s="8" t="s">
        <v>53</v>
      </c>
    </row>
    <row r="121" spans="1:12" x14ac:dyDescent="0.3">
      <c r="A121" s="10">
        <v>120</v>
      </c>
      <c r="B121" s="10" t="s">
        <v>108</v>
      </c>
      <c r="C121" s="10" t="s">
        <v>55</v>
      </c>
      <c r="D121" s="10">
        <v>2022</v>
      </c>
      <c r="E121" s="4">
        <v>1905</v>
      </c>
      <c r="F121" s="8" t="s">
        <v>162</v>
      </c>
      <c r="G121" s="2">
        <v>0.56000000000000005</v>
      </c>
      <c r="H121" s="11"/>
      <c r="I121" s="1">
        <v>2017</v>
      </c>
      <c r="J121" s="8" t="s">
        <v>8</v>
      </c>
      <c r="K121" s="8" t="s">
        <v>27</v>
      </c>
      <c r="L121" s="8" t="s">
        <v>53</v>
      </c>
    </row>
    <row r="122" spans="1:12" x14ac:dyDescent="0.3">
      <c r="A122" s="10">
        <v>121</v>
      </c>
      <c r="B122" s="10" t="s">
        <v>108</v>
      </c>
      <c r="C122" s="10" t="s">
        <v>56</v>
      </c>
      <c r="D122" s="10">
        <v>2022</v>
      </c>
      <c r="E122" s="4">
        <v>1905</v>
      </c>
      <c r="F122" s="8" t="s">
        <v>162</v>
      </c>
      <c r="G122" s="2">
        <v>7.0000000000000007E-2</v>
      </c>
      <c r="H122" s="11"/>
      <c r="I122" s="1">
        <v>2016</v>
      </c>
      <c r="J122" s="8" t="s">
        <v>8</v>
      </c>
      <c r="K122" s="8" t="s">
        <v>27</v>
      </c>
      <c r="L122" s="8" t="s">
        <v>53</v>
      </c>
    </row>
    <row r="123" spans="1:12" x14ac:dyDescent="0.3">
      <c r="A123" s="10">
        <v>122</v>
      </c>
      <c r="B123" s="10" t="s">
        <v>108</v>
      </c>
      <c r="C123" s="10" t="s">
        <v>57</v>
      </c>
      <c r="D123" s="10">
        <v>2022</v>
      </c>
      <c r="E123" s="4">
        <v>1905</v>
      </c>
      <c r="F123" s="8" t="s">
        <v>162</v>
      </c>
      <c r="G123" s="2">
        <v>0.13</v>
      </c>
      <c r="H123" s="11"/>
      <c r="I123" s="1">
        <v>2016</v>
      </c>
      <c r="J123" s="8" t="s">
        <v>8</v>
      </c>
      <c r="K123" s="8" t="s">
        <v>27</v>
      </c>
      <c r="L123" s="8" t="s">
        <v>53</v>
      </c>
    </row>
    <row r="124" spans="1:12" x14ac:dyDescent="0.3">
      <c r="A124" s="10">
        <v>123</v>
      </c>
      <c r="B124" s="10" t="s">
        <v>108</v>
      </c>
      <c r="C124" s="10" t="s">
        <v>58</v>
      </c>
      <c r="D124" s="10">
        <v>2022</v>
      </c>
      <c r="E124" s="4">
        <v>1905</v>
      </c>
      <c r="F124" s="8" t="s">
        <v>162</v>
      </c>
      <c r="G124" s="2">
        <v>0.27</v>
      </c>
      <c r="H124" s="11"/>
      <c r="I124" s="1">
        <v>2016</v>
      </c>
      <c r="J124" s="8" t="s">
        <v>8</v>
      </c>
      <c r="K124" s="8" t="s">
        <v>27</v>
      </c>
      <c r="L124" s="8" t="s">
        <v>53</v>
      </c>
    </row>
    <row r="125" spans="1:12" x14ac:dyDescent="0.3">
      <c r="A125" s="10">
        <v>124</v>
      </c>
      <c r="B125" s="10" t="s">
        <v>109</v>
      </c>
      <c r="C125" s="10" t="s">
        <v>59</v>
      </c>
      <c r="D125" s="10">
        <v>2022</v>
      </c>
      <c r="E125" s="4">
        <v>1905</v>
      </c>
      <c r="F125" s="8" t="s">
        <v>162</v>
      </c>
      <c r="G125" s="2">
        <v>0</v>
      </c>
      <c r="H125" s="11">
        <v>0</v>
      </c>
      <c r="I125" s="1">
        <v>2018</v>
      </c>
      <c r="J125" s="8" t="s">
        <v>8</v>
      </c>
      <c r="K125" s="8" t="s">
        <v>9</v>
      </c>
      <c r="L125" s="8" t="s">
        <v>10</v>
      </c>
    </row>
    <row r="126" spans="1:12" x14ac:dyDescent="0.3">
      <c r="A126" s="10">
        <v>125</v>
      </c>
      <c r="B126" s="10" t="s">
        <v>109</v>
      </c>
      <c r="C126" s="10" t="s">
        <v>60</v>
      </c>
      <c r="D126" s="10">
        <v>2022</v>
      </c>
      <c r="E126" s="4">
        <v>1905</v>
      </c>
      <c r="F126" s="8" t="s">
        <v>162</v>
      </c>
      <c r="G126" s="2">
        <v>0.34</v>
      </c>
      <c r="H126" s="11">
        <v>652</v>
      </c>
      <c r="I126" s="1" t="s">
        <v>61</v>
      </c>
      <c r="J126" s="8" t="s">
        <v>8</v>
      </c>
      <c r="K126" s="8" t="s">
        <v>9</v>
      </c>
      <c r="L126" s="8" t="s">
        <v>10</v>
      </c>
    </row>
    <row r="127" spans="1:12" x14ac:dyDescent="0.3">
      <c r="A127" s="10">
        <v>126</v>
      </c>
      <c r="B127" s="10" t="s">
        <v>109</v>
      </c>
      <c r="C127" s="10" t="s">
        <v>130</v>
      </c>
      <c r="D127" s="10">
        <v>2022</v>
      </c>
      <c r="E127" s="4">
        <v>1780</v>
      </c>
      <c r="F127" s="8" t="s">
        <v>162</v>
      </c>
      <c r="G127" s="2">
        <v>0.09</v>
      </c>
      <c r="H127" s="11">
        <v>152</v>
      </c>
      <c r="I127" s="1">
        <v>2020</v>
      </c>
      <c r="J127" s="8" t="s">
        <v>12</v>
      </c>
      <c r="K127" s="8" t="s">
        <v>27</v>
      </c>
      <c r="L127" s="8" t="s">
        <v>53</v>
      </c>
    </row>
    <row r="128" spans="1:12" x14ac:dyDescent="0.3">
      <c r="A128" s="10">
        <v>127</v>
      </c>
      <c r="B128" s="10" t="s">
        <v>109</v>
      </c>
      <c r="C128" s="10" t="s">
        <v>63</v>
      </c>
      <c r="D128" s="10">
        <v>2022</v>
      </c>
      <c r="E128" s="4">
        <v>1780</v>
      </c>
      <c r="F128" s="8" t="s">
        <v>162</v>
      </c>
      <c r="G128" s="2">
        <v>0.33</v>
      </c>
      <c r="H128" s="11">
        <v>395</v>
      </c>
      <c r="I128" s="1">
        <v>2020</v>
      </c>
      <c r="J128" s="8" t="s">
        <v>12</v>
      </c>
      <c r="K128" s="8" t="s">
        <v>27</v>
      </c>
      <c r="L128" s="8" t="s">
        <v>53</v>
      </c>
    </row>
    <row r="129" spans="1:12" x14ac:dyDescent="0.3">
      <c r="A129" s="10">
        <v>128</v>
      </c>
      <c r="B129" s="10" t="s">
        <v>109</v>
      </c>
      <c r="C129" s="10" t="s">
        <v>64</v>
      </c>
      <c r="D129" s="10">
        <v>2022</v>
      </c>
      <c r="E129" s="4">
        <v>1780</v>
      </c>
      <c r="F129" s="8" t="s">
        <v>162</v>
      </c>
      <c r="G129" s="2">
        <v>7.0000000000000007E-2</v>
      </c>
      <c r="H129" s="11">
        <v>116</v>
      </c>
      <c r="I129" s="1">
        <v>2020</v>
      </c>
      <c r="J129" s="8" t="s">
        <v>12</v>
      </c>
      <c r="K129" s="8" t="s">
        <v>27</v>
      </c>
      <c r="L129" s="8" t="s">
        <v>53</v>
      </c>
    </row>
    <row r="130" spans="1:12" x14ac:dyDescent="0.3">
      <c r="A130" s="10">
        <v>129</v>
      </c>
      <c r="B130" s="10" t="s">
        <v>109</v>
      </c>
      <c r="C130" s="10" t="s">
        <v>65</v>
      </c>
      <c r="D130" s="10">
        <v>2022</v>
      </c>
      <c r="E130" s="7">
        <v>1838</v>
      </c>
      <c r="F130" s="8" t="s">
        <v>162</v>
      </c>
      <c r="G130" s="2">
        <v>0.64</v>
      </c>
      <c r="H130" s="11">
        <v>1182</v>
      </c>
      <c r="I130" s="1">
        <v>2021</v>
      </c>
      <c r="J130" s="8" t="s">
        <v>12</v>
      </c>
      <c r="K130" s="8" t="s">
        <v>27</v>
      </c>
      <c r="L130" s="8" t="s">
        <v>34</v>
      </c>
    </row>
    <row r="131" spans="1:12" x14ac:dyDescent="0.3">
      <c r="A131" s="10">
        <v>130</v>
      </c>
      <c r="B131" s="10" t="s">
        <v>109</v>
      </c>
      <c r="C131" s="10" t="s">
        <v>66</v>
      </c>
      <c r="D131" s="10">
        <v>2022</v>
      </c>
      <c r="E131" s="7">
        <v>1838</v>
      </c>
      <c r="F131" s="8" t="s">
        <v>162</v>
      </c>
      <c r="G131" s="2">
        <v>0.71</v>
      </c>
      <c r="H131" s="11">
        <v>1311</v>
      </c>
      <c r="I131" s="1">
        <v>2021</v>
      </c>
      <c r="J131" s="8" t="s">
        <v>12</v>
      </c>
      <c r="K131" s="8" t="s">
        <v>27</v>
      </c>
      <c r="L131" s="8" t="s">
        <v>34</v>
      </c>
    </row>
    <row r="132" spans="1:12" x14ac:dyDescent="0.3">
      <c r="A132" s="10">
        <v>131</v>
      </c>
      <c r="B132" s="10" t="s">
        <v>167</v>
      </c>
      <c r="C132" s="10" t="s">
        <v>67</v>
      </c>
      <c r="D132" s="10">
        <v>2022</v>
      </c>
      <c r="E132" s="4">
        <v>1684</v>
      </c>
      <c r="F132" s="8" t="s">
        <v>162</v>
      </c>
      <c r="G132" s="2">
        <v>0.16</v>
      </c>
      <c r="H132" s="11">
        <v>262</v>
      </c>
      <c r="I132" s="1">
        <v>2018</v>
      </c>
      <c r="J132" s="8" t="s">
        <v>12</v>
      </c>
      <c r="K132" s="8" t="s">
        <v>9</v>
      </c>
      <c r="L132" s="8" t="s">
        <v>49</v>
      </c>
    </row>
    <row r="133" spans="1:12" x14ac:dyDescent="0.3">
      <c r="A133" s="10">
        <v>132</v>
      </c>
      <c r="B133" s="10" t="s">
        <v>167</v>
      </c>
      <c r="C133" s="10" t="s">
        <v>68</v>
      </c>
      <c r="D133" s="10">
        <v>2022</v>
      </c>
      <c r="E133" s="4">
        <v>1684</v>
      </c>
      <c r="F133" s="8" t="s">
        <v>162</v>
      </c>
      <c r="G133" s="2">
        <v>0.13</v>
      </c>
      <c r="H133" s="11">
        <v>217</v>
      </c>
      <c r="I133" s="1">
        <v>2018</v>
      </c>
      <c r="J133" s="8" t="s">
        <v>12</v>
      </c>
      <c r="K133" s="8" t="s">
        <v>9</v>
      </c>
      <c r="L133" s="8" t="s">
        <v>49</v>
      </c>
    </row>
    <row r="134" spans="1:12" x14ac:dyDescent="0.3">
      <c r="A134" s="10">
        <v>133</v>
      </c>
      <c r="B134" s="10" t="s">
        <v>167</v>
      </c>
      <c r="C134" s="10" t="s">
        <v>69</v>
      </c>
      <c r="D134" s="10">
        <v>2022</v>
      </c>
      <c r="E134" s="4">
        <v>1684</v>
      </c>
      <c r="F134" s="8" t="s">
        <v>162</v>
      </c>
      <c r="G134" s="2">
        <v>7.0000000000000007E-2</v>
      </c>
      <c r="H134" s="11">
        <v>111</v>
      </c>
      <c r="I134" s="1">
        <v>2018</v>
      </c>
      <c r="J134" s="8" t="s">
        <v>12</v>
      </c>
      <c r="K134" s="8" t="s">
        <v>9</v>
      </c>
      <c r="L134" s="8" t="s">
        <v>49</v>
      </c>
    </row>
    <row r="135" spans="1:12" x14ac:dyDescent="0.3">
      <c r="A135" s="10">
        <v>134</v>
      </c>
      <c r="B135" s="10" t="s">
        <v>167</v>
      </c>
      <c r="C135" s="10" t="s">
        <v>70</v>
      </c>
      <c r="D135" s="10">
        <v>2022</v>
      </c>
      <c r="E135" s="4">
        <v>1262</v>
      </c>
      <c r="F135" s="8" t="s">
        <v>162</v>
      </c>
      <c r="G135" s="2">
        <v>0.12</v>
      </c>
      <c r="H135" s="11">
        <v>153</v>
      </c>
      <c r="I135" s="1">
        <v>2018</v>
      </c>
      <c r="J135" s="8" t="s">
        <v>12</v>
      </c>
      <c r="K135" s="8" t="s">
        <v>9</v>
      </c>
      <c r="L135" s="8" t="s">
        <v>49</v>
      </c>
    </row>
    <row r="136" spans="1:12" x14ac:dyDescent="0.3">
      <c r="A136" s="10">
        <v>135</v>
      </c>
      <c r="B136" s="10" t="s">
        <v>167</v>
      </c>
      <c r="C136" s="10" t="s">
        <v>71</v>
      </c>
      <c r="D136" s="10">
        <v>2022</v>
      </c>
      <c r="E136" s="4">
        <v>1780.2</v>
      </c>
      <c r="F136" s="8" t="s">
        <v>162</v>
      </c>
      <c r="G136" s="2">
        <v>0</v>
      </c>
      <c r="H136" s="11"/>
      <c r="I136" s="1">
        <v>2020</v>
      </c>
      <c r="J136" s="8" t="s">
        <v>12</v>
      </c>
      <c r="K136" s="8" t="s">
        <v>9</v>
      </c>
      <c r="L136" s="8" t="s">
        <v>46</v>
      </c>
    </row>
    <row r="137" spans="1:12" x14ac:dyDescent="0.3">
      <c r="A137" s="10">
        <v>136</v>
      </c>
      <c r="B137" s="10" t="s">
        <v>167</v>
      </c>
      <c r="C137" s="10" t="s">
        <v>72</v>
      </c>
      <c r="D137" s="10">
        <v>2022</v>
      </c>
      <c r="E137" s="4">
        <v>1780.2</v>
      </c>
      <c r="F137" s="8" t="s">
        <v>162</v>
      </c>
      <c r="G137" s="2">
        <v>0</v>
      </c>
      <c r="H137" s="11"/>
      <c r="I137" s="1">
        <v>2020</v>
      </c>
      <c r="J137" s="8" t="s">
        <v>12</v>
      </c>
      <c r="K137" s="8" t="s">
        <v>9</v>
      </c>
      <c r="L137" s="8" t="s">
        <v>46</v>
      </c>
    </row>
    <row r="138" spans="1:12" x14ac:dyDescent="0.3">
      <c r="A138" s="10">
        <v>137</v>
      </c>
      <c r="B138" s="10" t="s">
        <v>167</v>
      </c>
      <c r="C138" s="10" t="s">
        <v>73</v>
      </c>
      <c r="D138" s="10">
        <v>2022</v>
      </c>
      <c r="E138" s="4">
        <v>1779.3333333333333</v>
      </c>
      <c r="F138" s="8" t="s">
        <v>162</v>
      </c>
      <c r="G138" s="2">
        <v>0.52</v>
      </c>
      <c r="H138" s="11">
        <v>1884</v>
      </c>
      <c r="I138" s="1">
        <v>2020</v>
      </c>
      <c r="J138" s="8" t="s">
        <v>12</v>
      </c>
      <c r="K138" s="8" t="s">
        <v>9</v>
      </c>
      <c r="L138" s="8" t="s">
        <v>46</v>
      </c>
    </row>
    <row r="139" spans="1:12" x14ac:dyDescent="0.3">
      <c r="A139" s="10">
        <v>138</v>
      </c>
      <c r="B139" s="10" t="s">
        <v>167</v>
      </c>
      <c r="C139" s="10" t="s">
        <v>74</v>
      </c>
      <c r="D139" s="10">
        <v>2022</v>
      </c>
      <c r="E139" s="8">
        <v>1894</v>
      </c>
      <c r="F139" s="8" t="s">
        <v>162</v>
      </c>
      <c r="G139" s="2">
        <v>0.73</v>
      </c>
      <c r="H139" s="11">
        <v>1383</v>
      </c>
      <c r="I139" s="1">
        <v>2021</v>
      </c>
      <c r="J139" s="8" t="s">
        <v>12</v>
      </c>
      <c r="K139" s="8" t="s">
        <v>9</v>
      </c>
      <c r="L139" s="8" t="s">
        <v>49</v>
      </c>
    </row>
    <row r="140" spans="1:12" x14ac:dyDescent="0.3">
      <c r="A140" s="10">
        <v>139</v>
      </c>
      <c r="B140" s="10" t="s">
        <v>167</v>
      </c>
      <c r="C140" s="10" t="s">
        <v>75</v>
      </c>
      <c r="D140" s="10">
        <v>2022</v>
      </c>
      <c r="E140" s="8">
        <v>1894</v>
      </c>
      <c r="F140" s="8" t="s">
        <v>162</v>
      </c>
      <c r="G140" s="2">
        <v>0.12</v>
      </c>
      <c r="H140" s="11">
        <v>220</v>
      </c>
      <c r="I140" s="1">
        <v>2021</v>
      </c>
      <c r="J140" s="8" t="s">
        <v>12</v>
      </c>
      <c r="K140" s="8" t="s">
        <v>9</v>
      </c>
      <c r="L140" s="8" t="s">
        <v>49</v>
      </c>
    </row>
    <row r="141" spans="1:12" x14ac:dyDescent="0.3">
      <c r="A141" s="10">
        <v>140</v>
      </c>
      <c r="B141" s="10" t="s">
        <v>167</v>
      </c>
      <c r="C141" s="10" t="s">
        <v>76</v>
      </c>
      <c r="D141" s="10">
        <v>2022</v>
      </c>
      <c r="E141" s="8">
        <v>1894</v>
      </c>
      <c r="F141" s="8" t="s">
        <v>162</v>
      </c>
      <c r="G141" s="2">
        <v>0.24</v>
      </c>
      <c r="H141" s="11">
        <v>463</v>
      </c>
      <c r="I141" s="1">
        <v>2021</v>
      </c>
      <c r="J141" s="8" t="s">
        <v>12</v>
      </c>
      <c r="K141" s="8" t="s">
        <v>9</v>
      </c>
      <c r="L141" s="8" t="s">
        <v>49</v>
      </c>
    </row>
    <row r="142" spans="1:12" x14ac:dyDescent="0.3">
      <c r="A142" s="10">
        <v>141</v>
      </c>
      <c r="B142" s="10" t="s">
        <v>167</v>
      </c>
      <c r="C142" s="10" t="s">
        <v>77</v>
      </c>
      <c r="D142" s="10">
        <v>2022</v>
      </c>
      <c r="E142" s="8">
        <v>1905</v>
      </c>
      <c r="F142" s="8" t="s">
        <v>162</v>
      </c>
      <c r="G142" s="2">
        <v>0.88</v>
      </c>
      <c r="H142" s="11">
        <v>1670</v>
      </c>
      <c r="I142" s="1">
        <v>2021</v>
      </c>
      <c r="J142" s="8" t="s">
        <v>12</v>
      </c>
      <c r="K142" s="8" t="s">
        <v>9</v>
      </c>
      <c r="L142" s="8" t="s">
        <v>49</v>
      </c>
    </row>
    <row r="143" spans="1:12" x14ac:dyDescent="0.3">
      <c r="A143" s="10">
        <v>142</v>
      </c>
      <c r="B143" s="10" t="s">
        <v>111</v>
      </c>
      <c r="C143" s="10" t="s">
        <v>78</v>
      </c>
      <c r="D143" s="10">
        <v>2022</v>
      </c>
      <c r="E143" s="4">
        <v>1905</v>
      </c>
      <c r="F143" s="8" t="s">
        <v>162</v>
      </c>
      <c r="G143" s="2">
        <v>0</v>
      </c>
      <c r="H143" s="2">
        <v>1297</v>
      </c>
      <c r="I143" s="1">
        <v>2022</v>
      </c>
      <c r="J143" s="8" t="s">
        <v>12</v>
      </c>
      <c r="K143" s="8" t="s">
        <v>27</v>
      </c>
      <c r="L143" s="8" t="s">
        <v>137</v>
      </c>
    </row>
    <row r="144" spans="1:12" x14ac:dyDescent="0.3">
      <c r="A144" s="10">
        <v>142</v>
      </c>
      <c r="B144" s="10" t="s">
        <v>116</v>
      </c>
      <c r="C144" s="10" t="s">
        <v>78</v>
      </c>
      <c r="D144" s="10">
        <v>2022</v>
      </c>
      <c r="E144" s="4">
        <v>1905</v>
      </c>
      <c r="F144" s="8" t="s">
        <v>162</v>
      </c>
      <c r="G144" s="2">
        <v>1.58</v>
      </c>
      <c r="H144" s="2">
        <v>1297</v>
      </c>
      <c r="I144" s="1">
        <v>2022</v>
      </c>
      <c r="J144" s="8" t="s">
        <v>12</v>
      </c>
      <c r="K144" s="8" t="s">
        <v>27</v>
      </c>
      <c r="L144" s="8" t="s">
        <v>137</v>
      </c>
    </row>
    <row r="145" spans="1:12" x14ac:dyDescent="0.3">
      <c r="A145" s="10">
        <v>143</v>
      </c>
      <c r="B145" s="10" t="s">
        <v>135</v>
      </c>
      <c r="C145" s="10" t="s">
        <v>80</v>
      </c>
      <c r="D145" s="10">
        <v>2022</v>
      </c>
      <c r="E145" s="4">
        <v>1780</v>
      </c>
      <c r="F145" s="8" t="s">
        <v>162</v>
      </c>
      <c r="G145" s="2">
        <v>2.1800000000000002</v>
      </c>
      <c r="H145" s="2">
        <v>3557</v>
      </c>
      <c r="I145" s="1">
        <v>2021</v>
      </c>
      <c r="J145" s="8" t="s">
        <v>12</v>
      </c>
      <c r="K145" s="8" t="s">
        <v>27</v>
      </c>
      <c r="L145" s="8" t="s">
        <v>53</v>
      </c>
    </row>
    <row r="146" spans="1:12" x14ac:dyDescent="0.3">
      <c r="A146" s="10">
        <v>144</v>
      </c>
      <c r="B146" s="10" t="s">
        <v>112</v>
      </c>
      <c r="C146" s="10" t="s">
        <v>81</v>
      </c>
      <c r="D146" s="10">
        <v>2022</v>
      </c>
      <c r="E146" s="4">
        <v>1780</v>
      </c>
      <c r="F146" s="8" t="s">
        <v>162</v>
      </c>
      <c r="G146" s="2">
        <v>7.0000000000000007E-2</v>
      </c>
      <c r="H146" s="2">
        <v>458</v>
      </c>
      <c r="I146" s="1">
        <v>2020</v>
      </c>
      <c r="J146" s="8" t="s">
        <v>12</v>
      </c>
      <c r="K146" s="8" t="s">
        <v>9</v>
      </c>
      <c r="L146" s="8" t="s">
        <v>46</v>
      </c>
    </row>
    <row r="147" spans="1:12" x14ac:dyDescent="0.3">
      <c r="A147" s="10">
        <v>145</v>
      </c>
      <c r="B147" s="10" t="s">
        <v>112</v>
      </c>
      <c r="C147" s="10" t="s">
        <v>82</v>
      </c>
      <c r="D147" s="10">
        <v>2022</v>
      </c>
      <c r="E147" s="4">
        <v>1780</v>
      </c>
      <c r="F147" s="8" t="s">
        <v>162</v>
      </c>
      <c r="G147" s="2">
        <v>0.22</v>
      </c>
      <c r="H147" s="2">
        <v>392</v>
      </c>
      <c r="I147" s="1">
        <v>2020</v>
      </c>
      <c r="J147" s="8" t="s">
        <v>12</v>
      </c>
      <c r="K147" s="8" t="s">
        <v>9</v>
      </c>
      <c r="L147" s="8" t="s">
        <v>46</v>
      </c>
    </row>
    <row r="148" spans="1:12" x14ac:dyDescent="0.3">
      <c r="A148" s="10">
        <v>146</v>
      </c>
      <c r="B148" s="10" t="s">
        <v>112</v>
      </c>
      <c r="C148" s="10" t="s">
        <v>51</v>
      </c>
      <c r="D148" s="10">
        <v>2022</v>
      </c>
      <c r="E148" s="4">
        <v>1780</v>
      </c>
      <c r="F148" s="8" t="s">
        <v>162</v>
      </c>
      <c r="G148" s="2">
        <v>0.5</v>
      </c>
      <c r="H148" s="2">
        <v>996</v>
      </c>
      <c r="I148" s="1">
        <v>2021</v>
      </c>
      <c r="J148" s="8" t="s">
        <v>12</v>
      </c>
      <c r="K148" s="8" t="s">
        <v>9</v>
      </c>
      <c r="L148" s="8" t="s">
        <v>46</v>
      </c>
    </row>
    <row r="149" spans="1:12" x14ac:dyDescent="0.3">
      <c r="A149" s="10">
        <v>147</v>
      </c>
      <c r="B149" s="10" t="s">
        <v>112</v>
      </c>
      <c r="C149" s="10" t="s">
        <v>83</v>
      </c>
      <c r="D149" s="10">
        <v>2022</v>
      </c>
      <c r="E149" s="4">
        <v>1632</v>
      </c>
      <c r="F149" s="8" t="s">
        <v>162</v>
      </c>
      <c r="G149" s="2">
        <v>0.5</v>
      </c>
      <c r="H149" s="2">
        <v>1403</v>
      </c>
      <c r="I149" s="1">
        <v>2016</v>
      </c>
      <c r="J149" s="8" t="s">
        <v>12</v>
      </c>
      <c r="K149" s="8" t="s">
        <v>27</v>
      </c>
      <c r="L149" s="8" t="s">
        <v>134</v>
      </c>
    </row>
    <row r="150" spans="1:12" x14ac:dyDescent="0.3">
      <c r="A150" s="10">
        <v>148</v>
      </c>
      <c r="B150" s="10" t="s">
        <v>112</v>
      </c>
      <c r="C150" s="10" t="s">
        <v>84</v>
      </c>
      <c r="D150" s="10">
        <v>2022</v>
      </c>
      <c r="E150" s="4">
        <v>1632</v>
      </c>
      <c r="F150" s="8" t="s">
        <v>162</v>
      </c>
      <c r="G150" s="2">
        <v>0.35</v>
      </c>
      <c r="H150" s="2">
        <v>2317</v>
      </c>
      <c r="I150" s="1">
        <v>2016</v>
      </c>
      <c r="J150" s="8" t="s">
        <v>12</v>
      </c>
      <c r="K150" s="8" t="s">
        <v>27</v>
      </c>
      <c r="L150" s="8" t="s">
        <v>134</v>
      </c>
    </row>
    <row r="151" spans="1:12" x14ac:dyDescent="0.3">
      <c r="A151" s="10">
        <v>149</v>
      </c>
      <c r="B151" s="10" t="s">
        <v>112</v>
      </c>
      <c r="C151" s="10" t="s">
        <v>85</v>
      </c>
      <c r="D151" s="10">
        <v>2022</v>
      </c>
      <c r="E151" s="4">
        <v>1632</v>
      </c>
      <c r="F151" s="8" t="s">
        <v>162</v>
      </c>
      <c r="G151" s="2">
        <v>0.39</v>
      </c>
      <c r="H151" s="2">
        <v>1572</v>
      </c>
      <c r="I151" s="1">
        <v>2016</v>
      </c>
      <c r="J151" s="8" t="s">
        <v>12</v>
      </c>
      <c r="K151" s="8" t="s">
        <v>27</v>
      </c>
      <c r="L151" s="8" t="s">
        <v>134</v>
      </c>
    </row>
    <row r="152" spans="1:12" x14ac:dyDescent="0.3">
      <c r="A152" s="10">
        <v>150</v>
      </c>
      <c r="B152" s="10" t="s">
        <v>112</v>
      </c>
      <c r="C152" s="10" t="s">
        <v>86</v>
      </c>
      <c r="D152" s="10">
        <v>2022</v>
      </c>
      <c r="E152" s="4">
        <v>1632</v>
      </c>
      <c r="F152" s="8" t="s">
        <v>162</v>
      </c>
      <c r="G152" s="2">
        <v>0.33</v>
      </c>
      <c r="H152" s="2">
        <v>511</v>
      </c>
      <c r="I152" s="1">
        <v>2016</v>
      </c>
      <c r="J152" s="8" t="s">
        <v>12</v>
      </c>
      <c r="K152" s="8" t="s">
        <v>27</v>
      </c>
      <c r="L152" s="8" t="s">
        <v>134</v>
      </c>
    </row>
    <row r="153" spans="1:12" x14ac:dyDescent="0.3">
      <c r="A153" s="10">
        <v>151</v>
      </c>
      <c r="B153" s="10" t="s">
        <v>112</v>
      </c>
      <c r="C153" s="10" t="s">
        <v>87</v>
      </c>
      <c r="D153" s="10">
        <v>2022</v>
      </c>
      <c r="E153" s="4">
        <v>1587</v>
      </c>
      <c r="F153" s="8" t="s">
        <v>162</v>
      </c>
      <c r="G153" s="2">
        <v>0.14000000000000001</v>
      </c>
      <c r="H153" s="2">
        <v>391</v>
      </c>
      <c r="I153" s="1">
        <v>2019</v>
      </c>
      <c r="J153" s="8" t="s">
        <v>12</v>
      </c>
      <c r="K153" s="8" t="s">
        <v>27</v>
      </c>
      <c r="L153" s="8" t="s">
        <v>134</v>
      </c>
    </row>
    <row r="154" spans="1:12" x14ac:dyDescent="0.3">
      <c r="A154" s="10">
        <v>152</v>
      </c>
      <c r="B154" s="10" t="s">
        <v>163</v>
      </c>
      <c r="C154" s="10" t="s">
        <v>88</v>
      </c>
      <c r="D154" s="10">
        <v>2022</v>
      </c>
      <c r="E154" s="4">
        <v>1838</v>
      </c>
      <c r="F154" s="8" t="s">
        <v>162</v>
      </c>
      <c r="G154" s="2">
        <v>2.0299999999999998</v>
      </c>
      <c r="H154" s="2">
        <v>3735</v>
      </c>
      <c r="I154" s="1">
        <v>2021</v>
      </c>
      <c r="J154" s="8" t="s">
        <v>12</v>
      </c>
      <c r="K154" s="8" t="s">
        <v>27</v>
      </c>
      <c r="L154" s="8" t="s">
        <v>34</v>
      </c>
    </row>
    <row r="155" spans="1:12" x14ac:dyDescent="0.3">
      <c r="A155" s="10">
        <v>153</v>
      </c>
      <c r="B155" s="10" t="s">
        <v>163</v>
      </c>
      <c r="C155" s="10" t="s">
        <v>89</v>
      </c>
      <c r="D155" s="10">
        <v>2022</v>
      </c>
      <c r="E155" s="4">
        <v>1838</v>
      </c>
      <c r="F155" s="8" t="s">
        <v>162</v>
      </c>
      <c r="G155" s="2">
        <v>1.85</v>
      </c>
      <c r="H155" s="2">
        <v>3400</v>
      </c>
      <c r="I155" s="1">
        <v>2021</v>
      </c>
      <c r="J155" s="8" t="s">
        <v>12</v>
      </c>
      <c r="K155" s="8" t="s">
        <v>27</v>
      </c>
      <c r="L155" s="8" t="s">
        <v>34</v>
      </c>
    </row>
    <row r="156" spans="1:12" x14ac:dyDescent="0.3">
      <c r="A156" s="10">
        <v>154</v>
      </c>
      <c r="B156" s="10" t="s">
        <v>163</v>
      </c>
      <c r="C156" s="10" t="s">
        <v>90</v>
      </c>
      <c r="D156" s="10">
        <v>2022</v>
      </c>
      <c r="E156" s="7">
        <v>1905</v>
      </c>
      <c r="F156" s="8" t="s">
        <v>162</v>
      </c>
      <c r="G156" s="2">
        <v>11.87</v>
      </c>
      <c r="H156" s="2">
        <v>22374</v>
      </c>
      <c r="I156" s="1">
        <v>2022</v>
      </c>
      <c r="J156" s="8" t="s">
        <v>8</v>
      </c>
      <c r="K156" s="8" t="s">
        <v>27</v>
      </c>
      <c r="L156" s="8" t="s">
        <v>53</v>
      </c>
    </row>
    <row r="157" spans="1:12" x14ac:dyDescent="0.3">
      <c r="A157" s="10">
        <v>155</v>
      </c>
      <c r="B157" s="10" t="s">
        <v>163</v>
      </c>
      <c r="C157" s="10" t="s">
        <v>92</v>
      </c>
      <c r="D157" s="10">
        <v>2022</v>
      </c>
      <c r="E157" s="7">
        <v>1905</v>
      </c>
      <c r="F157" s="8" t="s">
        <v>162</v>
      </c>
      <c r="G157" s="2">
        <v>15</v>
      </c>
      <c r="H157" s="2">
        <v>28372</v>
      </c>
      <c r="I157" s="1">
        <v>2022</v>
      </c>
      <c r="J157" s="8" t="s">
        <v>8</v>
      </c>
      <c r="K157" s="8" t="s">
        <v>27</v>
      </c>
      <c r="L157" s="8" t="s">
        <v>53</v>
      </c>
    </row>
    <row r="158" spans="1:12" x14ac:dyDescent="0.3">
      <c r="A158" s="10">
        <v>156</v>
      </c>
      <c r="B158" s="10" t="s">
        <v>163</v>
      </c>
      <c r="C158" s="10" t="s">
        <v>80</v>
      </c>
      <c r="D158" s="10">
        <v>2022</v>
      </c>
      <c r="E158" s="7">
        <v>1780</v>
      </c>
      <c r="F158" s="8" t="s">
        <v>162</v>
      </c>
      <c r="G158" s="2">
        <v>10.34</v>
      </c>
      <c r="H158" s="2">
        <v>19040</v>
      </c>
      <c r="I158" s="1">
        <v>2021</v>
      </c>
      <c r="J158" s="8" t="s">
        <v>12</v>
      </c>
      <c r="K158" s="8" t="s">
        <v>27</v>
      </c>
      <c r="L158" s="8" t="s">
        <v>53</v>
      </c>
    </row>
    <row r="159" spans="1:12" x14ac:dyDescent="0.3">
      <c r="A159" s="10">
        <v>157</v>
      </c>
      <c r="B159" s="10" t="s">
        <v>163</v>
      </c>
      <c r="C159" s="10" t="s">
        <v>93</v>
      </c>
      <c r="D159" s="10">
        <v>2022</v>
      </c>
      <c r="E159" s="7">
        <v>1905</v>
      </c>
      <c r="F159" s="8" t="s">
        <v>162</v>
      </c>
      <c r="G159" s="2">
        <v>15</v>
      </c>
      <c r="H159" s="2">
        <v>28376</v>
      </c>
      <c r="I159" s="1">
        <v>2022</v>
      </c>
      <c r="J159" s="8" t="s">
        <v>8</v>
      </c>
      <c r="K159" s="8" t="s">
        <v>9</v>
      </c>
      <c r="L159" s="8" t="s">
        <v>133</v>
      </c>
    </row>
    <row r="160" spans="1:12" x14ac:dyDescent="0.3">
      <c r="A160" s="10">
        <v>158</v>
      </c>
      <c r="B160" s="10" t="s">
        <v>163</v>
      </c>
      <c r="C160" s="10" t="s">
        <v>94</v>
      </c>
      <c r="D160" s="10">
        <v>2022</v>
      </c>
      <c r="E160" s="7">
        <v>1905</v>
      </c>
      <c r="F160" s="8" t="s">
        <v>162</v>
      </c>
      <c r="G160" s="2">
        <v>15</v>
      </c>
      <c r="H160" s="2">
        <v>28376</v>
      </c>
      <c r="I160" s="1">
        <v>2022</v>
      </c>
      <c r="J160" s="8" t="s">
        <v>8</v>
      </c>
      <c r="K160" s="8" t="s">
        <v>9</v>
      </c>
      <c r="L160" s="8" t="s">
        <v>133</v>
      </c>
    </row>
    <row r="161" spans="1:12" x14ac:dyDescent="0.3">
      <c r="A161" s="10">
        <v>159</v>
      </c>
      <c r="B161" s="10" t="s">
        <v>163</v>
      </c>
      <c r="C161" s="10" t="s">
        <v>95</v>
      </c>
      <c r="D161" s="10">
        <v>2022</v>
      </c>
      <c r="E161" s="7">
        <v>1905</v>
      </c>
      <c r="F161" s="8" t="s">
        <v>162</v>
      </c>
      <c r="G161" s="2">
        <v>15</v>
      </c>
      <c r="H161" s="2">
        <v>28376</v>
      </c>
      <c r="I161" s="1">
        <v>2022</v>
      </c>
      <c r="J161" s="8" t="s">
        <v>8</v>
      </c>
      <c r="K161" s="8" t="s">
        <v>9</v>
      </c>
      <c r="L161" s="8" t="s">
        <v>133</v>
      </c>
    </row>
    <row r="162" spans="1:12" x14ac:dyDescent="0.3">
      <c r="A162" s="10">
        <v>160</v>
      </c>
      <c r="B162" s="10" t="s">
        <v>163</v>
      </c>
      <c r="C162" s="10" t="s">
        <v>96</v>
      </c>
      <c r="D162" s="10">
        <v>2022</v>
      </c>
      <c r="E162" s="7">
        <v>1905</v>
      </c>
      <c r="F162" s="8" t="s">
        <v>162</v>
      </c>
      <c r="G162" s="2">
        <v>12.04</v>
      </c>
      <c r="H162" s="2">
        <v>22986</v>
      </c>
      <c r="I162" s="1">
        <v>2022</v>
      </c>
      <c r="J162" s="8" t="s">
        <v>12</v>
      </c>
      <c r="K162" s="8" t="s">
        <v>27</v>
      </c>
      <c r="L162" s="8" t="s">
        <v>136</v>
      </c>
    </row>
    <row r="163" spans="1:12" x14ac:dyDescent="0.3">
      <c r="A163" s="10">
        <v>161</v>
      </c>
      <c r="B163" s="10" t="s">
        <v>163</v>
      </c>
      <c r="C163" s="10" t="s">
        <v>97</v>
      </c>
      <c r="D163" s="10">
        <v>2022</v>
      </c>
      <c r="E163" s="7">
        <v>1905</v>
      </c>
      <c r="F163" s="8" t="s">
        <v>162</v>
      </c>
      <c r="G163" s="2">
        <v>16.8</v>
      </c>
      <c r="H163" s="2">
        <v>32260</v>
      </c>
      <c r="I163" s="1">
        <v>2022</v>
      </c>
      <c r="J163" s="8" t="s">
        <v>12</v>
      </c>
      <c r="K163" s="8" t="s">
        <v>27</v>
      </c>
      <c r="L163" s="8" t="s">
        <v>136</v>
      </c>
    </row>
    <row r="164" spans="1:12" x14ac:dyDescent="0.3">
      <c r="A164" s="10">
        <v>162</v>
      </c>
      <c r="B164" s="10" t="s">
        <v>163</v>
      </c>
      <c r="C164" s="10" t="s">
        <v>98</v>
      </c>
      <c r="D164" s="10">
        <v>2022</v>
      </c>
      <c r="E164" s="7">
        <v>1905</v>
      </c>
      <c r="F164" s="8" t="s">
        <v>162</v>
      </c>
      <c r="G164" s="2">
        <v>7.5</v>
      </c>
      <c r="H164" s="2">
        <v>14314</v>
      </c>
      <c r="I164" s="1">
        <v>2022</v>
      </c>
      <c r="J164" s="8" t="s">
        <v>12</v>
      </c>
      <c r="K164" s="8" t="s">
        <v>27</v>
      </c>
      <c r="L164" s="8" t="s">
        <v>136</v>
      </c>
    </row>
    <row r="165" spans="1:12" x14ac:dyDescent="0.3">
      <c r="A165" s="10">
        <v>163</v>
      </c>
      <c r="B165" s="10" t="s">
        <v>163</v>
      </c>
      <c r="C165" s="10" t="s">
        <v>99</v>
      </c>
      <c r="D165" s="10">
        <v>2022</v>
      </c>
      <c r="E165" s="8">
        <v>1754</v>
      </c>
      <c r="F165" s="8" t="s">
        <v>162</v>
      </c>
      <c r="G165" s="2">
        <v>18.510000000000002</v>
      </c>
      <c r="H165" s="2">
        <v>34606</v>
      </c>
      <c r="I165" s="1">
        <v>2022</v>
      </c>
      <c r="J165" s="8" t="s">
        <v>8</v>
      </c>
      <c r="K165" s="8" t="s">
        <v>27</v>
      </c>
      <c r="L165" s="8" t="s">
        <v>134</v>
      </c>
    </row>
    <row r="166" spans="1:12" x14ac:dyDescent="0.3">
      <c r="A166" s="10">
        <v>164</v>
      </c>
      <c r="B166" s="10" t="s">
        <v>163</v>
      </c>
      <c r="C166" s="10" t="s">
        <v>100</v>
      </c>
      <c r="D166" s="10">
        <v>2022</v>
      </c>
      <c r="E166" s="8">
        <v>1754</v>
      </c>
      <c r="F166" s="8" t="s">
        <v>162</v>
      </c>
      <c r="G166" s="2">
        <v>8.33</v>
      </c>
      <c r="H166" s="2">
        <v>11785</v>
      </c>
      <c r="I166" s="1">
        <v>2022</v>
      </c>
      <c r="J166" s="8" t="s">
        <v>8</v>
      </c>
      <c r="K166" s="8" t="s">
        <v>27</v>
      </c>
      <c r="L166" s="8" t="s">
        <v>134</v>
      </c>
    </row>
    <row r="167" spans="1:12" x14ac:dyDescent="0.3">
      <c r="A167" s="9">
        <v>165</v>
      </c>
      <c r="B167" s="9" t="s">
        <v>105</v>
      </c>
      <c r="C167" s="10" t="s">
        <v>6</v>
      </c>
      <c r="D167" s="10">
        <v>2022</v>
      </c>
      <c r="E167" s="4">
        <v>1780</v>
      </c>
      <c r="F167" s="8" t="s">
        <v>150</v>
      </c>
      <c r="G167" s="2">
        <v>1.1379786002407855E-15</v>
      </c>
      <c r="H167" s="11">
        <v>4</v>
      </c>
      <c r="I167" s="1">
        <v>2018</v>
      </c>
      <c r="J167" s="8" t="s">
        <v>8</v>
      </c>
      <c r="K167" s="8" t="s">
        <v>9</v>
      </c>
      <c r="L167" s="8" t="s">
        <v>10</v>
      </c>
    </row>
    <row r="168" spans="1:12" x14ac:dyDescent="0.3">
      <c r="A168" s="9">
        <v>166</v>
      </c>
      <c r="B168" s="9" t="s">
        <v>105</v>
      </c>
      <c r="C168" s="10" t="s">
        <v>11</v>
      </c>
      <c r="D168" s="10">
        <v>2022</v>
      </c>
      <c r="E168" s="4">
        <v>2132</v>
      </c>
      <c r="F168" s="8" t="s">
        <v>150</v>
      </c>
      <c r="G168" s="2">
        <v>7.7715611723760958E-16</v>
      </c>
      <c r="H168" s="11">
        <v>7</v>
      </c>
      <c r="I168" s="1">
        <v>2016</v>
      </c>
      <c r="J168" s="8" t="s">
        <v>12</v>
      </c>
      <c r="K168" s="8" t="s">
        <v>9</v>
      </c>
      <c r="L168" s="8" t="s">
        <v>10</v>
      </c>
    </row>
    <row r="169" spans="1:12" x14ac:dyDescent="0.3">
      <c r="A169" s="9">
        <v>167</v>
      </c>
      <c r="B169" s="9" t="s">
        <v>105</v>
      </c>
      <c r="C169" s="10" t="s">
        <v>13</v>
      </c>
      <c r="D169" s="10">
        <v>2022</v>
      </c>
      <c r="E169" s="4">
        <v>2132</v>
      </c>
      <c r="F169" s="8" t="s">
        <v>150</v>
      </c>
      <c r="G169" s="2">
        <v>0</v>
      </c>
      <c r="H169" s="11">
        <v>18</v>
      </c>
      <c r="I169" s="1">
        <v>2016</v>
      </c>
      <c r="J169" s="8" t="s">
        <v>12</v>
      </c>
      <c r="K169" s="8" t="s">
        <v>9</v>
      </c>
      <c r="L169" s="8" t="s">
        <v>10</v>
      </c>
    </row>
    <row r="170" spans="1:12" x14ac:dyDescent="0.3">
      <c r="A170" s="9">
        <v>168</v>
      </c>
      <c r="B170" s="9" t="s">
        <v>105</v>
      </c>
      <c r="C170" s="10" t="s">
        <v>14</v>
      </c>
      <c r="D170" s="10">
        <v>2022</v>
      </c>
      <c r="E170" s="4">
        <v>2132</v>
      </c>
      <c r="F170" s="8" t="s">
        <v>150</v>
      </c>
      <c r="G170" s="2">
        <v>1.9999999999999851E-2</v>
      </c>
      <c r="H170" s="11">
        <v>52</v>
      </c>
      <c r="I170" s="1">
        <v>2016</v>
      </c>
      <c r="J170" s="8" t="s">
        <v>12</v>
      </c>
      <c r="K170" s="8" t="s">
        <v>9</v>
      </c>
      <c r="L170" s="8" t="s">
        <v>10</v>
      </c>
    </row>
    <row r="171" spans="1:12" x14ac:dyDescent="0.3">
      <c r="A171" s="9">
        <v>169</v>
      </c>
      <c r="B171" s="9" t="s">
        <v>105</v>
      </c>
      <c r="C171" s="10" t="s">
        <v>15</v>
      </c>
      <c r="D171" s="10">
        <v>2022</v>
      </c>
      <c r="E171" s="4">
        <v>2132</v>
      </c>
      <c r="F171" s="8" t="s">
        <v>150</v>
      </c>
      <c r="G171" s="2">
        <v>1.9999999999999213E-2</v>
      </c>
      <c r="H171" s="11">
        <v>33</v>
      </c>
      <c r="I171" s="1">
        <v>2017</v>
      </c>
      <c r="J171" s="8" t="s">
        <v>12</v>
      </c>
      <c r="K171" s="8" t="s">
        <v>9</v>
      </c>
      <c r="L171" s="8" t="s">
        <v>10</v>
      </c>
    </row>
    <row r="172" spans="1:12" x14ac:dyDescent="0.3">
      <c r="A172" s="9">
        <v>170</v>
      </c>
      <c r="B172" s="9" t="s">
        <v>105</v>
      </c>
      <c r="C172" s="10" t="s">
        <v>16</v>
      </c>
      <c r="D172" s="10">
        <v>2022</v>
      </c>
      <c r="E172" s="4">
        <v>2070</v>
      </c>
      <c r="F172" s="8" t="s">
        <v>150</v>
      </c>
      <c r="G172" s="2">
        <v>9.9999999999995735E-3</v>
      </c>
      <c r="H172" s="11">
        <v>13</v>
      </c>
      <c r="I172" s="1">
        <v>2017</v>
      </c>
      <c r="J172" s="8" t="s">
        <v>12</v>
      </c>
      <c r="K172" s="8" t="s">
        <v>9</v>
      </c>
      <c r="L172" s="8" t="s">
        <v>10</v>
      </c>
    </row>
    <row r="173" spans="1:12" x14ac:dyDescent="0.3">
      <c r="A173" s="9">
        <v>171</v>
      </c>
      <c r="B173" s="9" t="s">
        <v>105</v>
      </c>
      <c r="C173" s="10" t="s">
        <v>18</v>
      </c>
      <c r="D173" s="10">
        <v>2022</v>
      </c>
      <c r="E173" s="4">
        <v>2070</v>
      </c>
      <c r="F173" s="8" t="s">
        <v>150</v>
      </c>
      <c r="G173" s="2">
        <v>-2.1337098754514727E-16</v>
      </c>
      <c r="H173" s="11">
        <v>17</v>
      </c>
      <c r="I173" s="1">
        <v>2017</v>
      </c>
      <c r="J173" s="8" t="s">
        <v>12</v>
      </c>
      <c r="K173" s="8" t="s">
        <v>9</v>
      </c>
      <c r="L173" s="8" t="s">
        <v>10</v>
      </c>
    </row>
    <row r="174" spans="1:12" x14ac:dyDescent="0.3">
      <c r="A174" s="9">
        <v>172</v>
      </c>
      <c r="B174" s="9" t="s">
        <v>105</v>
      </c>
      <c r="C174" s="10" t="s">
        <v>19</v>
      </c>
      <c r="D174" s="10">
        <v>2022</v>
      </c>
      <c r="E174" s="4">
        <v>2070</v>
      </c>
      <c r="F174" s="8" t="s">
        <v>150</v>
      </c>
      <c r="G174" s="2">
        <v>2.999999999999986E-2</v>
      </c>
      <c r="H174" s="11">
        <v>51</v>
      </c>
      <c r="I174" s="1">
        <v>2017</v>
      </c>
      <c r="J174" s="8" t="s">
        <v>12</v>
      </c>
      <c r="K174" s="8" t="s">
        <v>9</v>
      </c>
      <c r="L174" s="8" t="s">
        <v>10</v>
      </c>
    </row>
    <row r="175" spans="1:12" x14ac:dyDescent="0.3">
      <c r="A175" s="9">
        <v>173</v>
      </c>
      <c r="B175" s="9" t="s">
        <v>105</v>
      </c>
      <c r="C175" s="10" t="s">
        <v>20</v>
      </c>
      <c r="D175" s="10">
        <v>2022</v>
      </c>
      <c r="E175" s="4">
        <v>2132</v>
      </c>
      <c r="F175" s="8" t="s">
        <v>150</v>
      </c>
      <c r="G175" s="2">
        <v>7.0776717819853729E-16</v>
      </c>
      <c r="H175" s="11">
        <v>6</v>
      </c>
      <c r="I175" s="1">
        <v>2015</v>
      </c>
      <c r="J175" s="8" t="s">
        <v>12</v>
      </c>
      <c r="K175" s="8" t="s">
        <v>9</v>
      </c>
      <c r="L175" s="8" t="s">
        <v>133</v>
      </c>
    </row>
    <row r="176" spans="1:12" x14ac:dyDescent="0.3">
      <c r="A176" s="9">
        <v>174</v>
      </c>
      <c r="B176" s="9" t="s">
        <v>105</v>
      </c>
      <c r="C176" s="10" t="s">
        <v>21</v>
      </c>
      <c r="D176" s="10">
        <v>2022</v>
      </c>
      <c r="E176" s="4">
        <v>2132</v>
      </c>
      <c r="F176" s="8" t="s">
        <v>150</v>
      </c>
      <c r="G176" s="2">
        <v>9.9999999999985656E-3</v>
      </c>
      <c r="H176" s="11">
        <v>9</v>
      </c>
      <c r="I176" s="1">
        <v>2015</v>
      </c>
      <c r="J176" s="8" t="s">
        <v>12</v>
      </c>
      <c r="K176" s="8" t="s">
        <v>9</v>
      </c>
      <c r="L176" s="8" t="s">
        <v>133</v>
      </c>
    </row>
    <row r="177" spans="1:12" x14ac:dyDescent="0.3">
      <c r="A177" s="9">
        <v>175</v>
      </c>
      <c r="B177" s="9" t="s">
        <v>105</v>
      </c>
      <c r="C177" s="10" t="s">
        <v>22</v>
      </c>
      <c r="D177" s="10">
        <v>2022</v>
      </c>
      <c r="E177" s="4">
        <v>2132</v>
      </c>
      <c r="F177" s="8" t="s">
        <v>150</v>
      </c>
      <c r="G177" s="2">
        <v>0.21000000000000008</v>
      </c>
      <c r="H177" s="11">
        <v>447</v>
      </c>
      <c r="I177" s="1">
        <v>2015</v>
      </c>
      <c r="J177" s="8" t="s">
        <v>12</v>
      </c>
      <c r="K177" s="8" t="s">
        <v>9</v>
      </c>
      <c r="L177" s="8" t="s">
        <v>133</v>
      </c>
    </row>
    <row r="178" spans="1:12" x14ac:dyDescent="0.3">
      <c r="A178" s="9">
        <v>176</v>
      </c>
      <c r="B178" s="9" t="s">
        <v>105</v>
      </c>
      <c r="C178" s="10" t="s">
        <v>23</v>
      </c>
      <c r="D178" s="10">
        <v>2022</v>
      </c>
      <c r="E178" s="4">
        <v>2070</v>
      </c>
      <c r="F178" s="8" t="s">
        <v>150</v>
      </c>
      <c r="G178" s="2">
        <v>-6.3837823915946501E-16</v>
      </c>
      <c r="H178" s="11">
        <v>1771</v>
      </c>
      <c r="I178" s="1">
        <v>2016</v>
      </c>
      <c r="J178" s="8" t="s">
        <v>12</v>
      </c>
      <c r="K178" s="8" t="s">
        <v>9</v>
      </c>
      <c r="L178" s="8" t="s">
        <v>132</v>
      </c>
    </row>
    <row r="179" spans="1:12" x14ac:dyDescent="0.3">
      <c r="A179" s="9">
        <v>177</v>
      </c>
      <c r="B179" s="9" t="s">
        <v>105</v>
      </c>
      <c r="C179" s="10" t="s">
        <v>24</v>
      </c>
      <c r="D179" s="10">
        <v>2022</v>
      </c>
      <c r="E179" s="4">
        <v>2070</v>
      </c>
      <c r="F179" s="8" t="s">
        <v>150</v>
      </c>
      <c r="G179" s="2">
        <v>2.7755575615628914E-16</v>
      </c>
      <c r="H179" s="11">
        <v>23</v>
      </c>
      <c r="I179" s="1">
        <v>2017</v>
      </c>
      <c r="J179" s="8" t="s">
        <v>12</v>
      </c>
      <c r="K179" s="8" t="s">
        <v>9</v>
      </c>
      <c r="L179" s="8" t="s">
        <v>132</v>
      </c>
    </row>
    <row r="180" spans="1:12" x14ac:dyDescent="0.3">
      <c r="A180" s="9">
        <v>178</v>
      </c>
      <c r="B180" s="9" t="s">
        <v>105</v>
      </c>
      <c r="C180" s="10" t="s">
        <v>25</v>
      </c>
      <c r="D180" s="10">
        <v>2022</v>
      </c>
      <c r="E180" s="4">
        <v>2070</v>
      </c>
      <c r="F180" s="8" t="s">
        <v>150</v>
      </c>
      <c r="G180" s="2">
        <v>2.0000000000000281E-2</v>
      </c>
      <c r="H180" s="11">
        <v>42</v>
      </c>
      <c r="I180" s="1">
        <v>2016</v>
      </c>
      <c r="J180" s="8" t="s">
        <v>12</v>
      </c>
      <c r="K180" s="8" t="s">
        <v>9</v>
      </c>
      <c r="L180" s="8" t="s">
        <v>132</v>
      </c>
    </row>
    <row r="181" spans="1:12" x14ac:dyDescent="0.3">
      <c r="A181" s="9">
        <v>179</v>
      </c>
      <c r="B181" s="9" t="s">
        <v>105</v>
      </c>
      <c r="C181" s="10" t="s">
        <v>26</v>
      </c>
      <c r="D181" s="10">
        <v>2022</v>
      </c>
      <c r="E181" s="4">
        <v>1905</v>
      </c>
      <c r="F181" s="8" t="s">
        <v>150</v>
      </c>
      <c r="G181" s="2">
        <v>0.24000000000000135</v>
      </c>
      <c r="H181" s="11">
        <v>446</v>
      </c>
      <c r="I181" s="1">
        <v>2015</v>
      </c>
      <c r="J181" s="8" t="s">
        <v>8</v>
      </c>
      <c r="K181" s="8" t="s">
        <v>27</v>
      </c>
      <c r="L181" s="8" t="s">
        <v>28</v>
      </c>
    </row>
    <row r="182" spans="1:12" x14ac:dyDescent="0.3">
      <c r="A182" s="9">
        <v>180</v>
      </c>
      <c r="B182" s="9" t="s">
        <v>105</v>
      </c>
      <c r="C182" s="10" t="s">
        <v>29</v>
      </c>
      <c r="D182" s="10">
        <v>2022</v>
      </c>
      <c r="E182" s="4">
        <v>1905</v>
      </c>
      <c r="F182" s="8" t="s">
        <v>150</v>
      </c>
      <c r="G182" s="2">
        <v>0.82000000000000017</v>
      </c>
      <c r="H182" s="11">
        <v>1544</v>
      </c>
      <c r="I182" s="1">
        <v>2017</v>
      </c>
      <c r="J182" s="8" t="s">
        <v>8</v>
      </c>
      <c r="K182" s="8" t="s">
        <v>27</v>
      </c>
      <c r="L182" s="8" t="s">
        <v>28</v>
      </c>
    </row>
    <row r="183" spans="1:12" x14ac:dyDescent="0.3">
      <c r="A183" s="9">
        <v>181</v>
      </c>
      <c r="B183" s="9" t="s">
        <v>105</v>
      </c>
      <c r="C183" s="10" t="s">
        <v>30</v>
      </c>
      <c r="D183" s="10">
        <v>2022</v>
      </c>
      <c r="E183" s="4">
        <v>1953</v>
      </c>
      <c r="F183" s="8" t="s">
        <v>150</v>
      </c>
      <c r="G183" s="2">
        <v>3.9999999999999425E-2</v>
      </c>
      <c r="H183" s="11">
        <v>92</v>
      </c>
      <c r="I183" s="1">
        <v>2018</v>
      </c>
      <c r="J183" s="8" t="s">
        <v>8</v>
      </c>
      <c r="K183" s="8" t="s">
        <v>27</v>
      </c>
      <c r="L183" s="8" t="s">
        <v>28</v>
      </c>
    </row>
    <row r="184" spans="1:12" x14ac:dyDescent="0.3">
      <c r="A184" s="9">
        <v>182</v>
      </c>
      <c r="B184" s="9" t="s">
        <v>105</v>
      </c>
      <c r="C184" s="10" t="s">
        <v>31</v>
      </c>
      <c r="D184" s="10">
        <v>2022</v>
      </c>
      <c r="E184" s="4">
        <v>1905.1398337112623</v>
      </c>
      <c r="F184" s="8" t="s">
        <v>150</v>
      </c>
      <c r="G184" s="2">
        <v>5.9999999999999644E-2</v>
      </c>
      <c r="H184" s="11">
        <v>108</v>
      </c>
      <c r="I184" s="1">
        <v>2016</v>
      </c>
      <c r="J184" s="8" t="s">
        <v>8</v>
      </c>
      <c r="K184" s="8" t="s">
        <v>27</v>
      </c>
      <c r="L184" s="8" t="s">
        <v>28</v>
      </c>
    </row>
    <row r="185" spans="1:12" x14ac:dyDescent="0.3">
      <c r="A185" s="9">
        <v>183</v>
      </c>
      <c r="B185" s="9" t="s">
        <v>105</v>
      </c>
      <c r="C185" s="10" t="s">
        <v>32</v>
      </c>
      <c r="D185" s="10">
        <v>2022</v>
      </c>
      <c r="E185" s="4">
        <v>1953</v>
      </c>
      <c r="F185" s="8" t="s">
        <v>150</v>
      </c>
      <c r="G185" s="2">
        <v>0</v>
      </c>
      <c r="H185" s="11">
        <v>5</v>
      </c>
      <c r="I185" s="1">
        <v>2014</v>
      </c>
      <c r="J185" s="8" t="s">
        <v>8</v>
      </c>
      <c r="K185" s="8" t="s">
        <v>27</v>
      </c>
      <c r="L185" s="8" t="s">
        <v>28</v>
      </c>
    </row>
    <row r="186" spans="1:12" x14ac:dyDescent="0.3">
      <c r="A186" s="9">
        <v>184</v>
      </c>
      <c r="B186" s="9" t="s">
        <v>105</v>
      </c>
      <c r="C186" s="10" t="s">
        <v>33</v>
      </c>
      <c r="D186" s="10">
        <v>2022</v>
      </c>
      <c r="E186" s="4">
        <v>1953</v>
      </c>
      <c r="F186" s="8" t="s">
        <v>150</v>
      </c>
      <c r="G186" s="2">
        <v>2.0000000000000923E-2</v>
      </c>
      <c r="H186" s="11">
        <v>53</v>
      </c>
      <c r="I186" s="1">
        <v>2019</v>
      </c>
      <c r="J186" s="8" t="s">
        <v>12</v>
      </c>
      <c r="K186" s="8" t="s">
        <v>9</v>
      </c>
      <c r="L186" s="8" t="s">
        <v>132</v>
      </c>
    </row>
    <row r="187" spans="1:12" x14ac:dyDescent="0.3">
      <c r="A187" s="9">
        <v>185</v>
      </c>
      <c r="B187" s="9" t="s">
        <v>105</v>
      </c>
      <c r="C187" s="10" t="s">
        <v>35</v>
      </c>
      <c r="D187" s="10">
        <v>2022</v>
      </c>
      <c r="E187" s="4">
        <v>1953</v>
      </c>
      <c r="F187" s="8" t="s">
        <v>150</v>
      </c>
      <c r="G187" s="2">
        <v>9.9999999999997868E-3</v>
      </c>
      <c r="H187" s="11">
        <v>15</v>
      </c>
      <c r="I187" s="1">
        <v>2019</v>
      </c>
      <c r="J187" s="8" t="s">
        <v>12</v>
      </c>
      <c r="K187" s="8" t="s">
        <v>9</v>
      </c>
      <c r="L187" s="8" t="s">
        <v>132</v>
      </c>
    </row>
    <row r="188" spans="1:12" x14ac:dyDescent="0.3">
      <c r="A188" s="9">
        <v>186</v>
      </c>
      <c r="B188" s="9" t="s">
        <v>105</v>
      </c>
      <c r="C188" s="10" t="s">
        <v>36</v>
      </c>
      <c r="D188" s="10">
        <v>2022</v>
      </c>
      <c r="E188" s="4">
        <v>1953</v>
      </c>
      <c r="F188" s="8" t="s">
        <v>150</v>
      </c>
      <c r="G188" s="2">
        <v>9.9999999999995735E-3</v>
      </c>
      <c r="H188" s="11">
        <v>26</v>
      </c>
      <c r="I188" s="1">
        <v>2019</v>
      </c>
      <c r="J188" s="8" t="s">
        <v>12</v>
      </c>
      <c r="K188" s="8" t="s">
        <v>9</v>
      </c>
      <c r="L188" s="8" t="s">
        <v>132</v>
      </c>
    </row>
    <row r="189" spans="1:12" x14ac:dyDescent="0.3">
      <c r="A189" s="9">
        <v>187</v>
      </c>
      <c r="B189" s="9" t="s">
        <v>105</v>
      </c>
      <c r="C189" s="10" t="s">
        <v>37</v>
      </c>
      <c r="D189" s="10">
        <v>2022</v>
      </c>
      <c r="E189" s="4">
        <v>1780</v>
      </c>
      <c r="F189" s="8" t="s">
        <v>150</v>
      </c>
      <c r="G189" s="2">
        <v>0.19999999999999915</v>
      </c>
      <c r="H189" s="11">
        <v>356</v>
      </c>
      <c r="I189" s="1">
        <v>2020</v>
      </c>
      <c r="J189" s="8" t="s">
        <v>12</v>
      </c>
      <c r="K189" s="8" t="s">
        <v>9</v>
      </c>
      <c r="L189" s="8" t="s">
        <v>132</v>
      </c>
    </row>
    <row r="190" spans="1:12" x14ac:dyDescent="0.3">
      <c r="A190" s="9">
        <v>188</v>
      </c>
      <c r="B190" s="9" t="s">
        <v>105</v>
      </c>
      <c r="C190" s="10" t="s">
        <v>38</v>
      </c>
      <c r="D190" s="10">
        <v>2022</v>
      </c>
      <c r="E190" s="4">
        <v>1780</v>
      </c>
      <c r="F190" s="8" t="s">
        <v>150</v>
      </c>
      <c r="G190" s="2">
        <v>5.000000000000028E-2</v>
      </c>
      <c r="H190" s="11">
        <v>84</v>
      </c>
      <c r="I190" s="1">
        <v>2020</v>
      </c>
      <c r="J190" s="8" t="s">
        <v>12</v>
      </c>
      <c r="K190" s="8" t="s">
        <v>9</v>
      </c>
      <c r="L190" s="8" t="s">
        <v>132</v>
      </c>
    </row>
    <row r="191" spans="1:12" x14ac:dyDescent="0.3">
      <c r="A191" s="9">
        <v>189</v>
      </c>
      <c r="B191" s="9" t="s">
        <v>105</v>
      </c>
      <c r="C191" s="10" t="s">
        <v>39</v>
      </c>
      <c r="D191" s="10">
        <v>2022</v>
      </c>
      <c r="E191" s="4">
        <v>1780</v>
      </c>
      <c r="F191" s="8" t="s">
        <v>150</v>
      </c>
      <c r="G191" s="2">
        <v>6.0000000000000067E-2</v>
      </c>
      <c r="H191" s="11">
        <v>112</v>
      </c>
      <c r="I191" s="1">
        <v>2020</v>
      </c>
      <c r="J191" s="8" t="s">
        <v>12</v>
      </c>
      <c r="K191" s="8" t="s">
        <v>9</v>
      </c>
      <c r="L191" s="8" t="s">
        <v>132</v>
      </c>
    </row>
    <row r="192" spans="1:12" x14ac:dyDescent="0.3">
      <c r="A192" s="9">
        <v>190</v>
      </c>
      <c r="B192" s="9" t="s">
        <v>105</v>
      </c>
      <c r="C192" s="10" t="s">
        <v>40</v>
      </c>
      <c r="D192" s="10">
        <v>2022</v>
      </c>
      <c r="E192" s="4">
        <v>1780</v>
      </c>
      <c r="F192" s="8" t="s">
        <v>150</v>
      </c>
      <c r="G192" s="2">
        <v>6.9999999999999715E-2</v>
      </c>
      <c r="H192" s="11">
        <v>111</v>
      </c>
      <c r="I192" s="1">
        <v>2020</v>
      </c>
      <c r="J192" s="8" t="s">
        <v>12</v>
      </c>
      <c r="K192" s="8" t="s">
        <v>27</v>
      </c>
      <c r="L192" s="8" t="s">
        <v>34</v>
      </c>
    </row>
    <row r="193" spans="1:12" x14ac:dyDescent="0.3">
      <c r="A193" s="9">
        <v>191</v>
      </c>
      <c r="B193" s="9" t="s">
        <v>105</v>
      </c>
      <c r="C193" s="10" t="s">
        <v>41</v>
      </c>
      <c r="D193" s="10">
        <v>2022</v>
      </c>
      <c r="E193" s="4">
        <v>1780</v>
      </c>
      <c r="F193" s="8" t="s">
        <v>150</v>
      </c>
      <c r="G193" s="2">
        <v>8.9999999999998581E-2</v>
      </c>
      <c r="H193" s="11">
        <v>165</v>
      </c>
      <c r="I193" s="1">
        <v>2020</v>
      </c>
      <c r="J193" s="8" t="s">
        <v>12</v>
      </c>
      <c r="K193" s="8" t="s">
        <v>27</v>
      </c>
      <c r="L193" s="8" t="s">
        <v>34</v>
      </c>
    </row>
    <row r="194" spans="1:12" x14ac:dyDescent="0.3">
      <c r="A194" s="9">
        <v>192</v>
      </c>
      <c r="B194" s="9" t="s">
        <v>105</v>
      </c>
      <c r="C194" s="10" t="s">
        <v>42</v>
      </c>
      <c r="D194" s="10">
        <v>2022</v>
      </c>
      <c r="E194" s="4">
        <v>1780</v>
      </c>
      <c r="F194" s="8" t="s">
        <v>150</v>
      </c>
      <c r="G194" s="2">
        <v>0.17000000000000065</v>
      </c>
      <c r="H194" s="11">
        <v>311</v>
      </c>
      <c r="I194" s="1">
        <v>2020</v>
      </c>
      <c r="J194" s="8" t="s">
        <v>12</v>
      </c>
      <c r="K194" s="8" t="s">
        <v>27</v>
      </c>
      <c r="L194" s="8" t="s">
        <v>34</v>
      </c>
    </row>
    <row r="195" spans="1:12" x14ac:dyDescent="0.3">
      <c r="A195" s="9">
        <v>193</v>
      </c>
      <c r="B195" s="9" t="s">
        <v>105</v>
      </c>
      <c r="C195" s="10" t="s">
        <v>43</v>
      </c>
      <c r="D195" s="10">
        <v>2022</v>
      </c>
      <c r="E195" s="4">
        <v>1780</v>
      </c>
      <c r="F195" s="8" t="s">
        <v>150</v>
      </c>
      <c r="G195" s="2">
        <v>0.26000000000000006</v>
      </c>
      <c r="H195" s="11">
        <v>451</v>
      </c>
      <c r="I195" s="1">
        <v>2020</v>
      </c>
      <c r="J195" s="8" t="s">
        <v>12</v>
      </c>
      <c r="K195" s="8" t="s">
        <v>27</v>
      </c>
      <c r="L195" s="8" t="s">
        <v>34</v>
      </c>
    </row>
    <row r="196" spans="1:12" x14ac:dyDescent="0.3">
      <c r="A196" s="9">
        <v>194</v>
      </c>
      <c r="B196" s="9" t="s">
        <v>105</v>
      </c>
      <c r="C196" s="10" t="s">
        <v>44</v>
      </c>
      <c r="D196" s="10">
        <v>2022</v>
      </c>
      <c r="E196" s="4">
        <v>1780</v>
      </c>
      <c r="F196" s="8" t="s">
        <v>150</v>
      </c>
      <c r="G196" s="2">
        <v>0</v>
      </c>
      <c r="H196" s="11">
        <v>0</v>
      </c>
      <c r="I196" s="1">
        <v>2022</v>
      </c>
      <c r="J196" s="8" t="s">
        <v>12</v>
      </c>
      <c r="K196" s="8" t="s">
        <v>9</v>
      </c>
      <c r="L196" s="8" t="s">
        <v>10</v>
      </c>
    </row>
    <row r="197" spans="1:12" x14ac:dyDescent="0.3">
      <c r="A197" s="10">
        <v>195</v>
      </c>
      <c r="B197" s="10" t="s">
        <v>106</v>
      </c>
      <c r="C197" s="10" t="s">
        <v>45</v>
      </c>
      <c r="D197" s="10">
        <v>2022</v>
      </c>
      <c r="E197" s="4">
        <v>1587</v>
      </c>
      <c r="F197" s="8" t="s">
        <v>150</v>
      </c>
      <c r="G197" s="2">
        <v>0.15000000000000036</v>
      </c>
      <c r="H197" s="11">
        <v>23</v>
      </c>
      <c r="I197" s="1">
        <v>2018</v>
      </c>
      <c r="J197" s="8" t="s">
        <v>12</v>
      </c>
      <c r="K197" s="8" t="s">
        <v>27</v>
      </c>
      <c r="L197" s="8" t="s">
        <v>134</v>
      </c>
    </row>
    <row r="198" spans="1:12" x14ac:dyDescent="0.3">
      <c r="A198" s="10">
        <v>196</v>
      </c>
      <c r="B198" s="10" t="s">
        <v>106</v>
      </c>
      <c r="C198" s="10" t="s">
        <v>47</v>
      </c>
      <c r="D198" s="10">
        <v>2022</v>
      </c>
      <c r="E198" s="4">
        <v>1587</v>
      </c>
      <c r="F198" s="8" t="s">
        <v>150</v>
      </c>
      <c r="G198" s="2">
        <v>8.9999999999999858E-2</v>
      </c>
      <c r="H198" s="11">
        <v>20</v>
      </c>
      <c r="I198" s="1">
        <v>2018</v>
      </c>
      <c r="J198" s="8" t="s">
        <v>12</v>
      </c>
      <c r="K198" s="8" t="s">
        <v>27</v>
      </c>
      <c r="L198" s="8" t="s">
        <v>134</v>
      </c>
    </row>
    <row r="199" spans="1:12" x14ac:dyDescent="0.3">
      <c r="A199" s="10">
        <v>197</v>
      </c>
      <c r="B199" s="10" t="s">
        <v>107</v>
      </c>
      <c r="C199" s="10" t="s">
        <v>48</v>
      </c>
      <c r="D199" s="10">
        <v>2022</v>
      </c>
      <c r="E199" s="6">
        <v>1587</v>
      </c>
      <c r="F199" s="8" t="s">
        <v>150</v>
      </c>
      <c r="G199" s="2">
        <v>2.7199999999999984</v>
      </c>
      <c r="H199" s="11">
        <v>1532</v>
      </c>
      <c r="I199" s="1">
        <v>2012</v>
      </c>
      <c r="J199" s="8" t="s">
        <v>12</v>
      </c>
      <c r="K199" s="8" t="s">
        <v>27</v>
      </c>
      <c r="L199" s="8" t="s">
        <v>28</v>
      </c>
    </row>
    <row r="200" spans="1:12" x14ac:dyDescent="0.3">
      <c r="A200" s="10">
        <v>198</v>
      </c>
      <c r="B200" s="10" t="s">
        <v>107</v>
      </c>
      <c r="C200" s="10" t="s">
        <v>50</v>
      </c>
      <c r="D200" s="10">
        <v>2022</v>
      </c>
      <c r="E200" s="6">
        <v>1587</v>
      </c>
      <c r="F200" s="8" t="s">
        <v>150</v>
      </c>
      <c r="G200" s="2">
        <v>2.3699999999999983</v>
      </c>
      <c r="H200" s="11">
        <v>1523</v>
      </c>
      <c r="I200" s="1">
        <v>2012</v>
      </c>
      <c r="J200" s="8" t="s">
        <v>12</v>
      </c>
      <c r="K200" s="8" t="s">
        <v>27</v>
      </c>
      <c r="L200" s="8" t="s">
        <v>28</v>
      </c>
    </row>
    <row r="201" spans="1:12" x14ac:dyDescent="0.3">
      <c r="A201" s="10">
        <v>199</v>
      </c>
      <c r="B201" s="10" t="s">
        <v>108</v>
      </c>
      <c r="C201" s="10" t="s">
        <v>131</v>
      </c>
      <c r="D201" s="10">
        <v>2022</v>
      </c>
      <c r="E201" s="4">
        <v>1780</v>
      </c>
      <c r="F201" s="8" t="s">
        <v>150</v>
      </c>
      <c r="G201" s="2">
        <v>0</v>
      </c>
      <c r="H201" s="11">
        <v>0</v>
      </c>
      <c r="I201" s="1">
        <v>2018</v>
      </c>
      <c r="J201" s="8" t="s">
        <v>12</v>
      </c>
      <c r="K201" s="8" t="s">
        <v>9</v>
      </c>
      <c r="L201" s="8" t="s">
        <v>46</v>
      </c>
    </row>
    <row r="202" spans="1:12" x14ac:dyDescent="0.3">
      <c r="A202" s="10">
        <v>200</v>
      </c>
      <c r="B202" s="10" t="s">
        <v>108</v>
      </c>
      <c r="C202" s="10" t="s">
        <v>52</v>
      </c>
      <c r="D202" s="10">
        <v>2022</v>
      </c>
      <c r="E202" s="4">
        <v>1905</v>
      </c>
      <c r="F202" s="8" t="s">
        <v>150</v>
      </c>
      <c r="G202" s="2">
        <v>0</v>
      </c>
      <c r="H202" s="11">
        <v>4</v>
      </c>
      <c r="I202" s="1">
        <v>2018</v>
      </c>
      <c r="J202" s="8" t="s">
        <v>8</v>
      </c>
      <c r="K202" s="8" t="s">
        <v>27</v>
      </c>
      <c r="L202" s="8" t="s">
        <v>53</v>
      </c>
    </row>
    <row r="203" spans="1:12" x14ac:dyDescent="0.3">
      <c r="A203" s="10">
        <v>201</v>
      </c>
      <c r="B203" s="10" t="s">
        <v>108</v>
      </c>
      <c r="C203" s="10" t="s">
        <v>54</v>
      </c>
      <c r="D203" s="10">
        <v>2022</v>
      </c>
      <c r="E203" s="4">
        <v>1905</v>
      </c>
      <c r="F203" s="8" t="s">
        <v>150</v>
      </c>
      <c r="G203" s="2">
        <v>0</v>
      </c>
      <c r="H203" s="11">
        <v>19</v>
      </c>
      <c r="I203" s="1">
        <v>2017</v>
      </c>
      <c r="J203" s="8" t="s">
        <v>8</v>
      </c>
      <c r="K203" s="8" t="s">
        <v>27</v>
      </c>
      <c r="L203" s="8" t="s">
        <v>53</v>
      </c>
    </row>
    <row r="204" spans="1:12" x14ac:dyDescent="0.3">
      <c r="A204" s="10">
        <v>202</v>
      </c>
      <c r="B204" s="10" t="s">
        <v>108</v>
      </c>
      <c r="C204" s="10" t="s">
        <v>55</v>
      </c>
      <c r="D204" s="10">
        <v>2022</v>
      </c>
      <c r="E204" s="4">
        <v>1905</v>
      </c>
      <c r="F204" s="8" t="s">
        <v>150</v>
      </c>
      <c r="G204" s="2">
        <v>0</v>
      </c>
      <c r="H204" s="11">
        <v>111</v>
      </c>
      <c r="I204" s="1">
        <v>2017</v>
      </c>
      <c r="J204" s="8" t="s">
        <v>8</v>
      </c>
      <c r="K204" s="8" t="s">
        <v>27</v>
      </c>
      <c r="L204" s="8" t="s">
        <v>53</v>
      </c>
    </row>
    <row r="205" spans="1:12" x14ac:dyDescent="0.3">
      <c r="A205" s="10">
        <v>203</v>
      </c>
      <c r="B205" s="10" t="s">
        <v>108</v>
      </c>
      <c r="C205" s="10" t="s">
        <v>56</v>
      </c>
      <c r="D205" s="10">
        <v>2022</v>
      </c>
      <c r="E205" s="4">
        <v>1905</v>
      </c>
      <c r="F205" s="8" t="s">
        <v>150</v>
      </c>
      <c r="G205" s="2">
        <v>5.0000000000000988E-2</v>
      </c>
      <c r="H205" s="11">
        <v>77</v>
      </c>
      <c r="I205" s="1">
        <v>2016</v>
      </c>
      <c r="J205" s="8" t="s">
        <v>8</v>
      </c>
      <c r="K205" s="8" t="s">
        <v>27</v>
      </c>
      <c r="L205" s="8" t="s">
        <v>53</v>
      </c>
    </row>
    <row r="206" spans="1:12" x14ac:dyDescent="0.3">
      <c r="A206" s="10">
        <v>204</v>
      </c>
      <c r="B206" s="10" t="s">
        <v>108</v>
      </c>
      <c r="C206" s="10" t="s">
        <v>57</v>
      </c>
      <c r="D206" s="10">
        <v>2022</v>
      </c>
      <c r="E206" s="4">
        <v>1905</v>
      </c>
      <c r="F206" s="8" t="s">
        <v>150</v>
      </c>
      <c r="G206" s="2">
        <v>6.9999999999999285E-2</v>
      </c>
      <c r="H206" s="11">
        <v>115</v>
      </c>
      <c r="I206" s="1">
        <v>2016</v>
      </c>
      <c r="J206" s="8" t="s">
        <v>8</v>
      </c>
      <c r="K206" s="8" t="s">
        <v>27</v>
      </c>
      <c r="L206" s="8" t="s">
        <v>53</v>
      </c>
    </row>
    <row r="207" spans="1:12" x14ac:dyDescent="0.3">
      <c r="A207" s="10">
        <v>205</v>
      </c>
      <c r="B207" s="10" t="s">
        <v>108</v>
      </c>
      <c r="C207" s="10" t="s">
        <v>58</v>
      </c>
      <c r="D207" s="10">
        <v>2022</v>
      </c>
      <c r="E207" s="4">
        <v>1905</v>
      </c>
      <c r="F207" s="8" t="s">
        <v>150</v>
      </c>
      <c r="G207" s="2">
        <v>9.9999999999993427E-3</v>
      </c>
      <c r="H207" s="11">
        <v>23</v>
      </c>
      <c r="I207" s="1">
        <v>2016</v>
      </c>
      <c r="J207" s="8" t="s">
        <v>8</v>
      </c>
      <c r="K207" s="8" t="s">
        <v>27</v>
      </c>
      <c r="L207" s="8" t="s">
        <v>53</v>
      </c>
    </row>
    <row r="208" spans="1:12" x14ac:dyDescent="0.3">
      <c r="A208" s="10">
        <v>206</v>
      </c>
      <c r="B208" s="10" t="s">
        <v>109</v>
      </c>
      <c r="C208" s="10" t="s">
        <v>59</v>
      </c>
      <c r="D208" s="10">
        <v>2022</v>
      </c>
      <c r="E208" s="4">
        <v>1905</v>
      </c>
      <c r="F208" s="8" t="s">
        <v>150</v>
      </c>
      <c r="G208" s="2">
        <v>0.29999999999999982</v>
      </c>
      <c r="H208" s="11">
        <v>576</v>
      </c>
      <c r="I208" s="1">
        <v>2018</v>
      </c>
      <c r="J208" s="8" t="s">
        <v>8</v>
      </c>
      <c r="K208" s="8" t="s">
        <v>9</v>
      </c>
      <c r="L208" s="8" t="s">
        <v>10</v>
      </c>
    </row>
    <row r="209" spans="1:12" x14ac:dyDescent="0.3">
      <c r="A209" s="10">
        <v>207</v>
      </c>
      <c r="B209" s="10" t="s">
        <v>109</v>
      </c>
      <c r="C209" s="10" t="s">
        <v>60</v>
      </c>
      <c r="D209" s="10">
        <v>2022</v>
      </c>
      <c r="E209" s="4">
        <v>1905</v>
      </c>
      <c r="F209" s="8" t="s">
        <v>150</v>
      </c>
      <c r="G209" s="2">
        <v>0.13000000000000017</v>
      </c>
      <c r="H209" s="11">
        <v>233</v>
      </c>
      <c r="I209" s="1" t="s">
        <v>61</v>
      </c>
      <c r="J209" s="8" t="s">
        <v>8</v>
      </c>
      <c r="K209" s="8" t="s">
        <v>9</v>
      </c>
      <c r="L209" s="8" t="s">
        <v>10</v>
      </c>
    </row>
    <row r="210" spans="1:12" x14ac:dyDescent="0.3">
      <c r="A210" s="10">
        <v>208</v>
      </c>
      <c r="B210" s="10" t="s">
        <v>109</v>
      </c>
      <c r="C210" s="10" t="s">
        <v>130</v>
      </c>
      <c r="D210" s="10">
        <v>2022</v>
      </c>
      <c r="E210" s="4">
        <v>1780</v>
      </c>
      <c r="F210" s="8" t="s">
        <v>150</v>
      </c>
      <c r="G210" s="2">
        <v>0.14000000000000043</v>
      </c>
      <c r="H210" s="11">
        <v>254</v>
      </c>
      <c r="I210" s="1">
        <v>2020</v>
      </c>
      <c r="J210" s="8" t="s">
        <v>12</v>
      </c>
      <c r="K210" s="8" t="s">
        <v>27</v>
      </c>
      <c r="L210" s="8" t="s">
        <v>53</v>
      </c>
    </row>
    <row r="211" spans="1:12" x14ac:dyDescent="0.3">
      <c r="A211" s="10">
        <v>209</v>
      </c>
      <c r="B211" s="10" t="s">
        <v>109</v>
      </c>
      <c r="C211" s="10" t="s">
        <v>63</v>
      </c>
      <c r="D211" s="10">
        <v>2022</v>
      </c>
      <c r="E211" s="4">
        <v>1780</v>
      </c>
      <c r="F211" s="8" t="s">
        <v>150</v>
      </c>
      <c r="G211" s="2">
        <v>0.16999999999999998</v>
      </c>
      <c r="H211" s="11">
        <v>369</v>
      </c>
      <c r="I211" s="1">
        <v>2020</v>
      </c>
      <c r="J211" s="8" t="s">
        <v>12</v>
      </c>
      <c r="K211" s="8" t="s">
        <v>27</v>
      </c>
      <c r="L211" s="8" t="s">
        <v>53</v>
      </c>
    </row>
    <row r="212" spans="1:12" x14ac:dyDescent="0.3">
      <c r="A212" s="10">
        <v>210</v>
      </c>
      <c r="B212" s="10" t="s">
        <v>109</v>
      </c>
      <c r="C212" s="10" t="s">
        <v>64</v>
      </c>
      <c r="D212" s="10">
        <v>2022</v>
      </c>
      <c r="E212" s="4">
        <v>1780</v>
      </c>
      <c r="F212" s="8" t="s">
        <v>150</v>
      </c>
      <c r="G212" s="2">
        <v>2.7755575615628914E-16</v>
      </c>
      <c r="H212" s="11">
        <v>12</v>
      </c>
      <c r="I212" s="1">
        <v>2020</v>
      </c>
      <c r="J212" s="8" t="s">
        <v>12</v>
      </c>
      <c r="K212" s="8" t="s">
        <v>27</v>
      </c>
      <c r="L212" s="8" t="s">
        <v>53</v>
      </c>
    </row>
    <row r="213" spans="1:12" x14ac:dyDescent="0.3">
      <c r="A213" s="10">
        <v>211</v>
      </c>
      <c r="B213" s="10" t="s">
        <v>109</v>
      </c>
      <c r="C213" s="10" t="s">
        <v>65</v>
      </c>
      <c r="D213" s="10">
        <v>2022</v>
      </c>
      <c r="E213" s="7">
        <v>1838</v>
      </c>
      <c r="F213" s="8" t="s">
        <v>150</v>
      </c>
      <c r="G213" s="2">
        <v>4.9999999999999489E-2</v>
      </c>
      <c r="H213" s="11">
        <v>92</v>
      </c>
      <c r="I213" s="1">
        <v>2021</v>
      </c>
      <c r="J213" s="8" t="s">
        <v>12</v>
      </c>
      <c r="K213" s="8" t="s">
        <v>27</v>
      </c>
      <c r="L213" s="8" t="s">
        <v>34</v>
      </c>
    </row>
    <row r="214" spans="1:12" x14ac:dyDescent="0.3">
      <c r="A214" s="10">
        <v>212</v>
      </c>
      <c r="B214" s="10" t="s">
        <v>109</v>
      </c>
      <c r="C214" s="10" t="s">
        <v>66</v>
      </c>
      <c r="D214" s="10">
        <v>2022</v>
      </c>
      <c r="E214" s="7">
        <v>1838</v>
      </c>
      <c r="F214" s="8" t="s">
        <v>150</v>
      </c>
      <c r="G214" s="2">
        <v>6.0000000000001386E-2</v>
      </c>
      <c r="H214" s="11">
        <v>107</v>
      </c>
      <c r="I214" s="1">
        <v>2021</v>
      </c>
      <c r="J214" s="8" t="s">
        <v>12</v>
      </c>
      <c r="K214" s="8" t="s">
        <v>27</v>
      </c>
      <c r="L214" s="8" t="s">
        <v>34</v>
      </c>
    </row>
    <row r="215" spans="1:12" x14ac:dyDescent="0.3">
      <c r="A215" s="10">
        <v>213</v>
      </c>
      <c r="B215" s="10" t="s">
        <v>167</v>
      </c>
      <c r="C215" s="10" t="s">
        <v>67</v>
      </c>
      <c r="D215" s="10">
        <v>2022</v>
      </c>
      <c r="E215" s="4">
        <v>1684</v>
      </c>
      <c r="F215" s="8" t="s">
        <v>150</v>
      </c>
      <c r="G215" s="2">
        <v>0.09</v>
      </c>
      <c r="H215" s="11">
        <v>146</v>
      </c>
      <c r="I215" s="1">
        <v>2018</v>
      </c>
      <c r="J215" s="8" t="s">
        <v>12</v>
      </c>
      <c r="K215" s="8" t="s">
        <v>9</v>
      </c>
      <c r="L215" s="8" t="s">
        <v>49</v>
      </c>
    </row>
    <row r="216" spans="1:12" x14ac:dyDescent="0.3">
      <c r="A216" s="10">
        <v>214</v>
      </c>
      <c r="B216" s="10" t="s">
        <v>167</v>
      </c>
      <c r="C216" s="10" t="s">
        <v>68</v>
      </c>
      <c r="D216" s="10">
        <v>2022</v>
      </c>
      <c r="E216" s="4">
        <v>1684</v>
      </c>
      <c r="F216" s="8" t="s">
        <v>150</v>
      </c>
      <c r="G216" s="2">
        <v>0.13999999999999957</v>
      </c>
      <c r="H216" s="11">
        <v>237</v>
      </c>
      <c r="I216" s="1">
        <v>2018</v>
      </c>
      <c r="J216" s="8" t="s">
        <v>12</v>
      </c>
      <c r="K216" s="8" t="s">
        <v>9</v>
      </c>
      <c r="L216" s="8" t="s">
        <v>49</v>
      </c>
    </row>
    <row r="217" spans="1:12" x14ac:dyDescent="0.3">
      <c r="A217" s="10">
        <v>215</v>
      </c>
      <c r="B217" s="10" t="s">
        <v>167</v>
      </c>
      <c r="C217" s="10" t="s">
        <v>69</v>
      </c>
      <c r="D217" s="10">
        <v>2022</v>
      </c>
      <c r="E217" s="4">
        <v>1684</v>
      </c>
      <c r="F217" s="8" t="s">
        <v>150</v>
      </c>
      <c r="G217" s="2">
        <v>0.20000000000000134</v>
      </c>
      <c r="H217" s="11">
        <v>345</v>
      </c>
      <c r="I217" s="1">
        <v>2018</v>
      </c>
      <c r="J217" s="8" t="s">
        <v>12</v>
      </c>
      <c r="K217" s="8" t="s">
        <v>9</v>
      </c>
      <c r="L217" s="8" t="s">
        <v>49</v>
      </c>
    </row>
    <row r="218" spans="1:12" x14ac:dyDescent="0.3">
      <c r="A218" s="10">
        <v>216</v>
      </c>
      <c r="B218" s="10" t="s">
        <v>167</v>
      </c>
      <c r="C218" s="10" t="s">
        <v>70</v>
      </c>
      <c r="D218" s="10">
        <v>2022</v>
      </c>
      <c r="E218" s="4">
        <v>1262</v>
      </c>
      <c r="F218" s="8" t="s">
        <v>150</v>
      </c>
      <c r="G218" s="2">
        <v>0.24999999999999922</v>
      </c>
      <c r="H218" s="11">
        <v>315</v>
      </c>
      <c r="I218" s="1">
        <v>2018</v>
      </c>
      <c r="J218" s="8" t="s">
        <v>12</v>
      </c>
      <c r="K218" s="8" t="s">
        <v>9</v>
      </c>
      <c r="L218" s="8" t="s">
        <v>49</v>
      </c>
    </row>
    <row r="219" spans="1:12" x14ac:dyDescent="0.3">
      <c r="A219" s="10">
        <v>217</v>
      </c>
      <c r="B219" s="10" t="s">
        <v>167</v>
      </c>
      <c r="C219" s="10" t="s">
        <v>71</v>
      </c>
      <c r="D219" s="10">
        <v>2022</v>
      </c>
      <c r="E219" s="4">
        <v>1780.2</v>
      </c>
      <c r="F219" s="8" t="s">
        <v>150</v>
      </c>
      <c r="G219" s="2">
        <v>0.1899999999999995</v>
      </c>
      <c r="H219" s="11">
        <v>339</v>
      </c>
      <c r="I219" s="1">
        <v>2020</v>
      </c>
      <c r="J219" s="8" t="s">
        <v>12</v>
      </c>
      <c r="K219" s="8" t="s">
        <v>9</v>
      </c>
      <c r="L219" s="8" t="s">
        <v>46</v>
      </c>
    </row>
    <row r="220" spans="1:12" x14ac:dyDescent="0.3">
      <c r="A220" s="10">
        <v>218</v>
      </c>
      <c r="B220" s="10" t="s">
        <v>167</v>
      </c>
      <c r="C220" s="10" t="s">
        <v>72</v>
      </c>
      <c r="D220" s="10">
        <v>2022</v>
      </c>
      <c r="E220" s="4">
        <v>1780.2</v>
      </c>
      <c r="F220" s="8" t="s">
        <v>150</v>
      </c>
      <c r="G220" s="2">
        <v>0.17999999999999972</v>
      </c>
      <c r="H220" s="11">
        <v>320</v>
      </c>
      <c r="I220" s="1">
        <v>2020</v>
      </c>
      <c r="J220" s="8" t="s">
        <v>12</v>
      </c>
      <c r="K220" s="8" t="s">
        <v>9</v>
      </c>
      <c r="L220" s="8" t="s">
        <v>46</v>
      </c>
    </row>
    <row r="221" spans="1:12" x14ac:dyDescent="0.3">
      <c r="A221" s="10">
        <v>219</v>
      </c>
      <c r="B221" s="10" t="s">
        <v>167</v>
      </c>
      <c r="C221" s="10" t="s">
        <v>73</v>
      </c>
      <c r="D221" s="10">
        <v>2022</v>
      </c>
      <c r="E221" s="4">
        <v>1779.3333333333333</v>
      </c>
      <c r="F221" s="8" t="s">
        <v>150</v>
      </c>
      <c r="G221" s="2">
        <v>0.93000000000000105</v>
      </c>
      <c r="H221" s="11">
        <v>700</v>
      </c>
      <c r="I221" s="1">
        <v>2020</v>
      </c>
      <c r="J221" s="8" t="s">
        <v>12</v>
      </c>
      <c r="K221" s="8" t="s">
        <v>9</v>
      </c>
      <c r="L221" s="8" t="s">
        <v>46</v>
      </c>
    </row>
    <row r="222" spans="1:12" x14ac:dyDescent="0.3">
      <c r="A222" s="10">
        <v>220</v>
      </c>
      <c r="B222" s="10" t="s">
        <v>167</v>
      </c>
      <c r="C222" s="10" t="s">
        <v>74</v>
      </c>
      <c r="D222" s="10">
        <v>2022</v>
      </c>
      <c r="E222" s="8">
        <v>1894</v>
      </c>
      <c r="F222" s="8" t="s">
        <v>150</v>
      </c>
      <c r="G222" s="2">
        <v>0.18000000000000016</v>
      </c>
      <c r="H222" s="11">
        <v>351</v>
      </c>
      <c r="I222" s="1">
        <v>2021</v>
      </c>
      <c r="J222" s="8" t="s">
        <v>12</v>
      </c>
      <c r="K222" s="8" t="s">
        <v>9</v>
      </c>
      <c r="L222" s="8" t="s">
        <v>49</v>
      </c>
    </row>
    <row r="223" spans="1:12" x14ac:dyDescent="0.3">
      <c r="A223" s="10">
        <v>221</v>
      </c>
      <c r="B223" s="10" t="s">
        <v>167</v>
      </c>
      <c r="C223" s="10" t="s">
        <v>75</v>
      </c>
      <c r="D223" s="10">
        <v>2022</v>
      </c>
      <c r="E223" s="8">
        <v>1894</v>
      </c>
      <c r="F223" s="8" t="s">
        <v>150</v>
      </c>
      <c r="G223" s="2">
        <v>7.0000000000000395E-2</v>
      </c>
      <c r="H223" s="11">
        <v>139</v>
      </c>
      <c r="I223" s="1">
        <v>2021</v>
      </c>
      <c r="J223" s="8" t="s">
        <v>12</v>
      </c>
      <c r="K223" s="8" t="s">
        <v>9</v>
      </c>
      <c r="L223" s="8" t="s">
        <v>49</v>
      </c>
    </row>
    <row r="224" spans="1:12" x14ac:dyDescent="0.3">
      <c r="A224" s="10">
        <v>222</v>
      </c>
      <c r="B224" s="10" t="s">
        <v>167</v>
      </c>
      <c r="C224" s="10" t="s">
        <v>76</v>
      </c>
      <c r="D224" s="10">
        <v>2022</v>
      </c>
      <c r="E224" s="8">
        <v>1894</v>
      </c>
      <c r="F224" s="8" t="s">
        <v>150</v>
      </c>
      <c r="G224" s="2">
        <v>3.9999999999999369E-2</v>
      </c>
      <c r="H224" s="11">
        <v>73</v>
      </c>
      <c r="I224" s="1">
        <v>2021</v>
      </c>
      <c r="J224" s="8" t="s">
        <v>12</v>
      </c>
      <c r="K224" s="8" t="s">
        <v>9</v>
      </c>
      <c r="L224" s="8" t="s">
        <v>49</v>
      </c>
    </row>
    <row r="225" spans="1:12" x14ac:dyDescent="0.3">
      <c r="A225" s="10">
        <v>223</v>
      </c>
      <c r="B225" s="10" t="s">
        <v>167</v>
      </c>
      <c r="C225" s="10" t="s">
        <v>77</v>
      </c>
      <c r="D225" s="10">
        <v>2022</v>
      </c>
      <c r="E225" s="8">
        <v>1905</v>
      </c>
      <c r="F225" s="8" t="s">
        <v>150</v>
      </c>
      <c r="G225" s="2">
        <v>0.44000000000000028</v>
      </c>
      <c r="H225" s="11">
        <v>849</v>
      </c>
      <c r="I225" s="1">
        <v>2021</v>
      </c>
      <c r="J225" s="8" t="s">
        <v>12</v>
      </c>
      <c r="K225" s="8" t="s">
        <v>9</v>
      </c>
      <c r="L225" s="8" t="s">
        <v>49</v>
      </c>
    </row>
    <row r="226" spans="1:12" x14ac:dyDescent="0.3">
      <c r="A226" s="10">
        <v>224</v>
      </c>
      <c r="B226" s="10" t="s">
        <v>111</v>
      </c>
      <c r="C226" s="10" t="s">
        <v>78</v>
      </c>
      <c r="D226" s="10">
        <v>2022</v>
      </c>
      <c r="E226" s="4">
        <v>1905</v>
      </c>
      <c r="F226" s="8" t="s">
        <v>150</v>
      </c>
      <c r="G226" s="2">
        <v>0.18000000000000016</v>
      </c>
      <c r="H226" s="2">
        <v>0</v>
      </c>
      <c r="I226" s="1">
        <v>2022</v>
      </c>
      <c r="J226" s="8" t="s">
        <v>12</v>
      </c>
      <c r="K226" s="8" t="s">
        <v>27</v>
      </c>
      <c r="L226" s="8" t="s">
        <v>137</v>
      </c>
    </row>
    <row r="227" spans="1:12" x14ac:dyDescent="0.3">
      <c r="A227" s="10">
        <v>225</v>
      </c>
      <c r="B227" s="10" t="s">
        <v>135</v>
      </c>
      <c r="C227" s="10" t="s">
        <v>80</v>
      </c>
      <c r="D227" s="10">
        <v>2022</v>
      </c>
      <c r="E227" s="4">
        <v>1780</v>
      </c>
      <c r="F227" s="8" t="s">
        <v>150</v>
      </c>
      <c r="G227" s="2">
        <v>0.37999999999999989</v>
      </c>
      <c r="H227" s="2">
        <v>1000</v>
      </c>
      <c r="I227" s="1">
        <v>2021</v>
      </c>
      <c r="J227" s="8" t="s">
        <v>12</v>
      </c>
      <c r="K227" s="8" t="s">
        <v>27</v>
      </c>
      <c r="L227" s="8" t="s">
        <v>53</v>
      </c>
    </row>
    <row r="228" spans="1:12" x14ac:dyDescent="0.3">
      <c r="A228" s="10">
        <v>226</v>
      </c>
      <c r="B228" s="10" t="s">
        <v>112</v>
      </c>
      <c r="C228" s="10" t="s">
        <v>81</v>
      </c>
      <c r="D228" s="10">
        <v>2022</v>
      </c>
      <c r="E228" s="4">
        <v>1780</v>
      </c>
      <c r="F228" s="8" t="s">
        <v>150</v>
      </c>
      <c r="G228" s="2">
        <v>0.18999999999999978</v>
      </c>
      <c r="H228" s="2"/>
      <c r="I228" s="1">
        <v>2020</v>
      </c>
      <c r="J228" s="8" t="s">
        <v>12</v>
      </c>
      <c r="K228" s="8" t="s">
        <v>9</v>
      </c>
      <c r="L228" s="8" t="s">
        <v>46</v>
      </c>
    </row>
    <row r="229" spans="1:12" x14ac:dyDescent="0.3">
      <c r="A229" s="10">
        <v>227</v>
      </c>
      <c r="B229" s="10" t="s">
        <v>112</v>
      </c>
      <c r="C229" s="10" t="s">
        <v>82</v>
      </c>
      <c r="D229" s="10">
        <v>2022</v>
      </c>
      <c r="E229" s="4">
        <v>1780</v>
      </c>
      <c r="F229" s="8" t="s">
        <v>150</v>
      </c>
      <c r="G229" s="2">
        <v>2.0000000000000212E-2</v>
      </c>
      <c r="H229" s="2"/>
      <c r="I229" s="1">
        <v>2020</v>
      </c>
      <c r="J229" s="8" t="s">
        <v>12</v>
      </c>
      <c r="K229" s="8" t="s">
        <v>9</v>
      </c>
      <c r="L229" s="8" t="s">
        <v>46</v>
      </c>
    </row>
    <row r="230" spans="1:12" x14ac:dyDescent="0.3">
      <c r="A230" s="10">
        <v>228</v>
      </c>
      <c r="B230" s="10" t="s">
        <v>112</v>
      </c>
      <c r="C230" s="10" t="s">
        <v>51</v>
      </c>
      <c r="D230" s="10">
        <v>2022</v>
      </c>
      <c r="E230" s="4">
        <v>1780</v>
      </c>
      <c r="F230" s="8" t="s">
        <v>150</v>
      </c>
      <c r="G230" s="2">
        <v>5.9999999999999609E-2</v>
      </c>
      <c r="H230" s="2"/>
      <c r="I230" s="1">
        <v>2021</v>
      </c>
      <c r="J230" s="8" t="s">
        <v>12</v>
      </c>
      <c r="K230" s="8" t="s">
        <v>9</v>
      </c>
      <c r="L230" s="8" t="s">
        <v>46</v>
      </c>
    </row>
    <row r="231" spans="1:12" x14ac:dyDescent="0.3">
      <c r="A231" s="10">
        <v>229</v>
      </c>
      <c r="B231" s="10" t="s">
        <v>112</v>
      </c>
      <c r="C231" s="10" t="s">
        <v>83</v>
      </c>
      <c r="D231" s="10">
        <v>2022</v>
      </c>
      <c r="E231" s="4">
        <v>1632</v>
      </c>
      <c r="F231" s="8" t="s">
        <v>150</v>
      </c>
      <c r="G231" s="2">
        <v>0.4199999999999946</v>
      </c>
      <c r="H231" s="2">
        <v>116</v>
      </c>
      <c r="I231" s="1">
        <v>2016</v>
      </c>
      <c r="J231" s="8" t="s">
        <v>12</v>
      </c>
      <c r="K231" s="8" t="s">
        <v>27</v>
      </c>
      <c r="L231" s="8" t="s">
        <v>134</v>
      </c>
    </row>
    <row r="232" spans="1:12" x14ac:dyDescent="0.3">
      <c r="A232" s="10">
        <v>230</v>
      </c>
      <c r="B232" s="10" t="s">
        <v>112</v>
      </c>
      <c r="C232" s="10" t="s">
        <v>84</v>
      </c>
      <c r="D232" s="10">
        <v>2022</v>
      </c>
      <c r="E232" s="4">
        <v>1632</v>
      </c>
      <c r="F232" s="8" t="s">
        <v>150</v>
      </c>
      <c r="G232" s="2">
        <v>1.2100000000000199</v>
      </c>
      <c r="H232" s="2">
        <v>327</v>
      </c>
      <c r="I232" s="1">
        <v>2016</v>
      </c>
      <c r="J232" s="8" t="s">
        <v>12</v>
      </c>
      <c r="K232" s="8" t="s">
        <v>27</v>
      </c>
      <c r="L232" s="8" t="s">
        <v>134</v>
      </c>
    </row>
    <row r="233" spans="1:12" x14ac:dyDescent="0.3">
      <c r="A233" s="10">
        <v>231</v>
      </c>
      <c r="B233" s="10" t="s">
        <v>112</v>
      </c>
      <c r="C233" s="10" t="s">
        <v>85</v>
      </c>
      <c r="D233" s="10">
        <v>2022</v>
      </c>
      <c r="E233" s="4">
        <v>1632</v>
      </c>
      <c r="F233" s="8" t="s">
        <v>150</v>
      </c>
      <c r="G233" s="2">
        <v>0.73000000000001164</v>
      </c>
      <c r="H233" s="2">
        <v>452</v>
      </c>
      <c r="I233" s="1">
        <v>2016</v>
      </c>
      <c r="J233" s="8" t="s">
        <v>12</v>
      </c>
      <c r="K233" s="8" t="s">
        <v>27</v>
      </c>
      <c r="L233" s="8" t="s">
        <v>134</v>
      </c>
    </row>
    <row r="234" spans="1:12" x14ac:dyDescent="0.3">
      <c r="A234" s="10">
        <v>232</v>
      </c>
      <c r="B234" s="10" t="s">
        <v>112</v>
      </c>
      <c r="C234" s="10" t="s">
        <v>86</v>
      </c>
      <c r="D234" s="10">
        <v>2022</v>
      </c>
      <c r="E234" s="4">
        <v>1632</v>
      </c>
      <c r="F234" s="8" t="s">
        <v>150</v>
      </c>
      <c r="G234" s="2">
        <v>-3.4972025275692431E-15</v>
      </c>
      <c r="H234" s="2">
        <v>165</v>
      </c>
      <c r="I234" s="1">
        <v>2016</v>
      </c>
      <c r="J234" s="8" t="s">
        <v>12</v>
      </c>
      <c r="K234" s="8" t="s">
        <v>27</v>
      </c>
      <c r="L234" s="8" t="s">
        <v>134</v>
      </c>
    </row>
    <row r="235" spans="1:12" x14ac:dyDescent="0.3">
      <c r="A235" s="10">
        <v>233</v>
      </c>
      <c r="B235" s="10" t="s">
        <v>112</v>
      </c>
      <c r="C235" s="10" t="s">
        <v>87</v>
      </c>
      <c r="D235" s="10">
        <v>2022</v>
      </c>
      <c r="E235" s="4">
        <v>1587</v>
      </c>
      <c r="F235" s="8" t="s">
        <v>150</v>
      </c>
      <c r="G235" s="2">
        <v>0.13000000000000311</v>
      </c>
      <c r="H235" s="2">
        <v>54</v>
      </c>
      <c r="I235" s="1">
        <v>2019</v>
      </c>
      <c r="J235" s="8" t="s">
        <v>12</v>
      </c>
      <c r="K235" s="8" t="s">
        <v>27</v>
      </c>
      <c r="L235" s="8" t="s">
        <v>134</v>
      </c>
    </row>
    <row r="236" spans="1:12" x14ac:dyDescent="0.3">
      <c r="A236" s="10">
        <v>234</v>
      </c>
      <c r="B236" s="10" t="s">
        <v>163</v>
      </c>
      <c r="C236" s="10" t="s">
        <v>88</v>
      </c>
      <c r="D236" s="10">
        <v>2022</v>
      </c>
      <c r="E236" s="4">
        <v>1838</v>
      </c>
      <c r="F236" s="8" t="s">
        <v>150</v>
      </c>
      <c r="G236" s="2">
        <v>0.25000000000000133</v>
      </c>
      <c r="H236" s="2">
        <v>463</v>
      </c>
      <c r="I236" s="1">
        <v>2021</v>
      </c>
      <c r="J236" s="8" t="s">
        <v>12</v>
      </c>
      <c r="K236" s="8" t="s">
        <v>27</v>
      </c>
      <c r="L236" s="8" t="s">
        <v>34</v>
      </c>
    </row>
    <row r="237" spans="1:12" x14ac:dyDescent="0.3">
      <c r="A237" s="10">
        <v>235</v>
      </c>
      <c r="B237" s="10" t="s">
        <v>163</v>
      </c>
      <c r="C237" s="10" t="s">
        <v>89</v>
      </c>
      <c r="D237" s="10">
        <v>2022</v>
      </c>
      <c r="E237" s="4">
        <v>1838</v>
      </c>
      <c r="F237" s="8" t="s">
        <v>150</v>
      </c>
      <c r="G237" s="2">
        <v>0.20000000000000062</v>
      </c>
      <c r="H237" s="2">
        <v>372</v>
      </c>
      <c r="I237" s="1">
        <v>2021</v>
      </c>
      <c r="J237" s="8" t="s">
        <v>12</v>
      </c>
      <c r="K237" s="8" t="s">
        <v>27</v>
      </c>
      <c r="L237" s="8" t="s">
        <v>34</v>
      </c>
    </row>
    <row r="238" spans="1:12" x14ac:dyDescent="0.3">
      <c r="A238" s="10">
        <v>236</v>
      </c>
      <c r="B238" s="10" t="s">
        <v>163</v>
      </c>
      <c r="C238" s="10" t="s">
        <v>90</v>
      </c>
      <c r="D238" s="10">
        <v>2022</v>
      </c>
      <c r="E238" s="7">
        <v>1905</v>
      </c>
      <c r="F238" s="8" t="s">
        <v>150</v>
      </c>
      <c r="G238" s="2">
        <v>0</v>
      </c>
      <c r="H238" s="2">
        <v>0</v>
      </c>
      <c r="I238" s="1">
        <v>2022</v>
      </c>
      <c r="J238" s="8" t="s">
        <v>8</v>
      </c>
      <c r="K238" s="8" t="s">
        <v>27</v>
      </c>
      <c r="L238" s="8" t="s">
        <v>53</v>
      </c>
    </row>
    <row r="239" spans="1:12" x14ac:dyDescent="0.3">
      <c r="A239" s="10">
        <v>237</v>
      </c>
      <c r="B239" s="10" t="s">
        <v>163</v>
      </c>
      <c r="C239" s="10" t="s">
        <v>92</v>
      </c>
      <c r="D239" s="10">
        <v>2022</v>
      </c>
      <c r="E239" s="7">
        <v>1905</v>
      </c>
      <c r="F239" s="8" t="s">
        <v>150</v>
      </c>
      <c r="G239" s="2">
        <v>0</v>
      </c>
      <c r="H239" s="2">
        <v>0</v>
      </c>
      <c r="I239" s="1">
        <v>2022</v>
      </c>
      <c r="J239" s="8" t="s">
        <v>8</v>
      </c>
      <c r="K239" s="8" t="s">
        <v>27</v>
      </c>
      <c r="L239" s="8" t="s">
        <v>53</v>
      </c>
    </row>
    <row r="240" spans="1:12" x14ac:dyDescent="0.3">
      <c r="A240" s="10">
        <v>238</v>
      </c>
      <c r="B240" s="10" t="s">
        <v>163</v>
      </c>
      <c r="C240" s="10" t="s">
        <v>80</v>
      </c>
      <c r="D240" s="10">
        <v>2022</v>
      </c>
      <c r="E240" s="7">
        <v>1780</v>
      </c>
      <c r="F240" s="8" t="s">
        <v>150</v>
      </c>
      <c r="G240" s="2">
        <v>0</v>
      </c>
      <c r="H240" s="2">
        <v>0</v>
      </c>
      <c r="I240" s="1">
        <v>2021</v>
      </c>
      <c r="J240" s="8" t="s">
        <v>12</v>
      </c>
      <c r="K240" s="8" t="s">
        <v>27</v>
      </c>
      <c r="L240" s="8" t="s">
        <v>53</v>
      </c>
    </row>
    <row r="241" spans="1:12" x14ac:dyDescent="0.3">
      <c r="A241" s="10">
        <v>239</v>
      </c>
      <c r="B241" s="10" t="s">
        <v>163</v>
      </c>
      <c r="C241" s="10" t="s">
        <v>93</v>
      </c>
      <c r="D241" s="10">
        <v>2022</v>
      </c>
      <c r="E241" s="7">
        <v>1905</v>
      </c>
      <c r="F241" s="8" t="s">
        <v>150</v>
      </c>
      <c r="G241" s="2">
        <v>0</v>
      </c>
      <c r="H241" s="2">
        <v>0</v>
      </c>
      <c r="I241" s="1">
        <v>2022</v>
      </c>
      <c r="J241" s="8" t="s">
        <v>8</v>
      </c>
      <c r="K241" s="8" t="s">
        <v>9</v>
      </c>
      <c r="L241" s="8" t="s">
        <v>133</v>
      </c>
    </row>
    <row r="242" spans="1:12" x14ac:dyDescent="0.3">
      <c r="A242" s="10">
        <v>240</v>
      </c>
      <c r="B242" s="10" t="s">
        <v>163</v>
      </c>
      <c r="C242" s="10" t="s">
        <v>94</v>
      </c>
      <c r="D242" s="10">
        <v>2022</v>
      </c>
      <c r="E242" s="7">
        <v>1905</v>
      </c>
      <c r="F242" s="8" t="s">
        <v>150</v>
      </c>
      <c r="G242" s="2">
        <v>0</v>
      </c>
      <c r="H242" s="2">
        <v>0</v>
      </c>
      <c r="I242" s="1">
        <v>2022</v>
      </c>
      <c r="J242" s="8" t="s">
        <v>8</v>
      </c>
      <c r="K242" s="8" t="s">
        <v>9</v>
      </c>
      <c r="L242" s="8" t="s">
        <v>133</v>
      </c>
    </row>
    <row r="243" spans="1:12" x14ac:dyDescent="0.3">
      <c r="A243" s="10">
        <v>241</v>
      </c>
      <c r="B243" s="10" t="s">
        <v>163</v>
      </c>
      <c r="C243" s="10" t="s">
        <v>95</v>
      </c>
      <c r="D243" s="10">
        <v>2022</v>
      </c>
      <c r="E243" s="7">
        <v>1905</v>
      </c>
      <c r="F243" s="8" t="s">
        <v>150</v>
      </c>
      <c r="G243" s="2">
        <v>0</v>
      </c>
      <c r="H243" s="2">
        <v>0</v>
      </c>
      <c r="I243" s="1">
        <v>2022</v>
      </c>
      <c r="J243" s="8" t="s">
        <v>8</v>
      </c>
      <c r="K243" s="8" t="s">
        <v>9</v>
      </c>
      <c r="L243" s="8" t="s">
        <v>133</v>
      </c>
    </row>
    <row r="244" spans="1:12" x14ac:dyDescent="0.3">
      <c r="A244" s="10">
        <v>242</v>
      </c>
      <c r="B244" s="10" t="s">
        <v>163</v>
      </c>
      <c r="C244" s="10" t="s">
        <v>96</v>
      </c>
      <c r="D244" s="10">
        <v>2022</v>
      </c>
      <c r="E244" s="7">
        <v>1905</v>
      </c>
      <c r="F244" s="8" t="s">
        <v>150</v>
      </c>
      <c r="G244" s="2">
        <v>0</v>
      </c>
      <c r="H244" s="2">
        <v>0</v>
      </c>
      <c r="I244" s="1">
        <v>2022</v>
      </c>
      <c r="J244" s="8" t="s">
        <v>12</v>
      </c>
      <c r="K244" s="8" t="s">
        <v>27</v>
      </c>
      <c r="L244" s="8" t="s">
        <v>136</v>
      </c>
    </row>
    <row r="245" spans="1:12" x14ac:dyDescent="0.3">
      <c r="A245" s="10">
        <v>243</v>
      </c>
      <c r="B245" s="10" t="s">
        <v>163</v>
      </c>
      <c r="C245" s="10" t="s">
        <v>97</v>
      </c>
      <c r="D245" s="10">
        <v>2022</v>
      </c>
      <c r="E245" s="7">
        <v>1905</v>
      </c>
      <c r="F245" s="8" t="s">
        <v>150</v>
      </c>
      <c r="G245" s="2">
        <v>0</v>
      </c>
      <c r="H245" s="2">
        <v>0</v>
      </c>
      <c r="I245" s="1">
        <v>2022</v>
      </c>
      <c r="J245" s="8" t="s">
        <v>12</v>
      </c>
      <c r="K245" s="8" t="s">
        <v>27</v>
      </c>
      <c r="L245" s="8" t="s">
        <v>136</v>
      </c>
    </row>
    <row r="246" spans="1:12" x14ac:dyDescent="0.3">
      <c r="A246" s="10">
        <v>244</v>
      </c>
      <c r="B246" s="10" t="s">
        <v>163</v>
      </c>
      <c r="C246" s="10" t="s">
        <v>98</v>
      </c>
      <c r="D246" s="10">
        <v>2022</v>
      </c>
      <c r="E246" s="7">
        <v>1905</v>
      </c>
      <c r="F246" s="8" t="s">
        <v>150</v>
      </c>
      <c r="G246" s="2">
        <v>0</v>
      </c>
      <c r="H246" s="2">
        <v>0</v>
      </c>
      <c r="I246" s="1">
        <v>2022</v>
      </c>
      <c r="J246" s="8" t="s">
        <v>12</v>
      </c>
      <c r="K246" s="8" t="s">
        <v>27</v>
      </c>
      <c r="L246" s="8" t="s">
        <v>136</v>
      </c>
    </row>
    <row r="247" spans="1:12" x14ac:dyDescent="0.3">
      <c r="A247" s="10">
        <v>245</v>
      </c>
      <c r="B247" s="10" t="s">
        <v>163</v>
      </c>
      <c r="C247" s="10" t="s">
        <v>99</v>
      </c>
      <c r="D247" s="10">
        <v>2022</v>
      </c>
      <c r="E247" s="8">
        <v>1754</v>
      </c>
      <c r="F247" s="8" t="s">
        <v>150</v>
      </c>
      <c r="G247" s="2">
        <v>0</v>
      </c>
      <c r="H247" s="2">
        <v>0</v>
      </c>
      <c r="I247" s="1">
        <v>2022</v>
      </c>
      <c r="J247" s="8" t="s">
        <v>8</v>
      </c>
      <c r="K247" s="8" t="s">
        <v>27</v>
      </c>
      <c r="L247" s="8" t="s">
        <v>134</v>
      </c>
    </row>
    <row r="248" spans="1:12" x14ac:dyDescent="0.3">
      <c r="A248" s="10">
        <v>246</v>
      </c>
      <c r="B248" s="10" t="s">
        <v>163</v>
      </c>
      <c r="C248" s="10" t="s">
        <v>100</v>
      </c>
      <c r="D248" s="10">
        <v>2022</v>
      </c>
      <c r="E248" s="8">
        <v>1754</v>
      </c>
      <c r="F248" s="8" t="s">
        <v>150</v>
      </c>
      <c r="G248" s="2">
        <v>0</v>
      </c>
      <c r="H248" s="2">
        <v>0</v>
      </c>
      <c r="I248" s="1">
        <v>2022</v>
      </c>
      <c r="J248" s="8" t="s">
        <v>8</v>
      </c>
      <c r="K248" s="8" t="s">
        <v>27</v>
      </c>
      <c r="L248" s="8" t="s">
        <v>134</v>
      </c>
    </row>
    <row r="249" spans="1:12" x14ac:dyDescent="0.3">
      <c r="A249" s="10">
        <v>247</v>
      </c>
      <c r="B249" s="10" t="s">
        <v>105</v>
      </c>
      <c r="C249" s="10" t="s">
        <v>14</v>
      </c>
      <c r="D249" s="10">
        <v>2023</v>
      </c>
      <c r="E249" s="4">
        <v>2132</v>
      </c>
      <c r="F249" s="4" t="s">
        <v>7</v>
      </c>
      <c r="G249" s="2">
        <v>14.73</v>
      </c>
      <c r="H249" s="11">
        <f>G249*E249</f>
        <v>31404.36</v>
      </c>
      <c r="I249" s="5">
        <v>2016</v>
      </c>
      <c r="J249" s="1" t="s">
        <v>12</v>
      </c>
      <c r="K249" s="1" t="s">
        <v>9</v>
      </c>
      <c r="L249" s="1" t="s">
        <v>10</v>
      </c>
    </row>
    <row r="250" spans="1:12" x14ac:dyDescent="0.3">
      <c r="A250" s="10">
        <v>248</v>
      </c>
      <c r="B250" s="10" t="s">
        <v>105</v>
      </c>
      <c r="C250" s="10" t="s">
        <v>15</v>
      </c>
      <c r="D250" s="10">
        <v>2023</v>
      </c>
      <c r="E250" s="4">
        <v>2132</v>
      </c>
      <c r="F250" s="4" t="s">
        <v>7</v>
      </c>
      <c r="G250" s="2">
        <v>14.75</v>
      </c>
      <c r="H250" s="11">
        <f>G250*E250</f>
        <v>31447</v>
      </c>
      <c r="I250" s="5">
        <v>2017</v>
      </c>
      <c r="J250" s="1" t="s">
        <v>12</v>
      </c>
      <c r="K250" s="1" t="s">
        <v>9</v>
      </c>
      <c r="L250" s="1" t="s">
        <v>10</v>
      </c>
    </row>
    <row r="251" spans="1:12" x14ac:dyDescent="0.3">
      <c r="A251" s="10">
        <v>249</v>
      </c>
      <c r="B251" s="10" t="s">
        <v>105</v>
      </c>
      <c r="C251" s="10" t="s">
        <v>16</v>
      </c>
      <c r="D251" s="10">
        <v>2023</v>
      </c>
      <c r="E251" s="4">
        <v>2070</v>
      </c>
      <c r="F251" s="4" t="s">
        <v>7</v>
      </c>
      <c r="G251" s="2">
        <v>14.97</v>
      </c>
      <c r="H251" s="11">
        <f t="shared" ref="H251:H256" si="0">E251*G251</f>
        <v>30987.9</v>
      </c>
      <c r="I251" s="5">
        <v>2017</v>
      </c>
      <c r="J251" s="1" t="s">
        <v>12</v>
      </c>
      <c r="K251" s="1" t="s">
        <v>9</v>
      </c>
      <c r="L251" s="1" t="s">
        <v>10</v>
      </c>
    </row>
    <row r="252" spans="1:12" x14ac:dyDescent="0.3">
      <c r="A252" s="10">
        <v>250</v>
      </c>
      <c r="B252" s="10" t="s">
        <v>105</v>
      </c>
      <c r="C252" s="10" t="s">
        <v>18</v>
      </c>
      <c r="D252" s="10">
        <v>2023</v>
      </c>
      <c r="E252" s="4">
        <v>2070</v>
      </c>
      <c r="F252" s="4" t="s">
        <v>7</v>
      </c>
      <c r="G252" s="2">
        <v>14.97</v>
      </c>
      <c r="H252" s="11">
        <f t="shared" si="0"/>
        <v>30987.9</v>
      </c>
      <c r="I252" s="5">
        <v>2017</v>
      </c>
      <c r="J252" s="1" t="s">
        <v>12</v>
      </c>
      <c r="K252" s="1" t="s">
        <v>9</v>
      </c>
      <c r="L252" s="1" t="s">
        <v>10</v>
      </c>
    </row>
    <row r="253" spans="1:12" x14ac:dyDescent="0.3">
      <c r="A253" s="10">
        <v>251</v>
      </c>
      <c r="B253" s="10" t="s">
        <v>105</v>
      </c>
      <c r="C253" s="10" t="s">
        <v>19</v>
      </c>
      <c r="D253" s="10">
        <v>2023</v>
      </c>
      <c r="E253" s="4">
        <v>2070</v>
      </c>
      <c r="F253" s="4" t="s">
        <v>7</v>
      </c>
      <c r="G253" s="2">
        <v>12.72</v>
      </c>
      <c r="H253" s="11">
        <f t="shared" si="0"/>
        <v>26330.400000000001</v>
      </c>
      <c r="I253" s="5">
        <v>2017</v>
      </c>
      <c r="J253" s="1" t="s">
        <v>12</v>
      </c>
      <c r="K253" s="1" t="s">
        <v>9</v>
      </c>
      <c r="L253" s="1" t="s">
        <v>10</v>
      </c>
    </row>
    <row r="254" spans="1:12" x14ac:dyDescent="0.3">
      <c r="A254" s="10">
        <v>252</v>
      </c>
      <c r="B254" s="10" t="s">
        <v>105</v>
      </c>
      <c r="C254" s="10" t="s">
        <v>20</v>
      </c>
      <c r="D254" s="10">
        <v>2023</v>
      </c>
      <c r="E254" s="4">
        <v>2132</v>
      </c>
      <c r="F254" s="4" t="s">
        <v>7</v>
      </c>
      <c r="G254" s="2">
        <v>13.69</v>
      </c>
      <c r="H254" s="11">
        <f t="shared" si="0"/>
        <v>29187.079999999998</v>
      </c>
      <c r="I254" s="5">
        <v>2015</v>
      </c>
      <c r="J254" s="1" t="s">
        <v>12</v>
      </c>
      <c r="K254" s="1" t="s">
        <v>9</v>
      </c>
      <c r="L254" s="1" t="s">
        <v>153</v>
      </c>
    </row>
    <row r="255" spans="1:12" x14ac:dyDescent="0.3">
      <c r="A255" s="10">
        <v>253</v>
      </c>
      <c r="B255" s="10" t="s">
        <v>105</v>
      </c>
      <c r="C255" s="10" t="s">
        <v>21</v>
      </c>
      <c r="D255" s="10">
        <v>2023</v>
      </c>
      <c r="E255" s="4">
        <v>2132</v>
      </c>
      <c r="F255" s="4" t="s">
        <v>7</v>
      </c>
      <c r="G255" s="2">
        <v>11.22</v>
      </c>
      <c r="H255" s="11">
        <f t="shared" si="0"/>
        <v>23921.040000000001</v>
      </c>
      <c r="I255" s="5">
        <v>2015</v>
      </c>
      <c r="J255" s="1" t="s">
        <v>12</v>
      </c>
      <c r="K255" s="1" t="s">
        <v>9</v>
      </c>
      <c r="L255" s="1" t="s">
        <v>153</v>
      </c>
    </row>
    <row r="256" spans="1:12" x14ac:dyDescent="0.3">
      <c r="A256" s="10">
        <v>254</v>
      </c>
      <c r="B256" s="10" t="s">
        <v>105</v>
      </c>
      <c r="C256" s="10" t="s">
        <v>22</v>
      </c>
      <c r="D256" s="10">
        <v>2023</v>
      </c>
      <c r="E256" s="4">
        <v>2132</v>
      </c>
      <c r="F256" s="4" t="s">
        <v>7</v>
      </c>
      <c r="G256" s="2">
        <v>14.81</v>
      </c>
      <c r="H256" s="11">
        <f t="shared" si="0"/>
        <v>31574.920000000002</v>
      </c>
      <c r="I256" s="5">
        <v>2015</v>
      </c>
      <c r="J256" s="1" t="s">
        <v>12</v>
      </c>
      <c r="K256" s="1" t="s">
        <v>9</v>
      </c>
      <c r="L256" s="1" t="s">
        <v>153</v>
      </c>
    </row>
    <row r="257" spans="1:14" x14ac:dyDescent="0.3">
      <c r="A257" s="10">
        <v>255</v>
      </c>
      <c r="B257" s="10" t="s">
        <v>105</v>
      </c>
      <c r="C257" s="10" t="s">
        <v>23</v>
      </c>
      <c r="D257" s="10">
        <v>2023</v>
      </c>
      <c r="E257" s="4">
        <v>2070</v>
      </c>
      <c r="F257" s="4" t="s">
        <v>7</v>
      </c>
      <c r="G257" s="2">
        <v>14.25</v>
      </c>
      <c r="H257" s="11">
        <v>29497.5</v>
      </c>
      <c r="I257" s="5">
        <v>2016</v>
      </c>
      <c r="J257" s="1" t="s">
        <v>12</v>
      </c>
      <c r="K257" s="1" t="s">
        <v>9</v>
      </c>
      <c r="L257" s="1" t="s">
        <v>132</v>
      </c>
    </row>
    <row r="258" spans="1:14" x14ac:dyDescent="0.3">
      <c r="A258" s="10">
        <v>256</v>
      </c>
      <c r="B258" s="10" t="s">
        <v>105</v>
      </c>
      <c r="C258" s="10" t="s">
        <v>24</v>
      </c>
      <c r="D258" s="10">
        <v>2023</v>
      </c>
      <c r="E258" s="4">
        <v>2070</v>
      </c>
      <c r="F258" s="4" t="s">
        <v>7</v>
      </c>
      <c r="G258" s="2">
        <v>13.04</v>
      </c>
      <c r="H258" s="11">
        <v>26992.799999999999</v>
      </c>
      <c r="I258" s="5">
        <v>2017</v>
      </c>
      <c r="J258" s="1" t="s">
        <v>12</v>
      </c>
      <c r="K258" s="1" t="s">
        <v>9</v>
      </c>
      <c r="L258" s="1" t="s">
        <v>132</v>
      </c>
    </row>
    <row r="259" spans="1:14" x14ac:dyDescent="0.3">
      <c r="A259" s="10">
        <v>257</v>
      </c>
      <c r="B259" s="10" t="s">
        <v>105</v>
      </c>
      <c r="C259" s="10" t="s">
        <v>25</v>
      </c>
      <c r="D259" s="10">
        <v>2023</v>
      </c>
      <c r="E259" s="4">
        <v>2070</v>
      </c>
      <c r="F259" s="4" t="s">
        <v>7</v>
      </c>
      <c r="G259" s="2">
        <v>14.68</v>
      </c>
      <c r="H259" s="11">
        <v>30387.599999999999</v>
      </c>
      <c r="I259" s="5">
        <v>2016</v>
      </c>
      <c r="J259" s="1" t="s">
        <v>12</v>
      </c>
      <c r="K259" s="1" t="s">
        <v>9</v>
      </c>
      <c r="L259" s="1" t="s">
        <v>132</v>
      </c>
    </row>
    <row r="260" spans="1:14" x14ac:dyDescent="0.3">
      <c r="A260" s="10">
        <v>258</v>
      </c>
      <c r="B260" s="10" t="s">
        <v>105</v>
      </c>
      <c r="C260" s="10" t="s">
        <v>26</v>
      </c>
      <c r="D260" s="10">
        <v>2023</v>
      </c>
      <c r="E260" s="4">
        <v>1905</v>
      </c>
      <c r="F260" s="4" t="s">
        <v>7</v>
      </c>
      <c r="G260" s="2">
        <v>12.36</v>
      </c>
      <c r="H260" s="11">
        <f>E260*G260</f>
        <v>23545.8</v>
      </c>
      <c r="I260" s="5">
        <v>2015</v>
      </c>
      <c r="J260" s="1" t="s">
        <v>8</v>
      </c>
      <c r="K260" s="1" t="s">
        <v>27</v>
      </c>
      <c r="L260" s="1" t="s">
        <v>28</v>
      </c>
    </row>
    <row r="261" spans="1:14" x14ac:dyDescent="0.3">
      <c r="A261" s="10">
        <v>259</v>
      </c>
      <c r="B261" s="10" t="s">
        <v>105</v>
      </c>
      <c r="C261" s="10" t="s">
        <v>29</v>
      </c>
      <c r="D261" s="10">
        <v>2023</v>
      </c>
      <c r="E261" s="4">
        <v>1905</v>
      </c>
      <c r="F261" s="4" t="s">
        <v>7</v>
      </c>
      <c r="G261" s="2">
        <v>10.79</v>
      </c>
      <c r="H261" s="11">
        <f>G261*E261</f>
        <v>20554.949999999997</v>
      </c>
      <c r="I261" s="5">
        <v>2017</v>
      </c>
      <c r="J261" s="1" t="s">
        <v>12</v>
      </c>
      <c r="K261" s="1" t="s">
        <v>27</v>
      </c>
      <c r="L261" s="1" t="s">
        <v>28</v>
      </c>
    </row>
    <row r="262" spans="1:14" x14ac:dyDescent="0.3">
      <c r="A262" s="10">
        <v>260</v>
      </c>
      <c r="B262" s="10" t="s">
        <v>105</v>
      </c>
      <c r="C262" s="10" t="s">
        <v>30</v>
      </c>
      <c r="D262" s="10">
        <v>2023</v>
      </c>
      <c r="E262" s="4">
        <v>1953</v>
      </c>
      <c r="F262" s="4" t="s">
        <v>7</v>
      </c>
      <c r="G262" s="2">
        <v>16.190000000000001</v>
      </c>
      <c r="H262" s="11">
        <f>E262*G262</f>
        <v>31619.070000000003</v>
      </c>
      <c r="I262" s="5">
        <v>2018</v>
      </c>
      <c r="J262" s="1" t="s">
        <v>8</v>
      </c>
      <c r="K262" s="1" t="s">
        <v>27</v>
      </c>
      <c r="L262" s="1" t="s">
        <v>28</v>
      </c>
    </row>
    <row r="263" spans="1:14" x14ac:dyDescent="0.3">
      <c r="A263" s="10">
        <v>261</v>
      </c>
      <c r="B263" s="10" t="s">
        <v>105</v>
      </c>
      <c r="C263" s="10" t="s">
        <v>31</v>
      </c>
      <c r="D263" s="10">
        <v>2023</v>
      </c>
      <c r="E263" s="4">
        <v>1905.1398337112623</v>
      </c>
      <c r="F263" s="4" t="s">
        <v>7</v>
      </c>
      <c r="G263" s="2">
        <v>13.13</v>
      </c>
      <c r="H263" s="11">
        <f>E263*G263</f>
        <v>25014.486016628874</v>
      </c>
      <c r="I263" s="5">
        <v>2016</v>
      </c>
      <c r="J263" s="1" t="s">
        <v>8</v>
      </c>
      <c r="K263" s="1" t="s">
        <v>27</v>
      </c>
      <c r="L263" s="1" t="s">
        <v>28</v>
      </c>
    </row>
    <row r="264" spans="1:14" x14ac:dyDescent="0.3">
      <c r="A264" s="10">
        <v>262</v>
      </c>
      <c r="B264" s="10" t="s">
        <v>105</v>
      </c>
      <c r="C264" s="10" t="s">
        <v>32</v>
      </c>
      <c r="D264" s="10">
        <v>2023</v>
      </c>
      <c r="E264" s="4">
        <v>1953</v>
      </c>
      <c r="F264" s="4" t="s">
        <v>7</v>
      </c>
      <c r="G264" s="2">
        <v>13.99</v>
      </c>
      <c r="H264" s="11">
        <f>27325+4</f>
        <v>27329</v>
      </c>
      <c r="I264" s="5">
        <v>2014</v>
      </c>
      <c r="J264" s="1" t="s">
        <v>8</v>
      </c>
      <c r="K264" s="1" t="s">
        <v>27</v>
      </c>
      <c r="L264" s="1" t="s">
        <v>28</v>
      </c>
    </row>
    <row r="265" spans="1:14" x14ac:dyDescent="0.3">
      <c r="A265" s="10">
        <v>263</v>
      </c>
      <c r="B265" s="10" t="s">
        <v>105</v>
      </c>
      <c r="C265" s="10" t="s">
        <v>33</v>
      </c>
      <c r="D265" s="10">
        <v>2023</v>
      </c>
      <c r="E265" s="4">
        <v>1953</v>
      </c>
      <c r="F265" s="4" t="s">
        <v>7</v>
      </c>
      <c r="G265" s="2">
        <v>14.34</v>
      </c>
      <c r="H265" s="11">
        <v>28006.02</v>
      </c>
      <c r="I265" s="5">
        <v>2019</v>
      </c>
      <c r="J265" s="1" t="s">
        <v>12</v>
      </c>
      <c r="K265" s="1" t="s">
        <v>9</v>
      </c>
      <c r="L265" s="1" t="s">
        <v>132</v>
      </c>
      <c r="N265" s="23"/>
    </row>
    <row r="266" spans="1:14" x14ac:dyDescent="0.3">
      <c r="A266" s="10">
        <v>264</v>
      </c>
      <c r="B266" s="10" t="s">
        <v>105</v>
      </c>
      <c r="C266" s="10" t="s">
        <v>35</v>
      </c>
      <c r="D266" s="10">
        <v>2023</v>
      </c>
      <c r="E266" s="4">
        <v>1953</v>
      </c>
      <c r="F266" s="4" t="s">
        <v>7</v>
      </c>
      <c r="G266" s="2">
        <v>14.2</v>
      </c>
      <c r="H266" s="11">
        <v>27732.6</v>
      </c>
      <c r="I266" s="5">
        <v>2019</v>
      </c>
      <c r="J266" s="1" t="s">
        <v>12</v>
      </c>
      <c r="K266" s="1" t="s">
        <v>9</v>
      </c>
      <c r="L266" s="1" t="s">
        <v>132</v>
      </c>
    </row>
    <row r="267" spans="1:14" x14ac:dyDescent="0.3">
      <c r="A267" s="10">
        <v>265</v>
      </c>
      <c r="B267" s="10" t="s">
        <v>105</v>
      </c>
      <c r="C267" s="10" t="s">
        <v>36</v>
      </c>
      <c r="D267" s="10">
        <v>2023</v>
      </c>
      <c r="E267" s="4">
        <v>1953</v>
      </c>
      <c r="F267" s="4" t="s">
        <v>7</v>
      </c>
      <c r="G267" s="2">
        <f>14.61</f>
        <v>14.61</v>
      </c>
      <c r="H267" s="11">
        <v>28533.329999999998</v>
      </c>
      <c r="I267" s="5">
        <v>2019</v>
      </c>
      <c r="J267" s="1" t="s">
        <v>12</v>
      </c>
      <c r="K267" s="1" t="s">
        <v>9</v>
      </c>
      <c r="L267" s="1" t="s">
        <v>132</v>
      </c>
    </row>
    <row r="268" spans="1:14" x14ac:dyDescent="0.3">
      <c r="A268" s="10">
        <v>266</v>
      </c>
      <c r="B268" s="10" t="s">
        <v>105</v>
      </c>
      <c r="C268" s="10" t="s">
        <v>37</v>
      </c>
      <c r="D268" s="10">
        <v>2023</v>
      </c>
      <c r="E268" s="4">
        <v>1780</v>
      </c>
      <c r="F268" s="4" t="s">
        <v>7</v>
      </c>
      <c r="G268" s="2">
        <v>14.04</v>
      </c>
      <c r="H268" s="11">
        <v>24991.199999999997</v>
      </c>
      <c r="I268" s="5">
        <v>2020</v>
      </c>
      <c r="J268" s="1" t="s">
        <v>12</v>
      </c>
      <c r="K268" s="1" t="s">
        <v>9</v>
      </c>
      <c r="L268" s="1" t="s">
        <v>132</v>
      </c>
    </row>
    <row r="269" spans="1:14" x14ac:dyDescent="0.3">
      <c r="A269" s="10">
        <v>267</v>
      </c>
      <c r="B269" s="10" t="s">
        <v>105</v>
      </c>
      <c r="C269" s="10" t="s">
        <v>38</v>
      </c>
      <c r="D269" s="10">
        <v>2023</v>
      </c>
      <c r="E269" s="4">
        <v>1780</v>
      </c>
      <c r="F269" s="4" t="s">
        <v>7</v>
      </c>
      <c r="G269" s="2">
        <v>14.32</v>
      </c>
      <c r="H269" s="11">
        <v>25489.600000000002</v>
      </c>
      <c r="I269" s="5">
        <v>2020</v>
      </c>
      <c r="J269" s="1" t="s">
        <v>12</v>
      </c>
      <c r="K269" s="1" t="s">
        <v>9</v>
      </c>
      <c r="L269" s="1" t="s">
        <v>132</v>
      </c>
    </row>
    <row r="270" spans="1:14" x14ac:dyDescent="0.3">
      <c r="A270" s="10">
        <v>268</v>
      </c>
      <c r="B270" s="10" t="s">
        <v>105</v>
      </c>
      <c r="C270" s="10" t="s">
        <v>39</v>
      </c>
      <c r="D270" s="10">
        <v>2023</v>
      </c>
      <c r="E270" s="4">
        <v>1780</v>
      </c>
      <c r="F270" s="4" t="s">
        <v>7</v>
      </c>
      <c r="G270" s="2">
        <v>14.81</v>
      </c>
      <c r="H270" s="11">
        <v>26361.8</v>
      </c>
      <c r="I270" s="5">
        <v>2020</v>
      </c>
      <c r="J270" s="1" t="s">
        <v>12</v>
      </c>
      <c r="K270" s="1" t="s">
        <v>9</v>
      </c>
      <c r="L270" s="1" t="s">
        <v>132</v>
      </c>
    </row>
    <row r="271" spans="1:14" x14ac:dyDescent="0.3">
      <c r="A271" s="10">
        <v>269</v>
      </c>
      <c r="B271" s="10" t="s">
        <v>105</v>
      </c>
      <c r="C271" s="10" t="s">
        <v>40</v>
      </c>
      <c r="D271" s="10">
        <v>2023</v>
      </c>
      <c r="E271" s="4">
        <v>1780</v>
      </c>
      <c r="F271" s="4" t="s">
        <v>7</v>
      </c>
      <c r="G271" s="2">
        <v>13.55</v>
      </c>
      <c r="H271" s="11">
        <f>G271*E271</f>
        <v>24119</v>
      </c>
      <c r="I271" s="5">
        <v>2020</v>
      </c>
      <c r="J271" s="1" t="s">
        <v>12</v>
      </c>
      <c r="K271" s="1" t="s">
        <v>27</v>
      </c>
      <c r="L271" s="1" t="s">
        <v>34</v>
      </c>
    </row>
    <row r="272" spans="1:14" x14ac:dyDescent="0.3">
      <c r="A272" s="10">
        <v>270</v>
      </c>
      <c r="B272" s="10" t="s">
        <v>105</v>
      </c>
      <c r="C272" s="10" t="s">
        <v>41</v>
      </c>
      <c r="D272" s="10">
        <v>2023</v>
      </c>
      <c r="E272" s="4">
        <v>1780</v>
      </c>
      <c r="F272" s="4" t="s">
        <v>7</v>
      </c>
      <c r="G272" s="2">
        <v>12.14</v>
      </c>
      <c r="H272" s="11">
        <f>E272*G272</f>
        <v>21609.200000000001</v>
      </c>
      <c r="I272" s="5">
        <v>2020</v>
      </c>
      <c r="J272" s="1" t="s">
        <v>12</v>
      </c>
      <c r="K272" s="1" t="s">
        <v>27</v>
      </c>
      <c r="L272" s="1" t="s">
        <v>34</v>
      </c>
    </row>
    <row r="273" spans="1:12" x14ac:dyDescent="0.3">
      <c r="A273" s="10">
        <v>271</v>
      </c>
      <c r="B273" s="10" t="s">
        <v>105</v>
      </c>
      <c r="C273" s="10" t="s">
        <v>42</v>
      </c>
      <c r="D273" s="10">
        <v>2023</v>
      </c>
      <c r="E273" s="4">
        <v>1780</v>
      </c>
      <c r="F273" s="4" t="s">
        <v>7</v>
      </c>
      <c r="G273" s="2">
        <v>14.78</v>
      </c>
      <c r="H273" s="11">
        <f>E273*G273</f>
        <v>26308.399999999998</v>
      </c>
      <c r="I273" s="5">
        <v>2020</v>
      </c>
      <c r="J273" s="1" t="s">
        <v>12</v>
      </c>
      <c r="K273" s="1" t="s">
        <v>27</v>
      </c>
      <c r="L273" s="1" t="s">
        <v>34</v>
      </c>
    </row>
    <row r="274" spans="1:12" x14ac:dyDescent="0.3">
      <c r="A274" s="10">
        <v>272</v>
      </c>
      <c r="B274" s="10" t="s">
        <v>105</v>
      </c>
      <c r="C274" s="10" t="s">
        <v>43</v>
      </c>
      <c r="D274" s="10">
        <v>2023</v>
      </c>
      <c r="E274" s="4">
        <v>1780</v>
      </c>
      <c r="F274" s="4" t="s">
        <v>7</v>
      </c>
      <c r="G274" s="2">
        <v>14.67</v>
      </c>
      <c r="H274" s="11">
        <f>E274*G274</f>
        <v>26112.6</v>
      </c>
      <c r="I274" s="5">
        <v>2020</v>
      </c>
      <c r="J274" s="1" t="s">
        <v>12</v>
      </c>
      <c r="K274" s="1" t="s">
        <v>27</v>
      </c>
      <c r="L274" s="1" t="s">
        <v>34</v>
      </c>
    </row>
    <row r="275" spans="1:12" x14ac:dyDescent="0.3">
      <c r="A275" s="10">
        <v>273</v>
      </c>
      <c r="B275" s="10" t="s">
        <v>105</v>
      </c>
      <c r="C275" s="10" t="s">
        <v>44</v>
      </c>
      <c r="D275" s="10">
        <v>2023</v>
      </c>
      <c r="E275" s="4">
        <v>1780</v>
      </c>
      <c r="F275" s="4" t="s">
        <v>7</v>
      </c>
      <c r="G275" s="2">
        <v>14.7</v>
      </c>
      <c r="H275" s="11">
        <f>E275*G275</f>
        <v>26166</v>
      </c>
      <c r="I275" s="5">
        <v>2022</v>
      </c>
      <c r="J275" s="1" t="s">
        <v>12</v>
      </c>
      <c r="K275" s="1" t="s">
        <v>9</v>
      </c>
      <c r="L275" s="1" t="s">
        <v>10</v>
      </c>
    </row>
    <row r="276" spans="1:12" x14ac:dyDescent="0.3">
      <c r="A276" s="10">
        <v>274</v>
      </c>
      <c r="B276" s="10" t="s">
        <v>108</v>
      </c>
      <c r="C276" s="10" t="s">
        <v>51</v>
      </c>
      <c r="D276" s="10">
        <v>2023</v>
      </c>
      <c r="E276" s="4">
        <v>1780</v>
      </c>
      <c r="F276" s="4" t="s">
        <v>7</v>
      </c>
      <c r="G276" s="2">
        <v>7.39</v>
      </c>
      <c r="H276" s="3">
        <v>13154.199999999999</v>
      </c>
      <c r="I276" s="1">
        <v>2018</v>
      </c>
      <c r="J276" s="1" t="s">
        <v>12</v>
      </c>
      <c r="K276" s="1" t="s">
        <v>9</v>
      </c>
      <c r="L276" s="1" t="s">
        <v>46</v>
      </c>
    </row>
    <row r="277" spans="1:12" x14ac:dyDescent="0.3">
      <c r="A277" s="10">
        <v>275</v>
      </c>
      <c r="B277" s="10" t="s">
        <v>108</v>
      </c>
      <c r="C277" s="10" t="s">
        <v>52</v>
      </c>
      <c r="D277" s="10">
        <v>2023</v>
      </c>
      <c r="E277" s="4">
        <v>1905</v>
      </c>
      <c r="F277" s="4" t="s">
        <v>7</v>
      </c>
      <c r="G277" s="2">
        <v>1.98</v>
      </c>
      <c r="H277" s="3">
        <f>G277*E277</f>
        <v>3771.9</v>
      </c>
      <c r="I277" s="1">
        <v>2018</v>
      </c>
      <c r="J277" s="1" t="s">
        <v>8</v>
      </c>
      <c r="K277" s="1" t="s">
        <v>27</v>
      </c>
      <c r="L277" s="1" t="s">
        <v>53</v>
      </c>
    </row>
    <row r="278" spans="1:12" x14ac:dyDescent="0.3">
      <c r="A278" s="10">
        <v>276</v>
      </c>
      <c r="B278" s="10" t="s">
        <v>108</v>
      </c>
      <c r="C278" s="10" t="s">
        <v>54</v>
      </c>
      <c r="D278" s="10">
        <v>2023</v>
      </c>
      <c r="E278" s="4">
        <v>1905</v>
      </c>
      <c r="F278" s="4" t="s">
        <v>7</v>
      </c>
      <c r="G278" s="2">
        <v>12.45</v>
      </c>
      <c r="H278" s="3">
        <f>G278*E278</f>
        <v>23717.25</v>
      </c>
      <c r="I278" s="1">
        <v>2017</v>
      </c>
      <c r="J278" s="1" t="s">
        <v>8</v>
      </c>
      <c r="K278" s="1" t="s">
        <v>27</v>
      </c>
      <c r="L278" s="1" t="s">
        <v>53</v>
      </c>
    </row>
    <row r="279" spans="1:12" x14ac:dyDescent="0.3">
      <c r="A279" s="10">
        <v>277</v>
      </c>
      <c r="B279" s="10" t="s">
        <v>108</v>
      </c>
      <c r="C279" s="10" t="s">
        <v>55</v>
      </c>
      <c r="D279" s="10">
        <v>2023</v>
      </c>
      <c r="E279" s="4">
        <v>1905</v>
      </c>
      <c r="F279" s="4" t="s">
        <v>7</v>
      </c>
      <c r="G279" s="2">
        <v>10.7</v>
      </c>
      <c r="H279" s="3">
        <f>G279*E279</f>
        <v>20383.5</v>
      </c>
      <c r="I279" s="1">
        <v>2017</v>
      </c>
      <c r="J279" s="1" t="s">
        <v>8</v>
      </c>
      <c r="K279" s="1" t="s">
        <v>27</v>
      </c>
      <c r="L279" s="1" t="s">
        <v>53</v>
      </c>
    </row>
    <row r="280" spans="1:12" x14ac:dyDescent="0.3">
      <c r="A280" s="10">
        <v>278</v>
      </c>
      <c r="B280" s="10" t="s">
        <v>108</v>
      </c>
      <c r="C280" s="10" t="s">
        <v>56</v>
      </c>
      <c r="D280" s="10">
        <v>2023</v>
      </c>
      <c r="E280" s="4">
        <v>1905</v>
      </c>
      <c r="F280" s="4" t="s">
        <v>7</v>
      </c>
      <c r="G280" s="2">
        <v>9.39</v>
      </c>
      <c r="H280" s="3">
        <f>E280*G280</f>
        <v>17887.95</v>
      </c>
      <c r="I280" s="1">
        <v>2016</v>
      </c>
      <c r="J280" s="1" t="s">
        <v>8</v>
      </c>
      <c r="K280" s="1" t="s">
        <v>27</v>
      </c>
      <c r="L280" s="1" t="s">
        <v>53</v>
      </c>
    </row>
    <row r="281" spans="1:12" x14ac:dyDescent="0.3">
      <c r="A281" s="10">
        <v>279</v>
      </c>
      <c r="B281" s="10" t="s">
        <v>108</v>
      </c>
      <c r="C281" s="10" t="s">
        <v>57</v>
      </c>
      <c r="D281" s="10">
        <v>2023</v>
      </c>
      <c r="E281" s="4">
        <v>1905</v>
      </c>
      <c r="F281" s="4" t="s">
        <v>7</v>
      </c>
      <c r="G281" s="2">
        <v>11.41</v>
      </c>
      <c r="H281" s="3">
        <f>E281*G281</f>
        <v>21736.05</v>
      </c>
      <c r="I281" s="1">
        <v>2016</v>
      </c>
      <c r="J281" s="1" t="s">
        <v>8</v>
      </c>
      <c r="K281" s="1" t="s">
        <v>27</v>
      </c>
      <c r="L281" s="1" t="s">
        <v>53</v>
      </c>
    </row>
    <row r="282" spans="1:12" x14ac:dyDescent="0.3">
      <c r="A282" s="10">
        <v>280</v>
      </c>
      <c r="B282" s="10" t="s">
        <v>108</v>
      </c>
      <c r="C282" s="10" t="s">
        <v>58</v>
      </c>
      <c r="D282" s="10">
        <v>2023</v>
      </c>
      <c r="E282" s="4">
        <v>1905</v>
      </c>
      <c r="F282" s="4" t="s">
        <v>7</v>
      </c>
      <c r="G282" s="2">
        <v>6.19</v>
      </c>
      <c r="H282" s="3">
        <f>E282*G282</f>
        <v>11791.95</v>
      </c>
      <c r="I282" s="1">
        <v>2016</v>
      </c>
      <c r="J282" s="1" t="s">
        <v>8</v>
      </c>
      <c r="K282" s="1" t="s">
        <v>27</v>
      </c>
      <c r="L282" s="1" t="s">
        <v>53</v>
      </c>
    </row>
    <row r="283" spans="1:12" x14ac:dyDescent="0.3">
      <c r="A283" s="10">
        <v>281</v>
      </c>
      <c r="B283" s="10" t="s">
        <v>105</v>
      </c>
      <c r="C283" s="10" t="s">
        <v>6</v>
      </c>
      <c r="D283" s="10">
        <v>2023</v>
      </c>
      <c r="E283" s="14"/>
      <c r="F283" s="4" t="s">
        <v>7</v>
      </c>
      <c r="G283" s="2">
        <v>14.97</v>
      </c>
      <c r="H283" s="3">
        <v>0</v>
      </c>
      <c r="I283" s="1">
        <v>2018</v>
      </c>
      <c r="J283" s="4" t="s">
        <v>8</v>
      </c>
      <c r="K283" s="4" t="s">
        <v>9</v>
      </c>
      <c r="L283" s="1" t="s">
        <v>10</v>
      </c>
    </row>
    <row r="284" spans="1:12" x14ac:dyDescent="0.3">
      <c r="A284" s="10">
        <v>282</v>
      </c>
      <c r="B284" s="10" t="s">
        <v>105</v>
      </c>
      <c r="C284" s="10" t="s">
        <v>11</v>
      </c>
      <c r="D284" s="10">
        <v>2023</v>
      </c>
      <c r="E284" s="14"/>
      <c r="F284" s="4" t="s">
        <v>7</v>
      </c>
      <c r="G284" s="2">
        <v>14.97</v>
      </c>
      <c r="H284" s="3">
        <v>0</v>
      </c>
      <c r="I284" s="1">
        <v>2016</v>
      </c>
      <c r="J284" s="4" t="s">
        <v>12</v>
      </c>
      <c r="K284" s="4" t="s">
        <v>9</v>
      </c>
      <c r="L284" s="1" t="s">
        <v>10</v>
      </c>
    </row>
    <row r="285" spans="1:12" x14ac:dyDescent="0.3">
      <c r="A285" s="10">
        <v>283</v>
      </c>
      <c r="B285" s="10" t="s">
        <v>105</v>
      </c>
      <c r="C285" s="10" t="s">
        <v>13</v>
      </c>
      <c r="D285" s="10">
        <v>2023</v>
      </c>
      <c r="E285" s="14"/>
      <c r="F285" s="4" t="s">
        <v>7</v>
      </c>
      <c r="G285" s="2">
        <v>14.21</v>
      </c>
      <c r="H285" s="3">
        <v>0</v>
      </c>
      <c r="I285" s="1">
        <v>2016</v>
      </c>
      <c r="J285" s="4" t="s">
        <v>12</v>
      </c>
      <c r="K285" s="4" t="s">
        <v>9</v>
      </c>
      <c r="L285" s="1" t="s">
        <v>10</v>
      </c>
    </row>
    <row r="286" spans="1:12" x14ac:dyDescent="0.3">
      <c r="A286" s="10">
        <v>284</v>
      </c>
      <c r="B286" s="10" t="s">
        <v>163</v>
      </c>
      <c r="C286" s="10" t="s">
        <v>88</v>
      </c>
      <c r="D286" s="10">
        <v>2023</v>
      </c>
      <c r="E286" s="4">
        <v>1838</v>
      </c>
      <c r="F286" s="4" t="s">
        <v>7</v>
      </c>
      <c r="G286" s="2">
        <v>13.18</v>
      </c>
      <c r="H286" s="3">
        <f t="shared" ref="H286:H293" si="1">E286*G286</f>
        <v>24224.84</v>
      </c>
      <c r="I286" s="1">
        <v>2021</v>
      </c>
      <c r="J286" s="1" t="s">
        <v>8</v>
      </c>
      <c r="K286" s="1" t="s">
        <v>27</v>
      </c>
      <c r="L286" s="1" t="s">
        <v>34</v>
      </c>
    </row>
    <row r="287" spans="1:12" x14ac:dyDescent="0.3">
      <c r="A287" s="10">
        <v>285</v>
      </c>
      <c r="B287" s="10" t="s">
        <v>163</v>
      </c>
      <c r="C287" s="10" t="s">
        <v>89</v>
      </c>
      <c r="D287" s="10">
        <v>2023</v>
      </c>
      <c r="E287" s="4">
        <v>1838</v>
      </c>
      <c r="F287" s="4" t="s">
        <v>7</v>
      </c>
      <c r="G287" s="2">
        <v>9.33</v>
      </c>
      <c r="H287" s="3">
        <f t="shared" si="1"/>
        <v>17148.54</v>
      </c>
      <c r="I287" s="1">
        <v>2021</v>
      </c>
      <c r="J287" s="1" t="s">
        <v>8</v>
      </c>
      <c r="K287" s="1" t="s">
        <v>27</v>
      </c>
      <c r="L287" s="1" t="s">
        <v>34</v>
      </c>
    </row>
    <row r="288" spans="1:12" x14ac:dyDescent="0.3">
      <c r="A288" s="10">
        <v>286</v>
      </c>
      <c r="B288" s="10" t="s">
        <v>163</v>
      </c>
      <c r="C288" s="10" t="s">
        <v>90</v>
      </c>
      <c r="D288" s="10">
        <v>2023</v>
      </c>
      <c r="E288" s="7">
        <v>1905</v>
      </c>
      <c r="F288" s="4" t="s">
        <v>7</v>
      </c>
      <c r="G288" s="2">
        <v>11.47</v>
      </c>
      <c r="H288" s="3">
        <f t="shared" si="1"/>
        <v>21850.350000000002</v>
      </c>
      <c r="I288" s="1">
        <v>2022</v>
      </c>
      <c r="J288" s="1" t="s">
        <v>8</v>
      </c>
      <c r="K288" s="1" t="s">
        <v>27</v>
      </c>
      <c r="L288" s="1" t="s">
        <v>53</v>
      </c>
    </row>
    <row r="289" spans="1:12" x14ac:dyDescent="0.3">
      <c r="A289" s="10">
        <v>287</v>
      </c>
      <c r="B289" s="10" t="s">
        <v>163</v>
      </c>
      <c r="C289" s="10" t="s">
        <v>92</v>
      </c>
      <c r="D289" s="10">
        <v>2023</v>
      </c>
      <c r="E289" s="7">
        <v>1905</v>
      </c>
      <c r="F289" s="4" t="s">
        <v>7</v>
      </c>
      <c r="G289" s="2">
        <v>14.9</v>
      </c>
      <c r="H289" s="3">
        <f t="shared" si="1"/>
        <v>28384.5</v>
      </c>
      <c r="I289" s="1">
        <v>2022</v>
      </c>
      <c r="J289" s="1" t="s">
        <v>8</v>
      </c>
      <c r="K289" s="1" t="s">
        <v>27</v>
      </c>
      <c r="L289" s="1" t="s">
        <v>53</v>
      </c>
    </row>
    <row r="290" spans="1:12" x14ac:dyDescent="0.3">
      <c r="A290" s="10">
        <v>288</v>
      </c>
      <c r="B290" s="10" t="s">
        <v>163</v>
      </c>
      <c r="C290" s="10" t="s">
        <v>80</v>
      </c>
      <c r="D290" s="10">
        <v>2023</v>
      </c>
      <c r="E290" s="7">
        <v>1905</v>
      </c>
      <c r="F290" s="4" t="s">
        <v>7</v>
      </c>
      <c r="G290" s="2">
        <v>10.7</v>
      </c>
      <c r="H290" s="3">
        <f t="shared" si="1"/>
        <v>20383.5</v>
      </c>
      <c r="I290" s="1">
        <v>2022</v>
      </c>
      <c r="J290" s="1" t="s">
        <v>8</v>
      </c>
      <c r="K290" s="1" t="s">
        <v>27</v>
      </c>
      <c r="L290" s="1" t="s">
        <v>53</v>
      </c>
    </row>
    <row r="291" spans="1:12" x14ac:dyDescent="0.3">
      <c r="A291" s="10">
        <v>289</v>
      </c>
      <c r="B291" s="10" t="s">
        <v>163</v>
      </c>
      <c r="C291" s="10" t="s">
        <v>93</v>
      </c>
      <c r="D291" s="10">
        <v>2023</v>
      </c>
      <c r="E291" s="7">
        <v>1905</v>
      </c>
      <c r="F291" s="4" t="s">
        <v>7</v>
      </c>
      <c r="G291" s="2">
        <v>14.9</v>
      </c>
      <c r="H291" s="3">
        <f t="shared" si="1"/>
        <v>28384.5</v>
      </c>
      <c r="I291" s="1">
        <v>2022</v>
      </c>
      <c r="J291" s="1" t="s">
        <v>8</v>
      </c>
      <c r="K291" s="1" t="s">
        <v>27</v>
      </c>
      <c r="L291" s="1" t="s">
        <v>153</v>
      </c>
    </row>
    <row r="292" spans="1:12" x14ac:dyDescent="0.3">
      <c r="A292" s="10">
        <v>290</v>
      </c>
      <c r="B292" s="10" t="s">
        <v>163</v>
      </c>
      <c r="C292" s="10" t="s">
        <v>94</v>
      </c>
      <c r="D292" s="10">
        <v>2023</v>
      </c>
      <c r="E292" s="7">
        <v>1905</v>
      </c>
      <c r="F292" s="4" t="s">
        <v>7</v>
      </c>
      <c r="G292" s="2">
        <v>14.5</v>
      </c>
      <c r="H292" s="3">
        <f t="shared" si="1"/>
        <v>27622.5</v>
      </c>
      <c r="I292" s="1">
        <v>2022</v>
      </c>
      <c r="J292" s="1" t="s">
        <v>8</v>
      </c>
      <c r="K292" s="1" t="s">
        <v>27</v>
      </c>
      <c r="L292" s="1" t="s">
        <v>153</v>
      </c>
    </row>
    <row r="293" spans="1:12" x14ac:dyDescent="0.3">
      <c r="A293" s="10">
        <v>291</v>
      </c>
      <c r="B293" s="10" t="s">
        <v>163</v>
      </c>
      <c r="C293" s="10" t="s">
        <v>95</v>
      </c>
      <c r="D293" s="10">
        <v>2023</v>
      </c>
      <c r="E293" s="7">
        <v>1905</v>
      </c>
      <c r="F293" s="4" t="s">
        <v>7</v>
      </c>
      <c r="G293" s="2">
        <v>14.8</v>
      </c>
      <c r="H293" s="3">
        <f t="shared" si="1"/>
        <v>28194</v>
      </c>
      <c r="I293" s="1">
        <v>2022</v>
      </c>
      <c r="J293" s="1" t="s">
        <v>8</v>
      </c>
      <c r="K293" s="1" t="s">
        <v>27</v>
      </c>
      <c r="L293" s="1" t="s">
        <v>153</v>
      </c>
    </row>
    <row r="294" spans="1:12" x14ac:dyDescent="0.3">
      <c r="A294" s="10">
        <v>292</v>
      </c>
      <c r="B294" s="10" t="s">
        <v>163</v>
      </c>
      <c r="C294" s="10" t="s">
        <v>96</v>
      </c>
      <c r="D294" s="10">
        <v>2023</v>
      </c>
      <c r="E294" s="7">
        <v>1905</v>
      </c>
      <c r="F294" s="4" t="s">
        <v>7</v>
      </c>
      <c r="G294" s="2">
        <v>12.1</v>
      </c>
      <c r="H294" s="3">
        <f>G294*E294</f>
        <v>23050.5</v>
      </c>
      <c r="I294" s="1">
        <v>2022</v>
      </c>
      <c r="J294" s="1" t="s">
        <v>12</v>
      </c>
      <c r="K294" s="1" t="s">
        <v>27</v>
      </c>
      <c r="L294" s="1" t="s">
        <v>136</v>
      </c>
    </row>
    <row r="295" spans="1:12" x14ac:dyDescent="0.3">
      <c r="A295" s="10">
        <v>293</v>
      </c>
      <c r="B295" s="10" t="s">
        <v>163</v>
      </c>
      <c r="C295" s="10" t="s">
        <v>97</v>
      </c>
      <c r="D295" s="10">
        <v>2023</v>
      </c>
      <c r="E295" s="7">
        <v>1905</v>
      </c>
      <c r="F295" s="4" t="s">
        <v>7</v>
      </c>
      <c r="G295" s="2">
        <v>16.899999999999999</v>
      </c>
      <c r="H295" s="3">
        <f>E295*G295</f>
        <v>32194.499999999996</v>
      </c>
      <c r="I295" s="1">
        <v>2022</v>
      </c>
      <c r="J295" s="1" t="s">
        <v>12</v>
      </c>
      <c r="K295" s="1" t="s">
        <v>27</v>
      </c>
      <c r="L295" s="1" t="s">
        <v>136</v>
      </c>
    </row>
    <row r="296" spans="1:12" x14ac:dyDescent="0.3">
      <c r="A296" s="10">
        <v>294</v>
      </c>
      <c r="B296" s="10" t="s">
        <v>163</v>
      </c>
      <c r="C296" s="10" t="s">
        <v>98</v>
      </c>
      <c r="D296" s="10">
        <v>2023</v>
      </c>
      <c r="E296" s="7">
        <v>1905</v>
      </c>
      <c r="F296" s="4" t="s">
        <v>7</v>
      </c>
      <c r="G296" s="2">
        <v>7.5</v>
      </c>
      <c r="H296" s="3">
        <v>14314</v>
      </c>
      <c r="I296" s="1">
        <v>2022</v>
      </c>
      <c r="J296" s="1" t="s">
        <v>12</v>
      </c>
      <c r="K296" s="1" t="s">
        <v>27</v>
      </c>
      <c r="L296" s="1" t="s">
        <v>136</v>
      </c>
    </row>
    <row r="297" spans="1:12" x14ac:dyDescent="0.3">
      <c r="A297" s="10">
        <v>295</v>
      </c>
      <c r="B297" s="10" t="s">
        <v>163</v>
      </c>
      <c r="C297" s="10" t="s">
        <v>99</v>
      </c>
      <c r="D297" s="10">
        <v>2023</v>
      </c>
      <c r="E297" s="8">
        <v>1754</v>
      </c>
      <c r="F297" s="4" t="s">
        <v>7</v>
      </c>
      <c r="G297" s="2">
        <v>19.7</v>
      </c>
      <c r="H297" s="24">
        <f>D297*G297</f>
        <v>39853.1</v>
      </c>
      <c r="I297" s="1">
        <v>2022</v>
      </c>
      <c r="J297" s="1" t="s">
        <v>8</v>
      </c>
      <c r="K297" s="1" t="s">
        <v>27</v>
      </c>
      <c r="L297" s="1" t="s">
        <v>134</v>
      </c>
    </row>
    <row r="298" spans="1:12" x14ac:dyDescent="0.3">
      <c r="A298" s="10">
        <v>296</v>
      </c>
      <c r="B298" s="10" t="s">
        <v>163</v>
      </c>
      <c r="C298" s="10" t="s">
        <v>100</v>
      </c>
      <c r="D298" s="10">
        <v>2023</v>
      </c>
      <c r="E298" s="8">
        <v>1754</v>
      </c>
      <c r="F298" s="4" t="s">
        <v>7</v>
      </c>
      <c r="G298" s="2">
        <v>6.7</v>
      </c>
      <c r="H298" s="3">
        <f>E298*G298</f>
        <v>11751.800000000001</v>
      </c>
      <c r="I298" s="1">
        <v>2022</v>
      </c>
      <c r="J298" s="1" t="s">
        <v>8</v>
      </c>
      <c r="K298" s="1" t="s">
        <v>27</v>
      </c>
      <c r="L298" s="1" t="s">
        <v>134</v>
      </c>
    </row>
    <row r="299" spans="1:12" x14ac:dyDescent="0.3">
      <c r="A299" s="12">
        <v>297</v>
      </c>
      <c r="B299" s="12" t="s">
        <v>117</v>
      </c>
      <c r="C299" s="12" t="s">
        <v>45</v>
      </c>
      <c r="D299" s="10">
        <v>2023</v>
      </c>
      <c r="E299" s="12"/>
      <c r="F299" s="4" t="s">
        <v>7</v>
      </c>
      <c r="G299" s="2">
        <v>0</v>
      </c>
      <c r="H299" s="3">
        <v>0</v>
      </c>
      <c r="I299" s="1">
        <v>2023</v>
      </c>
      <c r="J299" s="1"/>
      <c r="K299" s="1"/>
      <c r="L299" s="1" t="s">
        <v>154</v>
      </c>
    </row>
    <row r="300" spans="1:12" x14ac:dyDescent="0.3">
      <c r="A300" s="12">
        <v>298</v>
      </c>
      <c r="B300" s="12" t="s">
        <v>117</v>
      </c>
      <c r="C300" s="12" t="s">
        <v>47</v>
      </c>
      <c r="D300" s="10">
        <v>2023</v>
      </c>
      <c r="E300" s="12"/>
      <c r="F300" s="4" t="s">
        <v>7</v>
      </c>
      <c r="G300" s="2">
        <v>0</v>
      </c>
      <c r="H300" s="3">
        <v>0</v>
      </c>
      <c r="I300" s="1">
        <v>2023</v>
      </c>
      <c r="J300" s="1"/>
      <c r="K300" s="1"/>
      <c r="L300" s="1" t="s">
        <v>154</v>
      </c>
    </row>
    <row r="301" spans="1:12" x14ac:dyDescent="0.3">
      <c r="A301" s="10">
        <v>299</v>
      </c>
      <c r="B301" s="10" t="s">
        <v>112</v>
      </c>
      <c r="C301" s="10" t="s">
        <v>83</v>
      </c>
      <c r="D301" s="10">
        <v>2023</v>
      </c>
      <c r="E301" s="9">
        <v>1905</v>
      </c>
      <c r="F301" s="4" t="s">
        <v>7</v>
      </c>
      <c r="G301" s="2">
        <v>10.68</v>
      </c>
      <c r="H301" s="3">
        <f>E301*G301</f>
        <v>20345.399999999998</v>
      </c>
      <c r="I301" s="1">
        <v>2023</v>
      </c>
      <c r="J301" s="1"/>
      <c r="K301" s="1"/>
      <c r="L301" s="1" t="s">
        <v>134</v>
      </c>
    </row>
    <row r="302" spans="1:12" x14ac:dyDescent="0.3">
      <c r="A302" s="10"/>
      <c r="B302" s="10" t="s">
        <v>116</v>
      </c>
      <c r="C302" s="10" t="s">
        <v>78</v>
      </c>
      <c r="D302" s="10">
        <v>2023</v>
      </c>
      <c r="E302" s="9"/>
      <c r="F302" s="4" t="s">
        <v>7</v>
      </c>
      <c r="G302" s="2">
        <v>1.45</v>
      </c>
      <c r="H302" s="3"/>
      <c r="I302" s="1"/>
      <c r="J302" s="1"/>
      <c r="K302" s="1"/>
      <c r="L302" s="1" t="s">
        <v>137</v>
      </c>
    </row>
    <row r="303" spans="1:12" x14ac:dyDescent="0.3">
      <c r="A303" s="10"/>
      <c r="B303" s="10" t="s">
        <v>155</v>
      </c>
      <c r="C303" s="10" t="s">
        <v>78</v>
      </c>
      <c r="D303" s="10">
        <v>2023</v>
      </c>
      <c r="E303" s="9"/>
      <c r="F303" s="4" t="s">
        <v>7</v>
      </c>
      <c r="G303" s="2">
        <v>0.82</v>
      </c>
      <c r="H303" s="3"/>
      <c r="I303" s="1"/>
      <c r="J303" s="1"/>
      <c r="K303" s="1"/>
      <c r="L303" s="1" t="s">
        <v>137</v>
      </c>
    </row>
    <row r="304" spans="1:12" x14ac:dyDescent="0.3">
      <c r="A304" s="10"/>
      <c r="B304" s="10" t="s">
        <v>117</v>
      </c>
      <c r="C304" s="10" t="s">
        <v>78</v>
      </c>
      <c r="D304" s="10">
        <v>2023</v>
      </c>
      <c r="E304" s="9"/>
      <c r="F304" s="4" t="s">
        <v>7</v>
      </c>
      <c r="G304" s="2">
        <v>0.13</v>
      </c>
      <c r="H304" s="3"/>
      <c r="I304" s="1"/>
      <c r="J304" s="1"/>
      <c r="K304" s="1"/>
      <c r="L304" s="1" t="s">
        <v>137</v>
      </c>
    </row>
    <row r="305" spans="1:12" x14ac:dyDescent="0.3">
      <c r="A305" s="10"/>
      <c r="B305" s="10" t="s">
        <v>156</v>
      </c>
      <c r="C305" s="10" t="s">
        <v>78</v>
      </c>
      <c r="D305" s="10">
        <v>2023</v>
      </c>
      <c r="E305" s="9"/>
      <c r="F305" s="4" t="s">
        <v>7</v>
      </c>
      <c r="G305" s="2">
        <v>0.5</v>
      </c>
      <c r="H305" s="3"/>
      <c r="I305" s="1"/>
      <c r="J305" s="1"/>
      <c r="K305" s="1"/>
      <c r="L305" s="1" t="s">
        <v>137</v>
      </c>
    </row>
    <row r="306" spans="1:12" x14ac:dyDescent="0.3">
      <c r="A306" s="10"/>
      <c r="B306" s="10" t="s">
        <v>157</v>
      </c>
      <c r="C306" s="10" t="s">
        <v>78</v>
      </c>
      <c r="D306" s="10">
        <v>2023</v>
      </c>
      <c r="E306" s="9"/>
      <c r="F306" s="4" t="s">
        <v>7</v>
      </c>
      <c r="G306" s="2">
        <v>0.01</v>
      </c>
      <c r="H306" s="3"/>
      <c r="I306" s="1"/>
      <c r="J306" s="1"/>
      <c r="K306" s="1"/>
      <c r="L306" s="1" t="s">
        <v>137</v>
      </c>
    </row>
    <row r="307" spans="1:12" x14ac:dyDescent="0.3">
      <c r="A307" s="10"/>
      <c r="B307" s="10" t="s">
        <v>158</v>
      </c>
      <c r="C307" s="10" t="s">
        <v>78</v>
      </c>
      <c r="D307" s="10">
        <v>2023</v>
      </c>
      <c r="E307" s="9"/>
      <c r="F307" s="4" t="s">
        <v>7</v>
      </c>
      <c r="G307" s="2">
        <v>0.3</v>
      </c>
      <c r="H307" s="3"/>
      <c r="I307" s="1"/>
      <c r="J307" s="1"/>
      <c r="K307" s="1"/>
      <c r="L307" s="1" t="s">
        <v>137</v>
      </c>
    </row>
    <row r="308" spans="1:12" x14ac:dyDescent="0.3">
      <c r="A308" s="10"/>
      <c r="B308" s="10" t="s">
        <v>159</v>
      </c>
      <c r="C308" s="10" t="s">
        <v>78</v>
      </c>
      <c r="D308" s="10">
        <v>2023</v>
      </c>
      <c r="E308" s="9"/>
      <c r="F308" s="4" t="s">
        <v>7</v>
      </c>
      <c r="G308" s="2">
        <v>0.01</v>
      </c>
      <c r="H308" s="3"/>
      <c r="I308" s="1"/>
      <c r="J308" s="1"/>
      <c r="K308" s="1"/>
      <c r="L308" s="1" t="s">
        <v>137</v>
      </c>
    </row>
    <row r="309" spans="1:12" x14ac:dyDescent="0.3">
      <c r="A309" s="10"/>
      <c r="B309" s="10" t="s">
        <v>160</v>
      </c>
      <c r="C309" s="10" t="s">
        <v>78</v>
      </c>
      <c r="D309" s="10">
        <v>2023</v>
      </c>
      <c r="E309" s="9"/>
      <c r="F309" s="4" t="s">
        <v>7</v>
      </c>
      <c r="G309" s="2">
        <v>0.33</v>
      </c>
      <c r="H309" s="3"/>
      <c r="I309" s="1"/>
      <c r="J309" s="1"/>
      <c r="K309" s="1"/>
      <c r="L309" s="1" t="s">
        <v>137</v>
      </c>
    </row>
    <row r="310" spans="1:12" x14ac:dyDescent="0.3">
      <c r="A310" s="10">
        <v>300</v>
      </c>
      <c r="B310" s="10" t="s">
        <v>161</v>
      </c>
      <c r="C310" s="10" t="s">
        <v>78</v>
      </c>
      <c r="D310" s="10">
        <v>2023</v>
      </c>
      <c r="E310" s="4"/>
      <c r="F310" s="4" t="s">
        <v>7</v>
      </c>
      <c r="G310" s="2">
        <v>0.01</v>
      </c>
      <c r="H310" s="3"/>
      <c r="I310" s="5"/>
      <c r="J310" s="1"/>
      <c r="K310" s="1"/>
      <c r="L310" s="1" t="s">
        <v>137</v>
      </c>
    </row>
    <row r="311" spans="1:12" x14ac:dyDescent="0.3">
      <c r="A311" s="12">
        <v>301</v>
      </c>
      <c r="B311" s="12" t="s">
        <v>117</v>
      </c>
      <c r="C311" s="12" t="s">
        <v>101</v>
      </c>
      <c r="D311" s="10">
        <v>2023</v>
      </c>
      <c r="E311" s="12"/>
      <c r="F311" s="4" t="s">
        <v>7</v>
      </c>
      <c r="G311" s="2">
        <v>0</v>
      </c>
      <c r="H311" s="3">
        <v>0</v>
      </c>
      <c r="I311" s="1">
        <v>2023</v>
      </c>
      <c r="J311" s="1"/>
      <c r="K311" s="1"/>
      <c r="L311" s="1" t="s">
        <v>154</v>
      </c>
    </row>
    <row r="312" spans="1:12" x14ac:dyDescent="0.3">
      <c r="A312" s="12">
        <v>302</v>
      </c>
      <c r="B312" s="12" t="s">
        <v>117</v>
      </c>
      <c r="C312" s="12" t="s">
        <v>103</v>
      </c>
      <c r="D312" s="10">
        <v>2023</v>
      </c>
      <c r="E312" s="12"/>
      <c r="F312" s="4" t="s">
        <v>7</v>
      </c>
      <c r="G312" s="2">
        <v>0</v>
      </c>
      <c r="H312" s="3">
        <v>0</v>
      </c>
      <c r="I312" s="1">
        <v>2023</v>
      </c>
      <c r="J312" s="1"/>
      <c r="K312" s="1"/>
      <c r="L312" s="1" t="s">
        <v>154</v>
      </c>
    </row>
    <row r="313" spans="1:12" x14ac:dyDescent="0.3">
      <c r="A313" s="10">
        <v>303</v>
      </c>
      <c r="B313" s="10" t="s">
        <v>109</v>
      </c>
      <c r="C313" s="10" t="s">
        <v>59</v>
      </c>
      <c r="D313" s="10">
        <v>2023</v>
      </c>
      <c r="E313" s="4">
        <v>1905</v>
      </c>
      <c r="F313" s="4" t="s">
        <v>7</v>
      </c>
      <c r="G313" s="2">
        <v>6.91</v>
      </c>
      <c r="H313" s="11">
        <v>13164</v>
      </c>
      <c r="I313" s="1">
        <v>2018</v>
      </c>
      <c r="J313" s="1" t="s">
        <v>8</v>
      </c>
      <c r="K313" s="1"/>
      <c r="L313" s="1" t="s">
        <v>10</v>
      </c>
    </row>
    <row r="314" spans="1:12" x14ac:dyDescent="0.3">
      <c r="A314" s="10">
        <v>304</v>
      </c>
      <c r="B314" s="10" t="s">
        <v>109</v>
      </c>
      <c r="C314" s="10" t="s">
        <v>60</v>
      </c>
      <c r="D314" s="10">
        <v>2023</v>
      </c>
      <c r="E314" s="4">
        <v>1905</v>
      </c>
      <c r="F314" s="4" t="s">
        <v>7</v>
      </c>
      <c r="G314" s="2">
        <f>3.25+0.05+0.34</f>
        <v>3.6399999999999997</v>
      </c>
      <c r="H314" s="11">
        <f>E314*G314</f>
        <v>6934.2</v>
      </c>
      <c r="I314" s="1" t="s">
        <v>61</v>
      </c>
      <c r="J314" s="1" t="s">
        <v>8</v>
      </c>
      <c r="K314" s="1" t="s">
        <v>9</v>
      </c>
      <c r="L314" s="1" t="s">
        <v>10</v>
      </c>
    </row>
    <row r="315" spans="1:12" x14ac:dyDescent="0.3">
      <c r="A315" s="10">
        <v>305</v>
      </c>
      <c r="B315" s="10" t="s">
        <v>109</v>
      </c>
      <c r="C315" s="10" t="s">
        <v>130</v>
      </c>
      <c r="D315" s="10">
        <v>2023</v>
      </c>
      <c r="E315" s="4">
        <v>1780</v>
      </c>
      <c r="F315" s="4" t="s">
        <v>7</v>
      </c>
      <c r="G315" s="2">
        <v>10.44</v>
      </c>
      <c r="H315" s="11">
        <f>E315*G315</f>
        <v>18583.2</v>
      </c>
      <c r="I315" s="1">
        <v>2020</v>
      </c>
      <c r="J315" s="1" t="s">
        <v>12</v>
      </c>
      <c r="K315" s="1" t="s">
        <v>27</v>
      </c>
      <c r="L315" s="1" t="s">
        <v>53</v>
      </c>
    </row>
    <row r="316" spans="1:12" x14ac:dyDescent="0.3">
      <c r="A316" s="10">
        <v>306</v>
      </c>
      <c r="B316" s="10" t="s">
        <v>109</v>
      </c>
      <c r="C316" s="10" t="s">
        <v>63</v>
      </c>
      <c r="D316" s="10">
        <v>2023</v>
      </c>
      <c r="E316" s="4">
        <v>1780</v>
      </c>
      <c r="F316" s="4" t="s">
        <v>7</v>
      </c>
      <c r="G316" s="2">
        <v>14.18</v>
      </c>
      <c r="H316" s="11">
        <f>E316*G316</f>
        <v>25240.399999999998</v>
      </c>
      <c r="I316" s="1">
        <v>2020</v>
      </c>
      <c r="J316" s="1" t="s">
        <v>12</v>
      </c>
      <c r="K316" s="1" t="s">
        <v>27</v>
      </c>
      <c r="L316" s="1" t="s">
        <v>53</v>
      </c>
    </row>
    <row r="317" spans="1:12" x14ac:dyDescent="0.3">
      <c r="A317" s="10">
        <v>307</v>
      </c>
      <c r="B317" s="10" t="s">
        <v>109</v>
      </c>
      <c r="C317" s="10" t="s">
        <v>64</v>
      </c>
      <c r="D317" s="10">
        <v>2023</v>
      </c>
      <c r="E317" s="4">
        <v>1780</v>
      </c>
      <c r="F317" s="4" t="s">
        <v>7</v>
      </c>
      <c r="G317" s="2">
        <v>13.57</v>
      </c>
      <c r="H317" s="11">
        <f>G317*E317</f>
        <v>24154.600000000002</v>
      </c>
      <c r="I317" s="1">
        <v>2020</v>
      </c>
      <c r="J317" s="1" t="s">
        <v>12</v>
      </c>
      <c r="K317" s="1" t="s">
        <v>27</v>
      </c>
      <c r="L317" s="1" t="s">
        <v>53</v>
      </c>
    </row>
    <row r="318" spans="1:12" x14ac:dyDescent="0.3">
      <c r="A318" s="10">
        <v>308</v>
      </c>
      <c r="B318" s="10" t="s">
        <v>109</v>
      </c>
      <c r="C318" s="10" t="s">
        <v>65</v>
      </c>
      <c r="D318" s="10">
        <v>2023</v>
      </c>
      <c r="E318" s="7">
        <v>1838</v>
      </c>
      <c r="F318" s="4" t="s">
        <v>7</v>
      </c>
      <c r="G318" s="2">
        <v>12.4</v>
      </c>
      <c r="H318" s="11">
        <f>E318*G318</f>
        <v>22791.200000000001</v>
      </c>
      <c r="I318" s="1">
        <v>2021</v>
      </c>
      <c r="J318" s="1" t="s">
        <v>12</v>
      </c>
      <c r="K318" s="1" t="s">
        <v>27</v>
      </c>
      <c r="L318" s="1" t="s">
        <v>34</v>
      </c>
    </row>
    <row r="319" spans="1:12" x14ac:dyDescent="0.3">
      <c r="A319" s="10">
        <v>309</v>
      </c>
      <c r="B319" s="10" t="s">
        <v>109</v>
      </c>
      <c r="C319" s="10" t="s">
        <v>66</v>
      </c>
      <c r="D319" s="10">
        <v>2023</v>
      </c>
      <c r="E319" s="7">
        <v>1838</v>
      </c>
      <c r="F319" s="4" t="s">
        <v>7</v>
      </c>
      <c r="G319" s="2">
        <v>11.9</v>
      </c>
      <c r="H319" s="11">
        <f>E319*G319</f>
        <v>21872.2</v>
      </c>
      <c r="I319" s="1">
        <v>2021</v>
      </c>
      <c r="J319" s="1" t="s">
        <v>12</v>
      </c>
      <c r="K319" s="1" t="s">
        <v>27</v>
      </c>
      <c r="L319" s="1" t="s">
        <v>34</v>
      </c>
    </row>
    <row r="320" spans="1:12" x14ac:dyDescent="0.3">
      <c r="A320" s="13">
        <v>310</v>
      </c>
      <c r="B320" s="13" t="s">
        <v>109</v>
      </c>
      <c r="C320" s="13" t="s">
        <v>104</v>
      </c>
      <c r="D320" s="10">
        <v>2023</v>
      </c>
      <c r="E320" s="13"/>
      <c r="F320" s="4" t="s">
        <v>7</v>
      </c>
      <c r="G320" s="2">
        <v>0</v>
      </c>
      <c r="H320" s="3">
        <v>0</v>
      </c>
      <c r="I320" s="1">
        <v>2023</v>
      </c>
      <c r="J320" s="1"/>
      <c r="K320" s="1"/>
      <c r="L320" s="1" t="s">
        <v>154</v>
      </c>
    </row>
    <row r="321" spans="1:12" x14ac:dyDescent="0.3">
      <c r="A321" s="13">
        <v>311</v>
      </c>
      <c r="B321" s="13" t="s">
        <v>109</v>
      </c>
      <c r="C321" s="13" t="s">
        <v>102</v>
      </c>
      <c r="D321" s="10">
        <v>2023</v>
      </c>
      <c r="E321" s="13"/>
      <c r="F321" s="4" t="s">
        <v>7</v>
      </c>
      <c r="G321" s="2">
        <v>0</v>
      </c>
      <c r="H321" s="3">
        <v>0</v>
      </c>
      <c r="I321" s="1">
        <v>2023</v>
      </c>
      <c r="J321" s="1"/>
      <c r="K321" s="1"/>
      <c r="L321" s="1" t="s">
        <v>154</v>
      </c>
    </row>
    <row r="322" spans="1:12" x14ac:dyDescent="0.3">
      <c r="A322" s="12">
        <v>312</v>
      </c>
      <c r="B322" s="12" t="s">
        <v>167</v>
      </c>
      <c r="C322" s="12" t="s">
        <v>48</v>
      </c>
      <c r="D322" s="10">
        <v>2023</v>
      </c>
      <c r="E322" s="12"/>
      <c r="F322" s="4" t="s">
        <v>7</v>
      </c>
      <c r="G322" s="2">
        <v>0</v>
      </c>
      <c r="H322" s="3">
        <v>0</v>
      </c>
      <c r="I322" s="1">
        <v>2023</v>
      </c>
      <c r="J322" s="1"/>
      <c r="K322" s="1"/>
      <c r="L322" s="1" t="s">
        <v>154</v>
      </c>
    </row>
    <row r="323" spans="1:12" x14ac:dyDescent="0.3">
      <c r="A323" s="12">
        <v>313</v>
      </c>
      <c r="B323" s="12" t="s">
        <v>167</v>
      </c>
      <c r="C323" s="12" t="s">
        <v>50</v>
      </c>
      <c r="D323" s="10">
        <v>2023</v>
      </c>
      <c r="E323" s="12"/>
      <c r="F323" s="4" t="s">
        <v>7</v>
      </c>
      <c r="G323" s="2">
        <v>0</v>
      </c>
      <c r="H323" s="3">
        <v>0</v>
      </c>
      <c r="I323" s="1">
        <v>2023</v>
      </c>
      <c r="J323" s="1"/>
      <c r="K323" s="1"/>
      <c r="L323" s="1" t="s">
        <v>154</v>
      </c>
    </row>
    <row r="324" spans="1:12" x14ac:dyDescent="0.3">
      <c r="A324" s="10">
        <v>314</v>
      </c>
      <c r="B324" s="10" t="s">
        <v>167</v>
      </c>
      <c r="C324" s="10" t="s">
        <v>67</v>
      </c>
      <c r="D324" s="10">
        <v>2023</v>
      </c>
      <c r="E324" s="4">
        <v>1684</v>
      </c>
      <c r="F324" s="4" t="s">
        <v>7</v>
      </c>
      <c r="G324" s="2">
        <v>10</v>
      </c>
      <c r="H324" s="11">
        <v>16840</v>
      </c>
      <c r="I324" s="5">
        <v>2018</v>
      </c>
      <c r="J324" s="1" t="s">
        <v>12</v>
      </c>
      <c r="K324" s="1"/>
      <c r="L324" s="1" t="s">
        <v>49</v>
      </c>
    </row>
    <row r="325" spans="1:12" x14ac:dyDescent="0.3">
      <c r="A325" s="10">
        <v>315</v>
      </c>
      <c r="B325" s="10" t="s">
        <v>167</v>
      </c>
      <c r="C325" s="10" t="s">
        <v>68</v>
      </c>
      <c r="D325" s="10">
        <v>2023</v>
      </c>
      <c r="E325" s="4">
        <v>1684</v>
      </c>
      <c r="F325" s="4" t="s">
        <v>7</v>
      </c>
      <c r="G325" s="2">
        <v>13.27</v>
      </c>
      <c r="H325" s="11">
        <v>22346.68</v>
      </c>
      <c r="I325" s="5">
        <v>2018</v>
      </c>
      <c r="J325" s="1" t="s">
        <v>12</v>
      </c>
      <c r="K325" s="1"/>
      <c r="L325" s="1" t="s">
        <v>49</v>
      </c>
    </row>
    <row r="326" spans="1:12" x14ac:dyDescent="0.3">
      <c r="A326" s="10">
        <v>316</v>
      </c>
      <c r="B326" s="10" t="s">
        <v>167</v>
      </c>
      <c r="C326" s="10" t="s">
        <v>69</v>
      </c>
      <c r="D326" s="10">
        <v>2023</v>
      </c>
      <c r="E326" s="4">
        <v>1684</v>
      </c>
      <c r="F326" s="4" t="s">
        <v>7</v>
      </c>
      <c r="G326" s="2">
        <v>14.54</v>
      </c>
      <c r="H326" s="11">
        <v>24485.359999999997</v>
      </c>
      <c r="I326" s="5">
        <v>2018</v>
      </c>
      <c r="J326" s="1" t="s">
        <v>12</v>
      </c>
      <c r="K326" s="1"/>
      <c r="L326" s="1" t="s">
        <v>49</v>
      </c>
    </row>
    <row r="327" spans="1:12" x14ac:dyDescent="0.3">
      <c r="A327" s="10">
        <v>317</v>
      </c>
      <c r="B327" s="10" t="s">
        <v>167</v>
      </c>
      <c r="C327" s="10" t="s">
        <v>70</v>
      </c>
      <c r="D327" s="10">
        <v>2023</v>
      </c>
      <c r="E327" s="4">
        <v>1262</v>
      </c>
      <c r="F327" s="4" t="s">
        <v>7</v>
      </c>
      <c r="G327" s="2">
        <v>11.89</v>
      </c>
      <c r="H327" s="11">
        <v>15005.18</v>
      </c>
      <c r="I327" s="5">
        <v>2018</v>
      </c>
      <c r="J327" s="1" t="s">
        <v>12</v>
      </c>
      <c r="K327" s="1"/>
      <c r="L327" s="1" t="s">
        <v>49</v>
      </c>
    </row>
    <row r="328" spans="1:12" x14ac:dyDescent="0.3">
      <c r="A328" s="10">
        <v>318</v>
      </c>
      <c r="B328" s="10" t="s">
        <v>167</v>
      </c>
      <c r="C328" s="10" t="s">
        <v>71</v>
      </c>
      <c r="D328" s="10">
        <v>2023</v>
      </c>
      <c r="E328" s="4">
        <v>1780.2</v>
      </c>
      <c r="F328" s="4" t="s">
        <v>7</v>
      </c>
      <c r="G328" s="2">
        <f>10.97+3.84</f>
        <v>14.81</v>
      </c>
      <c r="H328" s="11">
        <f>19530+6834</f>
        <v>26364</v>
      </c>
      <c r="I328" s="5">
        <v>2020</v>
      </c>
      <c r="J328" s="1" t="s">
        <v>12</v>
      </c>
      <c r="K328" s="1"/>
      <c r="L328" s="1" t="s">
        <v>46</v>
      </c>
    </row>
    <row r="329" spans="1:12" x14ac:dyDescent="0.3">
      <c r="A329" s="10">
        <v>319</v>
      </c>
      <c r="B329" s="10" t="s">
        <v>167</v>
      </c>
      <c r="C329" s="10" t="s">
        <v>72</v>
      </c>
      <c r="D329" s="10">
        <v>2023</v>
      </c>
      <c r="E329" s="4">
        <v>1780.2</v>
      </c>
      <c r="F329" s="4" t="s">
        <v>7</v>
      </c>
      <c r="G329" s="2">
        <f>12.22+2.59</f>
        <v>14.81</v>
      </c>
      <c r="H329" s="11">
        <f>21753+4615</f>
        <v>26368</v>
      </c>
      <c r="I329" s="5">
        <v>2020</v>
      </c>
      <c r="J329" s="1" t="s">
        <v>12</v>
      </c>
      <c r="K329" s="1"/>
      <c r="L329" s="1" t="s">
        <v>46</v>
      </c>
    </row>
    <row r="330" spans="1:12" x14ac:dyDescent="0.3">
      <c r="A330" s="10">
        <v>320</v>
      </c>
      <c r="B330" s="10" t="s">
        <v>167</v>
      </c>
      <c r="C330" s="10" t="s">
        <v>73</v>
      </c>
      <c r="D330" s="10">
        <v>2023</v>
      </c>
      <c r="E330" s="4">
        <v>1779.3333333333333</v>
      </c>
      <c r="F330" s="4" t="s">
        <v>7</v>
      </c>
      <c r="G330" s="2">
        <v>13.54</v>
      </c>
      <c r="H330" s="11">
        <v>24092.173333333332</v>
      </c>
      <c r="I330" s="5">
        <v>2020</v>
      </c>
      <c r="J330" s="1" t="s">
        <v>12</v>
      </c>
      <c r="K330" s="1"/>
      <c r="L330" s="1" t="s">
        <v>46</v>
      </c>
    </row>
    <row r="331" spans="1:12" x14ac:dyDescent="0.3">
      <c r="A331" s="10">
        <v>321</v>
      </c>
      <c r="B331" s="10" t="s">
        <v>167</v>
      </c>
      <c r="C331" s="10" t="s">
        <v>74</v>
      </c>
      <c r="D331" s="10">
        <v>2023</v>
      </c>
      <c r="E331" s="8">
        <v>1894</v>
      </c>
      <c r="F331" s="4" t="s">
        <v>7</v>
      </c>
      <c r="G331" s="2">
        <v>14.05</v>
      </c>
      <c r="H331" s="11">
        <v>26610.7</v>
      </c>
      <c r="I331" s="5">
        <v>2021</v>
      </c>
      <c r="J331" s="1" t="s">
        <v>12</v>
      </c>
      <c r="K331" s="1"/>
      <c r="L331" s="1" t="s">
        <v>49</v>
      </c>
    </row>
    <row r="332" spans="1:12" x14ac:dyDescent="0.3">
      <c r="A332" s="10">
        <v>322</v>
      </c>
      <c r="B332" s="10" t="s">
        <v>167</v>
      </c>
      <c r="C332" s="10" t="s">
        <v>75</v>
      </c>
      <c r="D332" s="10">
        <v>2023</v>
      </c>
      <c r="E332" s="8">
        <v>1894</v>
      </c>
      <c r="F332" s="4" t="s">
        <v>7</v>
      </c>
      <c r="G332" s="2">
        <f>4.17</f>
        <v>4.17</v>
      </c>
      <c r="H332" s="11">
        <v>7897.98</v>
      </c>
      <c r="I332" s="5">
        <v>2021</v>
      </c>
      <c r="J332" s="1" t="s">
        <v>12</v>
      </c>
      <c r="K332" s="1"/>
      <c r="L332" s="1" t="s">
        <v>49</v>
      </c>
    </row>
    <row r="333" spans="1:12" x14ac:dyDescent="0.3">
      <c r="A333" s="10">
        <v>323</v>
      </c>
      <c r="B333" s="10" t="s">
        <v>167</v>
      </c>
      <c r="C333" s="10" t="s">
        <v>76</v>
      </c>
      <c r="D333" s="10">
        <v>2023</v>
      </c>
      <c r="E333" s="8">
        <v>1894</v>
      </c>
      <c r="F333" s="4" t="s">
        <v>7</v>
      </c>
      <c r="G333" s="2">
        <f>7.57</f>
        <v>7.57</v>
      </c>
      <c r="H333" s="11">
        <v>14337.58</v>
      </c>
      <c r="I333" s="5">
        <v>2021</v>
      </c>
      <c r="J333" s="1" t="s">
        <v>12</v>
      </c>
      <c r="K333" s="1"/>
      <c r="L333" s="1" t="s">
        <v>49</v>
      </c>
    </row>
    <row r="334" spans="1:12" x14ac:dyDescent="0.3">
      <c r="A334" s="10">
        <v>324</v>
      </c>
      <c r="B334" s="10" t="s">
        <v>167</v>
      </c>
      <c r="C334" s="10" t="s">
        <v>77</v>
      </c>
      <c r="D334" s="10">
        <v>2023</v>
      </c>
      <c r="E334" s="8">
        <v>1905</v>
      </c>
      <c r="F334" s="4" t="s">
        <v>7</v>
      </c>
      <c r="G334" s="2">
        <f>11.76</f>
        <v>11.76</v>
      </c>
      <c r="H334" s="11">
        <v>22402.799999999999</v>
      </c>
      <c r="I334" s="5">
        <v>2021</v>
      </c>
      <c r="J334" s="1" t="s">
        <v>12</v>
      </c>
      <c r="K334" s="1"/>
      <c r="L334" s="1" t="s">
        <v>49</v>
      </c>
    </row>
    <row r="335" spans="1:12" x14ac:dyDescent="0.3">
      <c r="A335" s="10">
        <v>325</v>
      </c>
      <c r="B335" s="10" t="s">
        <v>135</v>
      </c>
      <c r="C335" s="10" t="s">
        <v>80</v>
      </c>
      <c r="D335" s="10">
        <v>2023</v>
      </c>
      <c r="E335" s="4">
        <v>1780</v>
      </c>
      <c r="F335" s="4" t="s">
        <v>7</v>
      </c>
      <c r="G335" s="2">
        <v>2</v>
      </c>
      <c r="H335" s="3">
        <f>G335*E335</f>
        <v>3560</v>
      </c>
      <c r="I335" s="5">
        <v>2021</v>
      </c>
      <c r="J335" s="1" t="s">
        <v>12</v>
      </c>
      <c r="K335" s="1" t="s">
        <v>27</v>
      </c>
      <c r="L335" s="1" t="s">
        <v>53</v>
      </c>
    </row>
    <row r="336" spans="1:12" x14ac:dyDescent="0.3">
      <c r="A336" s="10">
        <v>326</v>
      </c>
      <c r="B336" s="10" t="s">
        <v>112</v>
      </c>
      <c r="C336" s="10" t="s">
        <v>81</v>
      </c>
      <c r="D336" s="10">
        <v>2023</v>
      </c>
      <c r="E336" s="4">
        <v>1780</v>
      </c>
      <c r="F336" s="4" t="s">
        <v>7</v>
      </c>
      <c r="G336" s="2">
        <v>14.81</v>
      </c>
      <c r="H336" s="6">
        <v>26361.8</v>
      </c>
      <c r="I336" s="1">
        <v>2020</v>
      </c>
      <c r="J336" s="1" t="s">
        <v>12</v>
      </c>
      <c r="K336" s="1"/>
      <c r="L336" s="1" t="s">
        <v>46</v>
      </c>
    </row>
    <row r="337" spans="1:12" x14ac:dyDescent="0.3">
      <c r="A337" s="10">
        <v>327</v>
      </c>
      <c r="B337" s="10" t="s">
        <v>112</v>
      </c>
      <c r="C337" s="10" t="s">
        <v>82</v>
      </c>
      <c r="D337" s="10">
        <v>2023</v>
      </c>
      <c r="E337" s="4">
        <v>1780</v>
      </c>
      <c r="F337" s="4" t="s">
        <v>7</v>
      </c>
      <c r="G337" s="2">
        <v>14.81</v>
      </c>
      <c r="H337" s="6">
        <v>26361.8</v>
      </c>
      <c r="I337" s="1">
        <v>2020</v>
      </c>
      <c r="J337" s="1" t="s">
        <v>12</v>
      </c>
      <c r="K337" s="1"/>
      <c r="L337" s="1" t="s">
        <v>46</v>
      </c>
    </row>
    <row r="338" spans="1:12" x14ac:dyDescent="0.3">
      <c r="A338" s="10">
        <v>328</v>
      </c>
      <c r="B338" s="10" t="s">
        <v>112</v>
      </c>
      <c r="C338" s="10" t="s">
        <v>51</v>
      </c>
      <c r="D338" s="10">
        <v>2023</v>
      </c>
      <c r="E338" s="4">
        <v>1780</v>
      </c>
      <c r="F338" s="4" t="s">
        <v>7</v>
      </c>
      <c r="G338" s="2">
        <f>6.74</f>
        <v>6.74</v>
      </c>
      <c r="H338" s="6">
        <v>11997.2</v>
      </c>
      <c r="I338" s="1">
        <v>2021</v>
      </c>
      <c r="J338" s="1" t="s">
        <v>12</v>
      </c>
      <c r="K338" s="1" t="s">
        <v>9</v>
      </c>
      <c r="L338" s="1" t="s">
        <v>46</v>
      </c>
    </row>
    <row r="339" spans="1:12" x14ac:dyDescent="0.3">
      <c r="A339" s="10">
        <v>329</v>
      </c>
      <c r="B339" s="10" t="s">
        <v>112</v>
      </c>
      <c r="C339" s="10" t="s">
        <v>84</v>
      </c>
      <c r="D339" s="10">
        <v>2023</v>
      </c>
      <c r="E339" s="4">
        <v>1632</v>
      </c>
      <c r="F339" s="4" t="s">
        <v>7</v>
      </c>
      <c r="G339" s="2">
        <v>13.68</v>
      </c>
      <c r="H339" s="6">
        <f>E339*G339</f>
        <v>22325.759999999998</v>
      </c>
      <c r="I339" s="1">
        <v>2016</v>
      </c>
      <c r="J339" s="1" t="s">
        <v>12</v>
      </c>
      <c r="K339" s="1" t="s">
        <v>27</v>
      </c>
      <c r="L339" s="1" t="s">
        <v>134</v>
      </c>
    </row>
    <row r="340" spans="1:12" x14ac:dyDescent="0.3">
      <c r="A340" s="10">
        <v>330</v>
      </c>
      <c r="B340" s="10" t="s">
        <v>112</v>
      </c>
      <c r="C340" s="10" t="s">
        <v>85</v>
      </c>
      <c r="D340" s="10">
        <v>2023</v>
      </c>
      <c r="E340" s="4">
        <v>1632</v>
      </c>
      <c r="F340" s="4" t="s">
        <v>7</v>
      </c>
      <c r="G340" s="2">
        <v>14.05</v>
      </c>
      <c r="H340" s="6">
        <f>E340*G340</f>
        <v>22929.600000000002</v>
      </c>
      <c r="I340" s="1">
        <v>2016</v>
      </c>
      <c r="J340" s="1" t="s">
        <v>12</v>
      </c>
      <c r="K340" s="1" t="s">
        <v>27</v>
      </c>
      <c r="L340" s="1" t="s">
        <v>134</v>
      </c>
    </row>
    <row r="341" spans="1:12" x14ac:dyDescent="0.3">
      <c r="A341" s="10">
        <v>331</v>
      </c>
      <c r="B341" s="10" t="s">
        <v>112</v>
      </c>
      <c r="C341" s="10" t="s">
        <v>86</v>
      </c>
      <c r="D341" s="10">
        <v>2023</v>
      </c>
      <c r="E341" s="4">
        <v>1632</v>
      </c>
      <c r="F341" s="4" t="s">
        <v>7</v>
      </c>
      <c r="G341" s="2">
        <v>13.37</v>
      </c>
      <c r="H341" s="6">
        <f>E341*G341</f>
        <v>21819.84</v>
      </c>
      <c r="I341" s="1">
        <v>2016</v>
      </c>
      <c r="J341" s="1" t="s">
        <v>12</v>
      </c>
      <c r="K341" s="1" t="s">
        <v>27</v>
      </c>
      <c r="L341" s="1" t="s">
        <v>134</v>
      </c>
    </row>
    <row r="342" spans="1:12" x14ac:dyDescent="0.3">
      <c r="A342" s="10">
        <v>332</v>
      </c>
      <c r="B342" s="10" t="s">
        <v>112</v>
      </c>
      <c r="C342" s="10" t="s">
        <v>87</v>
      </c>
      <c r="D342" s="10">
        <v>2023</v>
      </c>
      <c r="E342" s="4">
        <v>1587</v>
      </c>
      <c r="F342" s="4" t="s">
        <v>7</v>
      </c>
      <c r="G342" s="2">
        <v>6.13</v>
      </c>
      <c r="H342" s="6">
        <f>G342*E342</f>
        <v>9728.31</v>
      </c>
      <c r="I342" s="1">
        <v>2019</v>
      </c>
      <c r="J342" s="1" t="s">
        <v>12</v>
      </c>
      <c r="K342" s="1" t="s">
        <v>27</v>
      </c>
      <c r="L342" s="1" t="s">
        <v>134</v>
      </c>
    </row>
    <row r="343" spans="1:12" x14ac:dyDescent="0.3">
      <c r="A343" s="10">
        <v>334</v>
      </c>
      <c r="B343" s="10" t="s">
        <v>105</v>
      </c>
      <c r="C343" s="10" t="s">
        <v>14</v>
      </c>
      <c r="D343" s="10">
        <v>2023</v>
      </c>
      <c r="E343" s="4">
        <v>2132</v>
      </c>
      <c r="F343" s="8" t="s">
        <v>162</v>
      </c>
      <c r="G343" s="2">
        <v>0.01</v>
      </c>
      <c r="H343" s="11">
        <f>E343*G343</f>
        <v>21.32</v>
      </c>
      <c r="I343" s="5">
        <v>2016</v>
      </c>
      <c r="J343" s="1" t="s">
        <v>12</v>
      </c>
      <c r="K343" s="1" t="s">
        <v>9</v>
      </c>
      <c r="L343" s="1" t="s">
        <v>10</v>
      </c>
    </row>
    <row r="344" spans="1:12" x14ac:dyDescent="0.3">
      <c r="A344" s="10">
        <v>335</v>
      </c>
      <c r="B344" s="10" t="s">
        <v>105</v>
      </c>
      <c r="C344" s="10" t="s">
        <v>15</v>
      </c>
      <c r="D344" s="10">
        <v>2023</v>
      </c>
      <c r="E344" s="4">
        <v>2132</v>
      </c>
      <c r="F344" s="8" t="s">
        <v>162</v>
      </c>
      <c r="G344" s="2">
        <f>14.83-14.75</f>
        <v>8.0000000000000071E-2</v>
      </c>
      <c r="H344" s="11">
        <f>G344*E344</f>
        <v>170.56000000000014</v>
      </c>
      <c r="I344" s="5">
        <v>2017</v>
      </c>
      <c r="J344" s="1" t="s">
        <v>12</v>
      </c>
      <c r="K344" s="1" t="s">
        <v>9</v>
      </c>
      <c r="L344" s="1" t="s">
        <v>10</v>
      </c>
    </row>
    <row r="345" spans="1:12" x14ac:dyDescent="0.3">
      <c r="A345" s="10">
        <v>336</v>
      </c>
      <c r="B345" s="10" t="s">
        <v>105</v>
      </c>
      <c r="C345" s="10" t="s">
        <v>16</v>
      </c>
      <c r="D345" s="10">
        <v>2023</v>
      </c>
      <c r="E345" s="4">
        <v>2070</v>
      </c>
      <c r="F345" s="8" t="s">
        <v>162</v>
      </c>
      <c r="G345" s="2">
        <v>0</v>
      </c>
      <c r="H345" s="11">
        <v>0</v>
      </c>
      <c r="I345" s="5">
        <v>2017</v>
      </c>
      <c r="J345" s="1" t="s">
        <v>12</v>
      </c>
      <c r="K345" s="1" t="s">
        <v>9</v>
      </c>
      <c r="L345" s="1" t="s">
        <v>10</v>
      </c>
    </row>
    <row r="346" spans="1:12" x14ac:dyDescent="0.3">
      <c r="A346" s="10">
        <v>337</v>
      </c>
      <c r="B346" s="10" t="s">
        <v>105</v>
      </c>
      <c r="C346" s="10" t="s">
        <v>18</v>
      </c>
      <c r="D346" s="10">
        <v>2023</v>
      </c>
      <c r="E346" s="4">
        <v>2070</v>
      </c>
      <c r="F346" s="8" t="s">
        <v>162</v>
      </c>
      <c r="G346" s="2">
        <v>0</v>
      </c>
      <c r="H346" s="11">
        <v>0</v>
      </c>
      <c r="I346" s="5">
        <v>2017</v>
      </c>
      <c r="J346" s="1" t="s">
        <v>12</v>
      </c>
      <c r="K346" s="1" t="s">
        <v>9</v>
      </c>
      <c r="L346" s="1" t="s">
        <v>10</v>
      </c>
    </row>
    <row r="347" spans="1:12" x14ac:dyDescent="0.3">
      <c r="A347" s="10">
        <v>338</v>
      </c>
      <c r="B347" s="10" t="s">
        <v>105</v>
      </c>
      <c r="C347" s="10" t="s">
        <v>19</v>
      </c>
      <c r="D347" s="10">
        <v>2023</v>
      </c>
      <c r="E347" s="4">
        <v>2070</v>
      </c>
      <c r="F347" s="8" t="s">
        <v>162</v>
      </c>
      <c r="G347" s="2">
        <v>0.05</v>
      </c>
      <c r="H347" s="11">
        <f>E347*G347</f>
        <v>103.5</v>
      </c>
      <c r="I347" s="5">
        <v>2017</v>
      </c>
      <c r="J347" s="1" t="s">
        <v>12</v>
      </c>
      <c r="K347" s="1" t="s">
        <v>9</v>
      </c>
      <c r="L347" s="1" t="s">
        <v>10</v>
      </c>
    </row>
    <row r="348" spans="1:12" x14ac:dyDescent="0.3">
      <c r="A348" s="10">
        <v>339</v>
      </c>
      <c r="B348" s="10" t="s">
        <v>105</v>
      </c>
      <c r="C348" s="10" t="s">
        <v>20</v>
      </c>
      <c r="D348" s="10">
        <v>2023</v>
      </c>
      <c r="E348" s="4">
        <v>2132</v>
      </c>
      <c r="F348" s="8" t="s">
        <v>162</v>
      </c>
      <c r="G348" s="2">
        <f>14.4-13.69</f>
        <v>0.71000000000000085</v>
      </c>
      <c r="H348" s="11">
        <f>E348*G348</f>
        <v>1513.7200000000018</v>
      </c>
      <c r="I348" s="5">
        <v>2015</v>
      </c>
      <c r="J348" s="1" t="s">
        <v>12</v>
      </c>
      <c r="K348" s="1" t="s">
        <v>9</v>
      </c>
      <c r="L348" s="1" t="s">
        <v>153</v>
      </c>
    </row>
    <row r="349" spans="1:12" x14ac:dyDescent="0.3">
      <c r="A349" s="10">
        <v>340</v>
      </c>
      <c r="B349" s="10" t="s">
        <v>105</v>
      </c>
      <c r="C349" s="10" t="s">
        <v>21</v>
      </c>
      <c r="D349" s="10">
        <v>2023</v>
      </c>
      <c r="E349" s="4">
        <v>2132</v>
      </c>
      <c r="F349" s="8" t="s">
        <v>162</v>
      </c>
      <c r="G349" s="2">
        <v>0</v>
      </c>
      <c r="H349" s="11">
        <v>0</v>
      </c>
      <c r="I349" s="5">
        <v>2015</v>
      </c>
      <c r="J349" s="1" t="s">
        <v>12</v>
      </c>
      <c r="K349" s="1" t="s">
        <v>9</v>
      </c>
      <c r="L349" s="1" t="s">
        <v>153</v>
      </c>
    </row>
    <row r="350" spans="1:12" x14ac:dyDescent="0.3">
      <c r="A350" s="10">
        <v>341</v>
      </c>
      <c r="B350" s="10" t="s">
        <v>105</v>
      </c>
      <c r="C350" s="10" t="s">
        <v>22</v>
      </c>
      <c r="D350" s="10">
        <v>2023</v>
      </c>
      <c r="E350" s="4">
        <v>2132</v>
      </c>
      <c r="F350" s="8" t="s">
        <v>162</v>
      </c>
      <c r="G350" s="2">
        <v>0</v>
      </c>
      <c r="H350" s="11">
        <v>0</v>
      </c>
      <c r="I350" s="5">
        <v>2015</v>
      </c>
      <c r="J350" s="1" t="s">
        <v>12</v>
      </c>
      <c r="K350" s="1" t="s">
        <v>9</v>
      </c>
      <c r="L350" s="1" t="s">
        <v>153</v>
      </c>
    </row>
    <row r="351" spans="1:12" x14ac:dyDescent="0.3">
      <c r="A351" s="10">
        <v>342</v>
      </c>
      <c r="B351" s="10" t="s">
        <v>105</v>
      </c>
      <c r="C351" s="10" t="s">
        <v>23</v>
      </c>
      <c r="D351" s="10">
        <v>2023</v>
      </c>
      <c r="E351" s="4">
        <v>2070</v>
      </c>
      <c r="F351" s="8" t="s">
        <v>162</v>
      </c>
      <c r="G351" s="2">
        <v>0</v>
      </c>
      <c r="H351" s="11">
        <v>0</v>
      </c>
      <c r="I351" s="5">
        <v>2016</v>
      </c>
      <c r="J351" s="1" t="s">
        <v>12</v>
      </c>
      <c r="K351" s="1" t="s">
        <v>9</v>
      </c>
      <c r="L351" s="1" t="s">
        <v>132</v>
      </c>
    </row>
    <row r="352" spans="1:12" x14ac:dyDescent="0.3">
      <c r="A352" s="10">
        <v>343</v>
      </c>
      <c r="B352" s="10" t="s">
        <v>105</v>
      </c>
      <c r="C352" s="10" t="s">
        <v>24</v>
      </c>
      <c r="D352" s="10">
        <v>2023</v>
      </c>
      <c r="E352" s="4">
        <v>2070</v>
      </c>
      <c r="F352" s="8" t="s">
        <v>162</v>
      </c>
      <c r="G352" s="2">
        <v>0.13000000000000078</v>
      </c>
      <c r="H352" s="11">
        <v>269.10000000000161</v>
      </c>
      <c r="I352" s="5">
        <v>2017</v>
      </c>
      <c r="J352" s="1" t="s">
        <v>12</v>
      </c>
      <c r="K352" s="1" t="s">
        <v>9</v>
      </c>
      <c r="L352" s="1" t="s">
        <v>132</v>
      </c>
    </row>
    <row r="353" spans="1:12" x14ac:dyDescent="0.3">
      <c r="A353" s="10">
        <v>344</v>
      </c>
      <c r="B353" s="10" t="s">
        <v>105</v>
      </c>
      <c r="C353" s="10" t="s">
        <v>25</v>
      </c>
      <c r="D353" s="10">
        <v>2023</v>
      </c>
      <c r="E353" s="4">
        <v>2070</v>
      </c>
      <c r="F353" s="8" t="s">
        <v>162</v>
      </c>
      <c r="G353" s="2">
        <v>0.17999999999999972</v>
      </c>
      <c r="H353" s="11">
        <v>372.5999999999994</v>
      </c>
      <c r="I353" s="5">
        <v>2016</v>
      </c>
      <c r="J353" s="1" t="s">
        <v>12</v>
      </c>
      <c r="K353" s="1" t="s">
        <v>9</v>
      </c>
      <c r="L353" s="1" t="s">
        <v>132</v>
      </c>
    </row>
    <row r="354" spans="1:12" x14ac:dyDescent="0.3">
      <c r="A354" s="10">
        <v>345</v>
      </c>
      <c r="B354" s="10" t="s">
        <v>105</v>
      </c>
      <c r="C354" s="10" t="s">
        <v>26</v>
      </c>
      <c r="D354" s="10">
        <v>2023</v>
      </c>
      <c r="E354" s="4">
        <v>1905</v>
      </c>
      <c r="F354" s="8" t="s">
        <v>162</v>
      </c>
      <c r="G354" s="2">
        <v>0.03</v>
      </c>
      <c r="H354" s="11">
        <f>E354*G354</f>
        <v>57.15</v>
      </c>
      <c r="I354" s="5">
        <v>2015</v>
      </c>
      <c r="J354" s="1" t="s">
        <v>8</v>
      </c>
      <c r="K354" s="1" t="s">
        <v>27</v>
      </c>
      <c r="L354" s="1" t="s">
        <v>28</v>
      </c>
    </row>
    <row r="355" spans="1:12" x14ac:dyDescent="0.3">
      <c r="A355" s="10">
        <v>346</v>
      </c>
      <c r="B355" s="10" t="s">
        <v>105</v>
      </c>
      <c r="C355" s="10" t="s">
        <v>29</v>
      </c>
      <c r="D355" s="10">
        <v>2023</v>
      </c>
      <c r="E355" s="4">
        <v>1905</v>
      </c>
      <c r="F355" s="8" t="s">
        <v>162</v>
      </c>
      <c r="G355" s="2">
        <v>0.17</v>
      </c>
      <c r="H355" s="11">
        <f>G355*E355</f>
        <v>323.85000000000002</v>
      </c>
      <c r="I355" s="5">
        <v>2017</v>
      </c>
      <c r="J355" s="1" t="s">
        <v>12</v>
      </c>
      <c r="K355" s="1" t="s">
        <v>27</v>
      </c>
      <c r="L355" s="1" t="s">
        <v>28</v>
      </c>
    </row>
    <row r="356" spans="1:12" x14ac:dyDescent="0.3">
      <c r="A356" s="10">
        <v>347</v>
      </c>
      <c r="B356" s="10" t="s">
        <v>105</v>
      </c>
      <c r="C356" s="10" t="s">
        <v>30</v>
      </c>
      <c r="D356" s="10">
        <v>2023</v>
      </c>
      <c r="E356" s="4">
        <v>1953</v>
      </c>
      <c r="F356" s="8" t="s">
        <v>162</v>
      </c>
      <c r="G356" s="2">
        <v>7.0000000000000007E-2</v>
      </c>
      <c r="H356" s="11">
        <f>E356*G356</f>
        <v>136.71</v>
      </c>
      <c r="I356" s="5">
        <v>2018</v>
      </c>
      <c r="J356" s="1" t="s">
        <v>8</v>
      </c>
      <c r="K356" s="1" t="s">
        <v>27</v>
      </c>
      <c r="L356" s="1" t="s">
        <v>28</v>
      </c>
    </row>
    <row r="357" spans="1:12" x14ac:dyDescent="0.3">
      <c r="A357" s="10">
        <v>348</v>
      </c>
      <c r="B357" s="10" t="s">
        <v>105</v>
      </c>
      <c r="C357" s="10" t="s">
        <v>31</v>
      </c>
      <c r="D357" s="10">
        <v>2023</v>
      </c>
      <c r="E357" s="4">
        <v>1905.1398337112623</v>
      </c>
      <c r="F357" s="8" t="s">
        <v>162</v>
      </c>
      <c r="G357" s="2">
        <v>0.04</v>
      </c>
      <c r="H357" s="11">
        <f>E357*G357</f>
        <v>76.205593348450492</v>
      </c>
      <c r="I357" s="5">
        <v>2016</v>
      </c>
      <c r="J357" s="1" t="s">
        <v>8</v>
      </c>
      <c r="K357" s="1" t="s">
        <v>27</v>
      </c>
      <c r="L357" s="1" t="s">
        <v>28</v>
      </c>
    </row>
    <row r="358" spans="1:12" x14ac:dyDescent="0.3">
      <c r="A358" s="10">
        <v>349</v>
      </c>
      <c r="B358" s="10" t="s">
        <v>105</v>
      </c>
      <c r="C358" s="10" t="s">
        <v>32</v>
      </c>
      <c r="D358" s="10">
        <v>2023</v>
      </c>
      <c r="E358" s="4">
        <v>1953</v>
      </c>
      <c r="F358" s="8" t="s">
        <v>162</v>
      </c>
      <c r="G358" s="2">
        <v>0</v>
      </c>
      <c r="H358" s="11">
        <v>0</v>
      </c>
      <c r="I358" s="5">
        <v>2014</v>
      </c>
      <c r="J358" s="1" t="s">
        <v>8</v>
      </c>
      <c r="K358" s="1" t="s">
        <v>27</v>
      </c>
      <c r="L358" s="1" t="s">
        <v>28</v>
      </c>
    </row>
    <row r="359" spans="1:12" x14ac:dyDescent="0.3">
      <c r="A359" s="10">
        <v>350</v>
      </c>
      <c r="B359" s="10" t="s">
        <v>105</v>
      </c>
      <c r="C359" s="10" t="s">
        <v>33</v>
      </c>
      <c r="D359" s="10">
        <v>2023</v>
      </c>
      <c r="E359" s="4">
        <v>1953</v>
      </c>
      <c r="F359" s="8" t="s">
        <v>162</v>
      </c>
      <c r="G359" s="2">
        <v>5.0000000000000711E-2</v>
      </c>
      <c r="H359" s="11">
        <v>97.650000000001384</v>
      </c>
      <c r="I359" s="5">
        <v>2019</v>
      </c>
      <c r="J359" s="1" t="s">
        <v>12</v>
      </c>
      <c r="K359" s="1" t="s">
        <v>9</v>
      </c>
      <c r="L359" s="1" t="s">
        <v>132</v>
      </c>
    </row>
    <row r="360" spans="1:12" x14ac:dyDescent="0.3">
      <c r="A360" s="10">
        <v>351</v>
      </c>
      <c r="B360" s="10" t="s">
        <v>105</v>
      </c>
      <c r="C360" s="10" t="s">
        <v>35</v>
      </c>
      <c r="D360" s="10">
        <v>2023</v>
      </c>
      <c r="E360" s="4">
        <v>1953</v>
      </c>
      <c r="F360" s="8" t="s">
        <v>162</v>
      </c>
      <c r="G360" s="2">
        <v>0.06</v>
      </c>
      <c r="H360" s="11">
        <v>117.17999999999999</v>
      </c>
      <c r="I360" s="5">
        <v>2019</v>
      </c>
      <c r="J360" s="1" t="s">
        <v>12</v>
      </c>
      <c r="K360" s="1" t="s">
        <v>9</v>
      </c>
      <c r="L360" s="1" t="s">
        <v>132</v>
      </c>
    </row>
    <row r="361" spans="1:12" x14ac:dyDescent="0.3">
      <c r="A361" s="10">
        <v>352</v>
      </c>
      <c r="B361" s="10" t="s">
        <v>105</v>
      </c>
      <c r="C361" s="10" t="s">
        <v>36</v>
      </c>
      <c r="D361" s="10">
        <v>2023</v>
      </c>
      <c r="E361" s="4">
        <v>1953</v>
      </c>
      <c r="F361" s="8" t="s">
        <v>162</v>
      </c>
      <c r="G361" s="2">
        <v>0.03</v>
      </c>
      <c r="H361" s="11">
        <v>58.589999999999996</v>
      </c>
      <c r="I361" s="5">
        <v>2019</v>
      </c>
      <c r="J361" s="1" t="s">
        <v>12</v>
      </c>
      <c r="K361" s="1" t="s">
        <v>9</v>
      </c>
      <c r="L361" s="1" t="s">
        <v>132</v>
      </c>
    </row>
    <row r="362" spans="1:12" x14ac:dyDescent="0.3">
      <c r="A362" s="10">
        <v>353</v>
      </c>
      <c r="B362" s="10" t="s">
        <v>105</v>
      </c>
      <c r="C362" s="10" t="s">
        <v>37</v>
      </c>
      <c r="D362" s="10">
        <v>2023</v>
      </c>
      <c r="E362" s="4">
        <v>1780</v>
      </c>
      <c r="F362" s="8" t="s">
        <v>162</v>
      </c>
      <c r="G362" s="2">
        <v>0.63000000000000078</v>
      </c>
      <c r="H362" s="11">
        <v>1121.4000000000015</v>
      </c>
      <c r="I362" s="5">
        <v>2020</v>
      </c>
      <c r="J362" s="1" t="s">
        <v>12</v>
      </c>
      <c r="K362" s="1" t="s">
        <v>9</v>
      </c>
      <c r="L362" s="1" t="s">
        <v>132</v>
      </c>
    </row>
    <row r="363" spans="1:12" x14ac:dyDescent="0.3">
      <c r="A363" s="10">
        <v>354</v>
      </c>
      <c r="B363" s="10" t="s">
        <v>105</v>
      </c>
      <c r="C363" s="10" t="s">
        <v>38</v>
      </c>
      <c r="D363" s="10">
        <v>2023</v>
      </c>
      <c r="E363" s="4">
        <v>1780</v>
      </c>
      <c r="F363" s="8" t="s">
        <v>162</v>
      </c>
      <c r="G363" s="2">
        <v>0.36999999999999922</v>
      </c>
      <c r="H363" s="11">
        <v>658.59999999999866</v>
      </c>
      <c r="I363" s="5">
        <v>2020</v>
      </c>
      <c r="J363" s="1" t="s">
        <v>12</v>
      </c>
      <c r="K363" s="1" t="s">
        <v>9</v>
      </c>
      <c r="L363" s="1" t="s">
        <v>132</v>
      </c>
    </row>
    <row r="364" spans="1:12" x14ac:dyDescent="0.3">
      <c r="A364" s="10">
        <v>355</v>
      </c>
      <c r="B364" s="10" t="s">
        <v>105</v>
      </c>
      <c r="C364" s="10" t="s">
        <v>39</v>
      </c>
      <c r="D364" s="10">
        <v>2023</v>
      </c>
      <c r="E364" s="4">
        <v>1780</v>
      </c>
      <c r="F364" s="8" t="s">
        <v>162</v>
      </c>
      <c r="G364" s="2">
        <v>0.09</v>
      </c>
      <c r="H364" s="11">
        <v>160.19999999999999</v>
      </c>
      <c r="I364" s="5">
        <v>2020</v>
      </c>
      <c r="J364" s="1" t="s">
        <v>12</v>
      </c>
      <c r="K364" s="1" t="s">
        <v>9</v>
      </c>
      <c r="L364" s="1" t="s">
        <v>132</v>
      </c>
    </row>
    <row r="365" spans="1:12" x14ac:dyDescent="0.3">
      <c r="A365" s="10">
        <v>356</v>
      </c>
      <c r="B365" s="10" t="s">
        <v>105</v>
      </c>
      <c r="C365" s="10" t="s">
        <v>40</v>
      </c>
      <c r="D365" s="10">
        <v>2023</v>
      </c>
      <c r="E365" s="4">
        <v>1780</v>
      </c>
      <c r="F365" s="8" t="s">
        <v>162</v>
      </c>
      <c r="G365" s="2">
        <v>0.11</v>
      </c>
      <c r="H365" s="11">
        <f>G365*E365</f>
        <v>195.8</v>
      </c>
      <c r="I365" s="5">
        <v>2020</v>
      </c>
      <c r="J365" s="1" t="s">
        <v>12</v>
      </c>
      <c r="K365" s="1" t="s">
        <v>27</v>
      </c>
      <c r="L365" s="1" t="s">
        <v>34</v>
      </c>
    </row>
    <row r="366" spans="1:12" x14ac:dyDescent="0.3">
      <c r="A366" s="10">
        <v>357</v>
      </c>
      <c r="B366" s="10" t="s">
        <v>105</v>
      </c>
      <c r="C366" s="10" t="s">
        <v>41</v>
      </c>
      <c r="D366" s="10">
        <v>2023</v>
      </c>
      <c r="E366" s="4">
        <v>1780</v>
      </c>
      <c r="F366" s="8" t="s">
        <v>162</v>
      </c>
      <c r="G366" s="2">
        <v>0.06</v>
      </c>
      <c r="H366" s="11">
        <f>E366*G366</f>
        <v>106.8</v>
      </c>
      <c r="I366" s="5">
        <v>2020</v>
      </c>
      <c r="J366" s="1" t="s">
        <v>12</v>
      </c>
      <c r="K366" s="1" t="s">
        <v>27</v>
      </c>
      <c r="L366" s="1" t="s">
        <v>34</v>
      </c>
    </row>
    <row r="367" spans="1:12" x14ac:dyDescent="0.3">
      <c r="A367" s="10">
        <v>358</v>
      </c>
      <c r="B367" s="10" t="s">
        <v>105</v>
      </c>
      <c r="C367" s="10" t="s">
        <v>42</v>
      </c>
      <c r="D367" s="10">
        <v>2023</v>
      </c>
      <c r="E367" s="4">
        <v>1780</v>
      </c>
      <c r="F367" s="8" t="s">
        <v>162</v>
      </c>
      <c r="G367" s="2">
        <v>0.05</v>
      </c>
      <c r="H367" s="11">
        <f>E367*G367</f>
        <v>89</v>
      </c>
      <c r="I367" s="5">
        <v>2020</v>
      </c>
      <c r="J367" s="1" t="s">
        <v>12</v>
      </c>
      <c r="K367" s="1" t="s">
        <v>27</v>
      </c>
      <c r="L367" s="1" t="s">
        <v>34</v>
      </c>
    </row>
    <row r="368" spans="1:12" x14ac:dyDescent="0.3">
      <c r="A368" s="10">
        <v>359</v>
      </c>
      <c r="B368" s="10" t="s">
        <v>105</v>
      </c>
      <c r="C368" s="10" t="s">
        <v>43</v>
      </c>
      <c r="D368" s="10">
        <v>2023</v>
      </c>
      <c r="E368" s="4">
        <v>1780</v>
      </c>
      <c r="F368" s="8" t="s">
        <v>162</v>
      </c>
      <c r="G368" s="2">
        <v>7.0000000000000007E-2</v>
      </c>
      <c r="H368" s="11">
        <f>E368*G368</f>
        <v>124.60000000000001</v>
      </c>
      <c r="I368" s="5">
        <v>2020</v>
      </c>
      <c r="J368" s="1" t="s">
        <v>12</v>
      </c>
      <c r="K368" s="1" t="s">
        <v>27</v>
      </c>
      <c r="L368" s="1" t="s">
        <v>34</v>
      </c>
    </row>
    <row r="369" spans="1:12" x14ac:dyDescent="0.3">
      <c r="A369" s="10">
        <v>360</v>
      </c>
      <c r="B369" s="10" t="s">
        <v>105</v>
      </c>
      <c r="C369" s="10" t="s">
        <v>44</v>
      </c>
      <c r="D369" s="10">
        <v>2023</v>
      </c>
      <c r="E369" s="4">
        <v>1780</v>
      </c>
      <c r="F369" s="8" t="s">
        <v>162</v>
      </c>
      <c r="G369" s="2">
        <v>7.0000000000000007E-2</v>
      </c>
      <c r="H369" s="11">
        <f>E369*G369</f>
        <v>124.60000000000001</v>
      </c>
      <c r="I369" s="5">
        <v>2022</v>
      </c>
      <c r="J369" s="1" t="s">
        <v>12</v>
      </c>
      <c r="K369" s="1" t="s">
        <v>9</v>
      </c>
      <c r="L369" s="1" t="s">
        <v>10</v>
      </c>
    </row>
    <row r="370" spans="1:12" x14ac:dyDescent="0.3">
      <c r="A370" s="10">
        <v>361</v>
      </c>
      <c r="B370" s="10" t="s">
        <v>108</v>
      </c>
      <c r="C370" s="10" t="s">
        <v>51</v>
      </c>
      <c r="D370" s="10">
        <v>2023</v>
      </c>
      <c r="E370" s="4">
        <v>1780</v>
      </c>
      <c r="F370" s="8" t="s">
        <v>162</v>
      </c>
      <c r="G370" s="2">
        <v>0.05</v>
      </c>
      <c r="H370" s="3">
        <v>89</v>
      </c>
      <c r="I370" s="1">
        <v>2018</v>
      </c>
      <c r="J370" s="1" t="s">
        <v>12</v>
      </c>
      <c r="K370" s="1" t="s">
        <v>9</v>
      </c>
      <c r="L370" s="1" t="s">
        <v>46</v>
      </c>
    </row>
    <row r="371" spans="1:12" x14ac:dyDescent="0.3">
      <c r="A371" s="10">
        <v>362</v>
      </c>
      <c r="B371" s="10" t="s">
        <v>108</v>
      </c>
      <c r="C371" s="10" t="s">
        <v>52</v>
      </c>
      <c r="D371" s="10">
        <v>2023</v>
      </c>
      <c r="E371" s="4">
        <v>1905</v>
      </c>
      <c r="F371" s="8" t="s">
        <v>162</v>
      </c>
      <c r="G371" s="2">
        <f>0.31+2.29-1.98</f>
        <v>0.62000000000000011</v>
      </c>
      <c r="H371" s="3">
        <f>G371*E371</f>
        <v>1181.1000000000001</v>
      </c>
      <c r="I371" s="1">
        <v>2018</v>
      </c>
      <c r="J371" s="1" t="s">
        <v>8</v>
      </c>
      <c r="K371" s="1" t="s">
        <v>27</v>
      </c>
      <c r="L371" s="1" t="s">
        <v>53</v>
      </c>
    </row>
    <row r="372" spans="1:12" x14ac:dyDescent="0.3">
      <c r="A372" s="10">
        <v>363</v>
      </c>
      <c r="B372" s="10" t="s">
        <v>108</v>
      </c>
      <c r="C372" s="10" t="s">
        <v>54</v>
      </c>
      <c r="D372" s="10">
        <v>2023</v>
      </c>
      <c r="E372" s="4">
        <v>1905</v>
      </c>
      <c r="F372" s="8" t="s">
        <v>162</v>
      </c>
      <c r="G372" s="2">
        <f>1.16+13.61-12.45</f>
        <v>2.3200000000000003</v>
      </c>
      <c r="H372" s="3">
        <f>E372*G372</f>
        <v>4419.6000000000004</v>
      </c>
      <c r="I372" s="1">
        <v>2017</v>
      </c>
      <c r="J372" s="1" t="s">
        <v>8</v>
      </c>
      <c r="K372" s="1" t="s">
        <v>27</v>
      </c>
      <c r="L372" s="1" t="s">
        <v>53</v>
      </c>
    </row>
    <row r="373" spans="1:12" x14ac:dyDescent="0.3">
      <c r="A373" s="10">
        <v>364</v>
      </c>
      <c r="B373" s="10" t="s">
        <v>108</v>
      </c>
      <c r="C373" s="10" t="s">
        <v>55</v>
      </c>
      <c r="D373" s="10">
        <v>2023</v>
      </c>
      <c r="E373" s="4">
        <v>1905</v>
      </c>
      <c r="F373" s="8" t="s">
        <v>162</v>
      </c>
      <c r="G373" s="2">
        <f>11.9-10.7</f>
        <v>1.2000000000000011</v>
      </c>
      <c r="H373" s="3">
        <f>G373*E373</f>
        <v>2286.0000000000018</v>
      </c>
      <c r="I373" s="1">
        <v>2017</v>
      </c>
      <c r="J373" s="1" t="s">
        <v>8</v>
      </c>
      <c r="K373" s="1" t="s">
        <v>27</v>
      </c>
      <c r="L373" s="1" t="s">
        <v>53</v>
      </c>
    </row>
    <row r="374" spans="1:12" x14ac:dyDescent="0.3">
      <c r="A374" s="10">
        <v>365</v>
      </c>
      <c r="B374" s="10" t="s">
        <v>108</v>
      </c>
      <c r="C374" s="10" t="s">
        <v>56</v>
      </c>
      <c r="D374" s="10">
        <v>2023</v>
      </c>
      <c r="E374" s="4">
        <v>1905</v>
      </c>
      <c r="F374" s="8" t="s">
        <v>162</v>
      </c>
      <c r="G374" s="2">
        <f>13.77-9.39</f>
        <v>4.379999999999999</v>
      </c>
      <c r="H374" s="3">
        <f>E374*G374</f>
        <v>8343.8999999999978</v>
      </c>
      <c r="I374" s="1">
        <v>2016</v>
      </c>
      <c r="J374" s="1" t="s">
        <v>8</v>
      </c>
      <c r="K374" s="1" t="s">
        <v>27</v>
      </c>
      <c r="L374" s="1" t="s">
        <v>53</v>
      </c>
    </row>
    <row r="375" spans="1:12" x14ac:dyDescent="0.3">
      <c r="A375" s="10">
        <v>366</v>
      </c>
      <c r="B375" s="10" t="s">
        <v>108</v>
      </c>
      <c r="C375" s="10" t="s">
        <v>57</v>
      </c>
      <c r="D375" s="10">
        <v>2023</v>
      </c>
      <c r="E375" s="4">
        <v>1905</v>
      </c>
      <c r="F375" s="8" t="s">
        <v>162</v>
      </c>
      <c r="G375" s="2">
        <f>14.09-11.41</f>
        <v>2.6799999999999997</v>
      </c>
      <c r="H375" s="3">
        <f>E375*G375</f>
        <v>5105.3999999999996</v>
      </c>
      <c r="I375" s="1">
        <v>2016</v>
      </c>
      <c r="J375" s="1" t="s">
        <v>8</v>
      </c>
      <c r="K375" s="1" t="s">
        <v>27</v>
      </c>
      <c r="L375" s="1" t="s">
        <v>53</v>
      </c>
    </row>
    <row r="376" spans="1:12" x14ac:dyDescent="0.3">
      <c r="A376" s="10">
        <v>367</v>
      </c>
      <c r="B376" s="10" t="s">
        <v>108</v>
      </c>
      <c r="C376" s="10" t="s">
        <v>58</v>
      </c>
      <c r="D376" s="10">
        <v>2023</v>
      </c>
      <c r="E376" s="4">
        <v>1905</v>
      </c>
      <c r="F376" s="8" t="s">
        <v>162</v>
      </c>
      <c r="G376" s="2">
        <f>7.21-6.19</f>
        <v>1.0199999999999996</v>
      </c>
      <c r="H376" s="3">
        <f>E376*G376</f>
        <v>1943.0999999999992</v>
      </c>
      <c r="I376" s="1">
        <v>2016</v>
      </c>
      <c r="J376" s="1" t="s">
        <v>8</v>
      </c>
      <c r="K376" s="1" t="s">
        <v>27</v>
      </c>
      <c r="L376" s="1" t="s">
        <v>53</v>
      </c>
    </row>
    <row r="377" spans="1:12" x14ac:dyDescent="0.3">
      <c r="A377" s="9">
        <v>368</v>
      </c>
      <c r="B377" s="10" t="s">
        <v>105</v>
      </c>
      <c r="C377" s="10" t="s">
        <v>6</v>
      </c>
      <c r="D377" s="10">
        <v>2023</v>
      </c>
      <c r="E377" s="14"/>
      <c r="F377" s="8" t="s">
        <v>162</v>
      </c>
      <c r="G377" s="2">
        <f>0</f>
        <v>0</v>
      </c>
      <c r="H377" s="3">
        <f>0</f>
        <v>0</v>
      </c>
      <c r="I377" s="1">
        <v>2023</v>
      </c>
      <c r="J377" s="1"/>
      <c r="K377" s="1"/>
      <c r="L377" s="1" t="s">
        <v>10</v>
      </c>
    </row>
    <row r="378" spans="1:12" x14ac:dyDescent="0.3">
      <c r="A378" s="9">
        <v>369</v>
      </c>
      <c r="B378" s="10" t="s">
        <v>105</v>
      </c>
      <c r="C378" s="10" t="s">
        <v>11</v>
      </c>
      <c r="D378" s="10">
        <v>2023</v>
      </c>
      <c r="E378" s="14"/>
      <c r="F378" s="8" t="s">
        <v>162</v>
      </c>
      <c r="G378" s="2">
        <f>0</f>
        <v>0</v>
      </c>
      <c r="H378" s="3">
        <f>0</f>
        <v>0</v>
      </c>
      <c r="I378" s="1">
        <v>2023</v>
      </c>
      <c r="J378" s="4" t="s">
        <v>12</v>
      </c>
      <c r="K378" s="4" t="s">
        <v>9</v>
      </c>
      <c r="L378" s="1" t="s">
        <v>10</v>
      </c>
    </row>
    <row r="379" spans="1:12" x14ac:dyDescent="0.3">
      <c r="A379" s="9">
        <v>370</v>
      </c>
      <c r="B379" s="10" t="s">
        <v>105</v>
      </c>
      <c r="C379" s="10" t="s">
        <v>13</v>
      </c>
      <c r="D379" s="10">
        <v>2023</v>
      </c>
      <c r="E379" s="14"/>
      <c r="F379" s="8" t="s">
        <v>162</v>
      </c>
      <c r="G379" s="2">
        <f>0</f>
        <v>0</v>
      </c>
      <c r="H379" s="3">
        <f>0</f>
        <v>0</v>
      </c>
      <c r="I379" s="1">
        <v>2023</v>
      </c>
      <c r="J379" s="1"/>
      <c r="K379" s="1"/>
      <c r="L379" s="1" t="s">
        <v>10</v>
      </c>
    </row>
    <row r="380" spans="1:12" x14ac:dyDescent="0.3">
      <c r="A380" s="10">
        <v>371</v>
      </c>
      <c r="B380" s="10" t="s">
        <v>163</v>
      </c>
      <c r="C380" s="10" t="s">
        <v>88</v>
      </c>
      <c r="D380" s="10">
        <v>2023</v>
      </c>
      <c r="E380" s="4">
        <v>1838</v>
      </c>
      <c r="F380" s="8" t="s">
        <v>162</v>
      </c>
      <c r="G380" s="2">
        <v>2.0299999999999998</v>
      </c>
      <c r="H380" s="3">
        <f>E380*G380</f>
        <v>3731.1399999999994</v>
      </c>
      <c r="I380" s="1">
        <v>2021</v>
      </c>
      <c r="J380" s="1" t="s">
        <v>8</v>
      </c>
      <c r="K380" s="1" t="s">
        <v>27</v>
      </c>
      <c r="L380" s="1" t="s">
        <v>34</v>
      </c>
    </row>
    <row r="381" spans="1:12" x14ac:dyDescent="0.3">
      <c r="A381" s="10">
        <v>372</v>
      </c>
      <c r="B381" s="10" t="s">
        <v>163</v>
      </c>
      <c r="C381" s="10" t="s">
        <v>89</v>
      </c>
      <c r="D381" s="10">
        <v>2023</v>
      </c>
      <c r="E381" s="4">
        <v>1838</v>
      </c>
      <c r="F381" s="8" t="s">
        <v>162</v>
      </c>
      <c r="G381" s="2">
        <v>1.85</v>
      </c>
      <c r="H381" s="3">
        <f>E381*G381</f>
        <v>3400.3</v>
      </c>
      <c r="I381" s="1">
        <v>2021</v>
      </c>
      <c r="J381" s="1" t="s">
        <v>8</v>
      </c>
      <c r="K381" s="1" t="s">
        <v>27</v>
      </c>
      <c r="L381" s="1" t="s">
        <v>34</v>
      </c>
    </row>
    <row r="382" spans="1:12" x14ac:dyDescent="0.3">
      <c r="A382" s="10">
        <v>373</v>
      </c>
      <c r="B382" s="10" t="s">
        <v>163</v>
      </c>
      <c r="C382" s="10" t="s">
        <v>90</v>
      </c>
      <c r="D382" s="10">
        <v>2023</v>
      </c>
      <c r="E382" s="7">
        <v>1905</v>
      </c>
      <c r="F382" s="8" t="s">
        <v>162</v>
      </c>
      <c r="G382" s="2">
        <v>0.04</v>
      </c>
      <c r="H382" s="3">
        <f>E382*G382</f>
        <v>76.2</v>
      </c>
      <c r="I382" s="1">
        <v>2022</v>
      </c>
      <c r="J382" s="1" t="s">
        <v>8</v>
      </c>
      <c r="K382" s="1" t="s">
        <v>27</v>
      </c>
      <c r="L382" s="1" t="s">
        <v>53</v>
      </c>
    </row>
    <row r="383" spans="1:12" x14ac:dyDescent="0.3">
      <c r="A383" s="10">
        <v>374</v>
      </c>
      <c r="B383" s="10" t="s">
        <v>163</v>
      </c>
      <c r="C383" s="10" t="s">
        <v>92</v>
      </c>
      <c r="D383" s="10">
        <v>2023</v>
      </c>
      <c r="E383" s="7">
        <v>1905</v>
      </c>
      <c r="F383" s="8" t="s">
        <v>162</v>
      </c>
      <c r="G383" s="2">
        <v>0.01</v>
      </c>
      <c r="H383" s="3">
        <f>E383*G383</f>
        <v>19.05</v>
      </c>
      <c r="I383" s="1">
        <v>2022</v>
      </c>
      <c r="J383" s="1" t="s">
        <v>8</v>
      </c>
      <c r="K383" s="1" t="s">
        <v>27</v>
      </c>
      <c r="L383" s="1" t="s">
        <v>53</v>
      </c>
    </row>
    <row r="384" spans="1:12" x14ac:dyDescent="0.3">
      <c r="A384" s="10">
        <v>375</v>
      </c>
      <c r="B384" s="10" t="s">
        <v>163</v>
      </c>
      <c r="C384" s="10" t="s">
        <v>80</v>
      </c>
      <c r="D384" s="10">
        <v>2023</v>
      </c>
      <c r="E384" s="7">
        <v>1905</v>
      </c>
      <c r="F384" s="8" t="s">
        <v>162</v>
      </c>
      <c r="G384" s="2">
        <v>0</v>
      </c>
      <c r="H384" s="3">
        <v>0</v>
      </c>
      <c r="I384" s="1">
        <v>2022</v>
      </c>
      <c r="J384" s="1" t="s">
        <v>8</v>
      </c>
      <c r="K384" s="1" t="s">
        <v>27</v>
      </c>
      <c r="L384" s="1" t="s">
        <v>53</v>
      </c>
    </row>
    <row r="385" spans="1:12" x14ac:dyDescent="0.3">
      <c r="A385" s="10">
        <v>376</v>
      </c>
      <c r="B385" s="10" t="s">
        <v>163</v>
      </c>
      <c r="C385" s="10" t="s">
        <v>93</v>
      </c>
      <c r="D385" s="10">
        <v>2023</v>
      </c>
      <c r="E385" s="7">
        <v>1905</v>
      </c>
      <c r="F385" s="8" t="s">
        <v>162</v>
      </c>
      <c r="G385" s="2">
        <v>0.01</v>
      </c>
      <c r="H385" s="3">
        <f>E385*G385</f>
        <v>19.05</v>
      </c>
      <c r="I385" s="1">
        <v>2022</v>
      </c>
      <c r="J385" s="1" t="s">
        <v>8</v>
      </c>
      <c r="K385" s="1" t="s">
        <v>27</v>
      </c>
      <c r="L385" s="1" t="s">
        <v>153</v>
      </c>
    </row>
    <row r="386" spans="1:12" x14ac:dyDescent="0.3">
      <c r="A386" s="10">
        <v>377</v>
      </c>
      <c r="B386" s="10" t="s">
        <v>163</v>
      </c>
      <c r="C386" s="10" t="s">
        <v>94</v>
      </c>
      <c r="D386" s="10">
        <v>2023</v>
      </c>
      <c r="E386" s="7">
        <v>1905</v>
      </c>
      <c r="F386" s="8" t="s">
        <v>162</v>
      </c>
      <c r="G386" s="2">
        <v>0.5</v>
      </c>
      <c r="H386" s="3">
        <f>E386*G386</f>
        <v>952.5</v>
      </c>
      <c r="I386" s="1">
        <v>2022</v>
      </c>
      <c r="J386" s="1" t="s">
        <v>8</v>
      </c>
      <c r="K386" s="1" t="s">
        <v>27</v>
      </c>
      <c r="L386" s="1" t="s">
        <v>153</v>
      </c>
    </row>
    <row r="387" spans="1:12" x14ac:dyDescent="0.3">
      <c r="A387" s="10">
        <v>378</v>
      </c>
      <c r="B387" s="10" t="s">
        <v>163</v>
      </c>
      <c r="C387" s="10" t="s">
        <v>95</v>
      </c>
      <c r="D387" s="10">
        <v>2023</v>
      </c>
      <c r="E387" s="7">
        <v>1905</v>
      </c>
      <c r="F387" s="8" t="s">
        <v>162</v>
      </c>
      <c r="G387" s="2">
        <v>0.2</v>
      </c>
      <c r="H387" s="3">
        <f>E387*G387</f>
        <v>381</v>
      </c>
      <c r="I387" s="1">
        <v>2022</v>
      </c>
      <c r="J387" s="1" t="s">
        <v>8</v>
      </c>
      <c r="K387" s="1" t="s">
        <v>27</v>
      </c>
      <c r="L387" s="1" t="s">
        <v>153</v>
      </c>
    </row>
    <row r="388" spans="1:12" x14ac:dyDescent="0.3">
      <c r="A388" s="10">
        <v>379</v>
      </c>
      <c r="B388" s="10" t="s">
        <v>163</v>
      </c>
      <c r="C388" s="10" t="s">
        <v>96</v>
      </c>
      <c r="D388" s="10">
        <v>2023</v>
      </c>
      <c r="E388" s="7">
        <v>1905</v>
      </c>
      <c r="F388" s="8" t="s">
        <v>162</v>
      </c>
      <c r="G388" s="2">
        <v>0</v>
      </c>
      <c r="H388" s="3">
        <v>0</v>
      </c>
      <c r="I388" s="1">
        <v>2022</v>
      </c>
      <c r="J388" s="1" t="s">
        <v>12</v>
      </c>
      <c r="K388" s="1" t="s">
        <v>27</v>
      </c>
      <c r="L388" s="1" t="s">
        <v>136</v>
      </c>
    </row>
    <row r="389" spans="1:12" x14ac:dyDescent="0.3">
      <c r="A389" s="10">
        <v>380</v>
      </c>
      <c r="B389" s="10" t="s">
        <v>163</v>
      </c>
      <c r="C389" s="10" t="s">
        <v>97</v>
      </c>
      <c r="D389" s="10">
        <v>2023</v>
      </c>
      <c r="E389" s="7">
        <v>1905</v>
      </c>
      <c r="F389" s="8" t="s">
        <v>162</v>
      </c>
      <c r="G389" s="2">
        <v>0</v>
      </c>
      <c r="H389" s="3">
        <v>0</v>
      </c>
      <c r="I389" s="1">
        <v>2022</v>
      </c>
      <c r="J389" s="1" t="s">
        <v>12</v>
      </c>
      <c r="K389" s="1" t="s">
        <v>27</v>
      </c>
      <c r="L389" s="1" t="s">
        <v>136</v>
      </c>
    </row>
    <row r="390" spans="1:12" x14ac:dyDescent="0.3">
      <c r="A390" s="10">
        <v>381</v>
      </c>
      <c r="B390" s="10" t="s">
        <v>163</v>
      </c>
      <c r="C390" s="10" t="s">
        <v>98</v>
      </c>
      <c r="D390" s="10">
        <v>2023</v>
      </c>
      <c r="E390" s="7">
        <v>1905</v>
      </c>
      <c r="F390" s="8" t="s">
        <v>162</v>
      </c>
      <c r="G390" s="2">
        <v>0</v>
      </c>
      <c r="H390" s="3">
        <v>0</v>
      </c>
      <c r="I390" s="1">
        <v>2022</v>
      </c>
      <c r="J390" s="1" t="s">
        <v>12</v>
      </c>
      <c r="K390" s="1" t="s">
        <v>27</v>
      </c>
      <c r="L390" s="1" t="s">
        <v>136</v>
      </c>
    </row>
    <row r="391" spans="1:12" x14ac:dyDescent="0.3">
      <c r="A391" s="10">
        <v>382</v>
      </c>
      <c r="B391" s="10" t="s">
        <v>163</v>
      </c>
      <c r="C391" s="10" t="s">
        <v>99</v>
      </c>
      <c r="D391" s="10">
        <v>2023</v>
      </c>
      <c r="E391" s="8">
        <v>1754</v>
      </c>
      <c r="F391" s="8" t="s">
        <v>162</v>
      </c>
      <c r="G391" s="2">
        <v>0</v>
      </c>
      <c r="H391" s="3">
        <v>0</v>
      </c>
      <c r="I391" s="1">
        <v>2022</v>
      </c>
      <c r="J391" s="1" t="s">
        <v>8</v>
      </c>
      <c r="K391" s="1" t="s">
        <v>27</v>
      </c>
      <c r="L391" s="1" t="s">
        <v>134</v>
      </c>
    </row>
    <row r="392" spans="1:12" x14ac:dyDescent="0.3">
      <c r="A392" s="10">
        <v>383</v>
      </c>
      <c r="B392" s="10" t="s">
        <v>163</v>
      </c>
      <c r="C392" s="10" t="s">
        <v>100</v>
      </c>
      <c r="D392" s="10">
        <v>2023</v>
      </c>
      <c r="E392" s="8">
        <v>1754</v>
      </c>
      <c r="F392" s="8" t="s">
        <v>162</v>
      </c>
      <c r="G392" s="2">
        <f>8.3-6.7+1.63</f>
        <v>3.2300000000000004</v>
      </c>
      <c r="H392" s="3">
        <f>E392*G392</f>
        <v>5665.420000000001</v>
      </c>
      <c r="I392" s="1">
        <v>2022</v>
      </c>
      <c r="J392" s="1" t="s">
        <v>8</v>
      </c>
      <c r="K392" s="1" t="s">
        <v>27</v>
      </c>
      <c r="L392" s="1" t="s">
        <v>134</v>
      </c>
    </row>
    <row r="393" spans="1:12" x14ac:dyDescent="0.3">
      <c r="A393" s="12">
        <v>384</v>
      </c>
      <c r="B393" s="12" t="s">
        <v>117</v>
      </c>
      <c r="C393" s="12" t="s">
        <v>45</v>
      </c>
      <c r="D393" s="10">
        <v>2023</v>
      </c>
      <c r="E393" s="12"/>
      <c r="F393" s="8" t="s">
        <v>162</v>
      </c>
      <c r="G393" s="2">
        <v>5.93</v>
      </c>
      <c r="H393" s="3">
        <v>15392</v>
      </c>
      <c r="I393" s="1">
        <v>2023</v>
      </c>
      <c r="J393" s="1"/>
      <c r="K393" s="1"/>
      <c r="L393" s="1" t="s">
        <v>154</v>
      </c>
    </row>
    <row r="394" spans="1:12" x14ac:dyDescent="0.3">
      <c r="A394" s="12">
        <v>385</v>
      </c>
      <c r="B394" s="12" t="s">
        <v>117</v>
      </c>
      <c r="C394" s="12" t="s">
        <v>47</v>
      </c>
      <c r="D394" s="10">
        <v>2023</v>
      </c>
      <c r="E394" s="12"/>
      <c r="F394" s="8" t="s">
        <v>162</v>
      </c>
      <c r="G394" s="2">
        <v>11.29</v>
      </c>
      <c r="H394" s="3">
        <v>16707</v>
      </c>
      <c r="I394" s="1">
        <v>2023</v>
      </c>
      <c r="J394" s="1"/>
      <c r="K394" s="1"/>
      <c r="L394" s="1" t="s">
        <v>154</v>
      </c>
    </row>
    <row r="395" spans="1:12" x14ac:dyDescent="0.3">
      <c r="A395" s="10">
        <v>386</v>
      </c>
      <c r="B395" s="10" t="s">
        <v>112</v>
      </c>
      <c r="C395" s="10" t="s">
        <v>83</v>
      </c>
      <c r="D395" s="10">
        <v>2023</v>
      </c>
      <c r="E395" s="9">
        <v>1905</v>
      </c>
      <c r="F395" s="8" t="s">
        <v>162</v>
      </c>
      <c r="G395" s="2">
        <f>11.6-10.68</f>
        <v>0.91999999999999993</v>
      </c>
      <c r="H395" s="3">
        <f>E395*G395</f>
        <v>1752.6</v>
      </c>
      <c r="I395" s="1">
        <v>2023</v>
      </c>
      <c r="J395" s="1"/>
      <c r="K395" s="1"/>
      <c r="L395" s="1" t="s">
        <v>134</v>
      </c>
    </row>
    <row r="396" spans="1:12" x14ac:dyDescent="0.3">
      <c r="A396" s="10"/>
      <c r="B396" s="10" t="s">
        <v>116</v>
      </c>
      <c r="C396" s="10" t="s">
        <v>78</v>
      </c>
      <c r="D396" s="10">
        <v>2023</v>
      </c>
      <c r="E396" s="9"/>
      <c r="F396" s="8" t="s">
        <v>150</v>
      </c>
      <c r="G396" s="2">
        <v>0.13000000000000012</v>
      </c>
      <c r="H396" s="3"/>
      <c r="I396" s="1"/>
      <c r="J396" s="1"/>
      <c r="K396" s="1"/>
      <c r="L396" s="1" t="s">
        <v>137</v>
      </c>
    </row>
    <row r="397" spans="1:12" x14ac:dyDescent="0.3">
      <c r="A397" s="10"/>
      <c r="B397" s="10" t="s">
        <v>155</v>
      </c>
      <c r="C397" s="10" t="s">
        <v>78</v>
      </c>
      <c r="D397" s="10">
        <v>2023</v>
      </c>
      <c r="E397" s="9"/>
      <c r="F397" s="8" t="s">
        <v>150</v>
      </c>
      <c r="G397" s="2">
        <v>7.0000000000000062E-2</v>
      </c>
      <c r="H397" s="3"/>
      <c r="I397" s="1"/>
      <c r="J397" s="1"/>
      <c r="K397" s="1"/>
      <c r="L397" s="1" t="s">
        <v>137</v>
      </c>
    </row>
    <row r="398" spans="1:12" x14ac:dyDescent="0.3">
      <c r="A398" s="10"/>
      <c r="B398" s="10" t="s">
        <v>117</v>
      </c>
      <c r="C398" s="10" t="s">
        <v>78</v>
      </c>
      <c r="D398" s="10">
        <v>2023</v>
      </c>
      <c r="E398" s="9"/>
      <c r="F398" s="8" t="s">
        <v>150</v>
      </c>
      <c r="G398" s="2">
        <v>7.9999999999999988E-2</v>
      </c>
      <c r="H398" s="3"/>
      <c r="I398" s="1"/>
      <c r="J398" s="1"/>
      <c r="K398" s="1"/>
      <c r="L398" s="1" t="s">
        <v>137</v>
      </c>
    </row>
    <row r="399" spans="1:12" x14ac:dyDescent="0.3">
      <c r="A399" s="10"/>
      <c r="B399" s="10" t="s">
        <v>156</v>
      </c>
      <c r="C399" s="10" t="s">
        <v>78</v>
      </c>
      <c r="D399" s="10">
        <v>2023</v>
      </c>
      <c r="E399" s="9"/>
      <c r="F399" s="8" t="s">
        <v>150</v>
      </c>
      <c r="G399" s="2">
        <v>1.0000000000000009E-2</v>
      </c>
      <c r="H399" s="3"/>
      <c r="I399" s="1"/>
      <c r="J399" s="1"/>
      <c r="K399" s="1"/>
      <c r="L399" s="1" t="s">
        <v>137</v>
      </c>
    </row>
    <row r="400" spans="1:12" x14ac:dyDescent="0.3">
      <c r="A400" s="10"/>
      <c r="B400" s="10" t="s">
        <v>157</v>
      </c>
      <c r="C400" s="10" t="s">
        <v>78</v>
      </c>
      <c r="D400" s="10">
        <v>2023</v>
      </c>
      <c r="E400" s="9"/>
      <c r="F400" s="8" t="s">
        <v>150</v>
      </c>
      <c r="G400" s="2">
        <v>0</v>
      </c>
      <c r="H400" s="3"/>
      <c r="I400" s="1"/>
      <c r="J400" s="1"/>
      <c r="K400" s="1"/>
      <c r="L400" s="1" t="s">
        <v>137</v>
      </c>
    </row>
    <row r="401" spans="1:12" x14ac:dyDescent="0.3">
      <c r="A401" s="10"/>
      <c r="B401" s="10" t="s">
        <v>158</v>
      </c>
      <c r="C401" s="10" t="s">
        <v>78</v>
      </c>
      <c r="D401" s="10">
        <v>2023</v>
      </c>
      <c r="E401" s="9"/>
      <c r="F401" s="8" t="s">
        <v>150</v>
      </c>
      <c r="G401" s="2">
        <v>3.0000000000000027E-2</v>
      </c>
      <c r="H401" s="3"/>
      <c r="I401" s="1"/>
      <c r="J401" s="1"/>
      <c r="K401" s="1"/>
      <c r="L401" s="1" t="s">
        <v>137</v>
      </c>
    </row>
    <row r="402" spans="1:12" x14ac:dyDescent="0.3">
      <c r="A402" s="10"/>
      <c r="B402" s="10" t="s">
        <v>159</v>
      </c>
      <c r="C402" s="10" t="s">
        <v>78</v>
      </c>
      <c r="D402" s="10">
        <v>2023</v>
      </c>
      <c r="E402" s="9"/>
      <c r="F402" s="8" t="s">
        <v>150</v>
      </c>
      <c r="G402" s="2">
        <v>7.0000000000000007E-2</v>
      </c>
      <c r="H402" s="3"/>
      <c r="I402" s="1"/>
      <c r="J402" s="1"/>
      <c r="K402" s="1"/>
      <c r="L402" s="1" t="s">
        <v>137</v>
      </c>
    </row>
    <row r="403" spans="1:12" x14ac:dyDescent="0.3">
      <c r="A403" s="10"/>
      <c r="B403" s="10" t="s">
        <v>160</v>
      </c>
      <c r="C403" s="10" t="s">
        <v>78</v>
      </c>
      <c r="D403" s="10">
        <v>2023</v>
      </c>
      <c r="E403" s="9"/>
      <c r="F403" s="8" t="s">
        <v>150</v>
      </c>
      <c r="G403" s="2">
        <v>7.0000000000000007E-2</v>
      </c>
      <c r="H403" s="3"/>
      <c r="I403" s="1"/>
      <c r="J403" s="1"/>
      <c r="K403" s="1"/>
      <c r="L403" s="1" t="s">
        <v>137</v>
      </c>
    </row>
    <row r="404" spans="1:12" x14ac:dyDescent="0.3">
      <c r="A404" s="10">
        <v>387</v>
      </c>
      <c r="B404" s="10" t="s">
        <v>161</v>
      </c>
      <c r="C404" s="10" t="s">
        <v>78</v>
      </c>
      <c r="D404" s="10">
        <v>2023</v>
      </c>
      <c r="E404" s="4">
        <v>1905</v>
      </c>
      <c r="F404" s="8" t="s">
        <v>150</v>
      </c>
      <c r="G404" s="2">
        <v>7.0000000000000007E-2</v>
      </c>
      <c r="H404" s="3">
        <v>0</v>
      </c>
      <c r="I404" s="5">
        <v>2022</v>
      </c>
      <c r="J404" s="1" t="s">
        <v>12</v>
      </c>
      <c r="K404" s="1" t="s">
        <v>27</v>
      </c>
      <c r="L404" s="1" t="s">
        <v>137</v>
      </c>
    </row>
    <row r="405" spans="1:12" x14ac:dyDescent="0.3">
      <c r="A405" s="12">
        <v>388</v>
      </c>
      <c r="B405" s="12" t="s">
        <v>117</v>
      </c>
      <c r="C405" s="12" t="s">
        <v>101</v>
      </c>
      <c r="D405" s="10">
        <v>2023</v>
      </c>
      <c r="E405" s="12"/>
      <c r="F405" s="8" t="s">
        <v>162</v>
      </c>
      <c r="G405" s="2">
        <v>10</v>
      </c>
      <c r="H405" s="3">
        <v>19050</v>
      </c>
      <c r="I405" s="1">
        <v>2023</v>
      </c>
      <c r="J405" s="1"/>
      <c r="K405" s="1"/>
      <c r="L405" s="1" t="s">
        <v>154</v>
      </c>
    </row>
    <row r="406" spans="1:12" x14ac:dyDescent="0.3">
      <c r="A406" s="12">
        <v>389</v>
      </c>
      <c r="B406" s="12" t="s">
        <v>117</v>
      </c>
      <c r="C406" s="12" t="s">
        <v>103</v>
      </c>
      <c r="D406" s="10">
        <v>2023</v>
      </c>
      <c r="E406" s="12"/>
      <c r="F406" s="8" t="s">
        <v>162</v>
      </c>
      <c r="G406" s="2">
        <v>10</v>
      </c>
      <c r="H406" s="3">
        <v>19050</v>
      </c>
      <c r="I406" s="1">
        <v>2023</v>
      </c>
      <c r="J406" s="1"/>
      <c r="K406" s="1"/>
      <c r="L406" s="1" t="s">
        <v>154</v>
      </c>
    </row>
    <row r="407" spans="1:12" x14ac:dyDescent="0.3">
      <c r="A407" s="10">
        <v>390</v>
      </c>
      <c r="B407" s="10" t="s">
        <v>109</v>
      </c>
      <c r="C407" s="10" t="s">
        <v>59</v>
      </c>
      <c r="D407" s="10">
        <v>2023</v>
      </c>
      <c r="E407" s="4">
        <v>1905</v>
      </c>
      <c r="F407" s="8" t="s">
        <v>162</v>
      </c>
      <c r="G407" s="2">
        <v>0</v>
      </c>
      <c r="H407" s="11">
        <v>0</v>
      </c>
      <c r="I407" s="1">
        <v>2018</v>
      </c>
      <c r="J407" s="1" t="s">
        <v>8</v>
      </c>
      <c r="K407" s="1"/>
      <c r="L407" s="1" t="s">
        <v>10</v>
      </c>
    </row>
    <row r="408" spans="1:12" x14ac:dyDescent="0.3">
      <c r="A408" s="10">
        <v>391</v>
      </c>
      <c r="B408" s="10" t="s">
        <v>109</v>
      </c>
      <c r="C408" s="10" t="s">
        <v>60</v>
      </c>
      <c r="D408" s="10">
        <v>2023</v>
      </c>
      <c r="E408" s="4">
        <v>1905</v>
      </c>
      <c r="F408" s="8" t="s">
        <v>162</v>
      </c>
      <c r="G408" s="2">
        <v>0</v>
      </c>
      <c r="H408" s="11">
        <f>E408*G408</f>
        <v>0</v>
      </c>
      <c r="I408" s="1" t="s">
        <v>61</v>
      </c>
      <c r="J408" s="1" t="s">
        <v>8</v>
      </c>
      <c r="K408" s="1" t="s">
        <v>9</v>
      </c>
      <c r="L408" s="1" t="s">
        <v>10</v>
      </c>
    </row>
    <row r="409" spans="1:12" x14ac:dyDescent="0.3">
      <c r="A409" s="10">
        <v>392</v>
      </c>
      <c r="B409" s="10" t="s">
        <v>109</v>
      </c>
      <c r="C409" s="10" t="s">
        <v>130</v>
      </c>
      <c r="D409" s="10">
        <v>2023</v>
      </c>
      <c r="E409" s="4">
        <v>1780</v>
      </c>
      <c r="F409" s="8" t="s">
        <v>162</v>
      </c>
      <c r="G409" s="2">
        <v>0.09</v>
      </c>
      <c r="H409" s="11">
        <f>E409*G409</f>
        <v>160.19999999999999</v>
      </c>
      <c r="I409" s="1">
        <v>2020</v>
      </c>
      <c r="J409" s="1" t="s">
        <v>12</v>
      </c>
      <c r="K409" s="1" t="s">
        <v>27</v>
      </c>
      <c r="L409" s="1" t="s">
        <v>53</v>
      </c>
    </row>
    <row r="410" spans="1:12" x14ac:dyDescent="0.3">
      <c r="A410" s="10">
        <v>393</v>
      </c>
      <c r="B410" s="10" t="s">
        <v>109</v>
      </c>
      <c r="C410" s="10" t="s">
        <v>63</v>
      </c>
      <c r="D410" s="10">
        <v>2023</v>
      </c>
      <c r="E410" s="4">
        <v>1780</v>
      </c>
      <c r="F410" s="8" t="s">
        <v>162</v>
      </c>
      <c r="G410" s="2">
        <v>0.33</v>
      </c>
      <c r="H410" s="11">
        <f>E410*G410</f>
        <v>587.4</v>
      </c>
      <c r="I410" s="1">
        <v>2020</v>
      </c>
      <c r="J410" s="1" t="s">
        <v>12</v>
      </c>
      <c r="K410" s="1" t="s">
        <v>27</v>
      </c>
      <c r="L410" s="1" t="s">
        <v>53</v>
      </c>
    </row>
    <row r="411" spans="1:12" x14ac:dyDescent="0.3">
      <c r="A411" s="10">
        <v>394</v>
      </c>
      <c r="B411" s="10" t="s">
        <v>109</v>
      </c>
      <c r="C411" s="10" t="s">
        <v>64</v>
      </c>
      <c r="D411" s="10">
        <v>2023</v>
      </c>
      <c r="E411" s="4">
        <v>1780</v>
      </c>
      <c r="F411" s="8" t="s">
        <v>162</v>
      </c>
      <c r="G411" s="2">
        <v>7.0000000000000007E-2</v>
      </c>
      <c r="H411" s="11">
        <f>G411*E411</f>
        <v>124.60000000000001</v>
      </c>
      <c r="I411" s="1">
        <v>2020</v>
      </c>
      <c r="J411" s="1" t="s">
        <v>12</v>
      </c>
      <c r="K411" s="1" t="s">
        <v>27</v>
      </c>
      <c r="L411" s="1" t="s">
        <v>53</v>
      </c>
    </row>
    <row r="412" spans="1:12" x14ac:dyDescent="0.3">
      <c r="A412" s="10">
        <v>395</v>
      </c>
      <c r="B412" s="10" t="s">
        <v>109</v>
      </c>
      <c r="C412" s="10" t="s">
        <v>65</v>
      </c>
      <c r="D412" s="10">
        <v>2023</v>
      </c>
      <c r="E412" s="7">
        <v>1838</v>
      </c>
      <c r="F412" s="8" t="s">
        <v>162</v>
      </c>
      <c r="G412" s="2">
        <f>13.07-12.4</f>
        <v>0.66999999999999993</v>
      </c>
      <c r="H412" s="11">
        <f>E412*G412</f>
        <v>1231.4599999999998</v>
      </c>
      <c r="I412" s="1">
        <v>2021</v>
      </c>
      <c r="J412" s="1" t="s">
        <v>12</v>
      </c>
      <c r="K412" s="1" t="s">
        <v>27</v>
      </c>
      <c r="L412" s="1" t="s">
        <v>34</v>
      </c>
    </row>
    <row r="413" spans="1:12" x14ac:dyDescent="0.3">
      <c r="A413" s="10">
        <v>396</v>
      </c>
      <c r="B413" s="10" t="s">
        <v>109</v>
      </c>
      <c r="C413" s="10" t="s">
        <v>66</v>
      </c>
      <c r="D413" s="10">
        <v>2023</v>
      </c>
      <c r="E413" s="7">
        <v>1838</v>
      </c>
      <c r="F413" s="8" t="s">
        <v>162</v>
      </c>
      <c r="G413" s="2">
        <f>12.65-11.9</f>
        <v>0.75</v>
      </c>
      <c r="H413" s="11">
        <f>E413*G413</f>
        <v>1378.5</v>
      </c>
      <c r="I413" s="1">
        <v>2021</v>
      </c>
      <c r="J413" s="1" t="s">
        <v>12</v>
      </c>
      <c r="K413" s="1" t="s">
        <v>27</v>
      </c>
      <c r="L413" s="1" t="s">
        <v>34</v>
      </c>
    </row>
    <row r="414" spans="1:12" x14ac:dyDescent="0.3">
      <c r="A414" s="13">
        <v>397</v>
      </c>
      <c r="B414" s="13" t="s">
        <v>109</v>
      </c>
      <c r="C414" s="13" t="s">
        <v>104</v>
      </c>
      <c r="D414" s="10">
        <v>2023</v>
      </c>
      <c r="E414" s="13"/>
      <c r="F414" s="8" t="s">
        <v>162</v>
      </c>
      <c r="G414" s="2">
        <v>10</v>
      </c>
      <c r="H414" s="3">
        <v>19050</v>
      </c>
      <c r="I414" s="1">
        <v>2023</v>
      </c>
      <c r="J414" s="1"/>
      <c r="K414" s="1"/>
      <c r="L414" s="1" t="s">
        <v>154</v>
      </c>
    </row>
    <row r="415" spans="1:12" x14ac:dyDescent="0.3">
      <c r="A415" s="13">
        <v>398</v>
      </c>
      <c r="B415" s="13" t="s">
        <v>109</v>
      </c>
      <c r="C415" s="13" t="s">
        <v>102</v>
      </c>
      <c r="D415" s="10">
        <v>2023</v>
      </c>
      <c r="E415" s="13"/>
      <c r="F415" s="8" t="s">
        <v>162</v>
      </c>
      <c r="G415" s="2">
        <v>10</v>
      </c>
      <c r="H415" s="3">
        <v>19050</v>
      </c>
      <c r="I415" s="1">
        <v>2023</v>
      </c>
      <c r="J415" s="1"/>
      <c r="K415" s="1"/>
      <c r="L415" s="1" t="s">
        <v>154</v>
      </c>
    </row>
    <row r="416" spans="1:12" x14ac:dyDescent="0.3">
      <c r="A416" s="12">
        <v>399</v>
      </c>
      <c r="B416" s="12" t="s">
        <v>167</v>
      </c>
      <c r="C416" s="12" t="s">
        <v>48</v>
      </c>
      <c r="D416" s="10">
        <v>2023</v>
      </c>
      <c r="E416" s="12"/>
      <c r="F416" s="8" t="s">
        <v>162</v>
      </c>
      <c r="G416" s="2">
        <v>17.79</v>
      </c>
      <c r="H416" s="3">
        <v>30251</v>
      </c>
      <c r="I416" s="1">
        <v>2023</v>
      </c>
      <c r="J416" s="1"/>
      <c r="K416" s="1"/>
      <c r="L416" s="1" t="s">
        <v>154</v>
      </c>
    </row>
    <row r="417" spans="1:12" x14ac:dyDescent="0.3">
      <c r="A417" s="12">
        <v>400</v>
      </c>
      <c r="B417" s="12" t="s">
        <v>167</v>
      </c>
      <c r="C417" s="12" t="s">
        <v>50</v>
      </c>
      <c r="D417" s="10">
        <v>2023</v>
      </c>
      <c r="E417" s="12"/>
      <c r="F417" s="8" t="s">
        <v>162</v>
      </c>
      <c r="G417" s="2">
        <v>19.899999999999999</v>
      </c>
      <c r="H417" s="3">
        <v>34919</v>
      </c>
      <c r="I417" s="1">
        <v>2023</v>
      </c>
      <c r="J417" s="1"/>
      <c r="K417" s="1"/>
      <c r="L417" s="1" t="s">
        <v>154</v>
      </c>
    </row>
    <row r="418" spans="1:12" x14ac:dyDescent="0.3">
      <c r="A418" s="10">
        <v>401</v>
      </c>
      <c r="B418" s="10" t="s">
        <v>167</v>
      </c>
      <c r="C418" s="10" t="s">
        <v>67</v>
      </c>
      <c r="D418" s="10">
        <v>2023</v>
      </c>
      <c r="E418" s="4">
        <v>1684</v>
      </c>
      <c r="F418" s="8" t="s">
        <v>162</v>
      </c>
      <c r="G418" s="2">
        <v>0</v>
      </c>
      <c r="H418" s="11">
        <v>0</v>
      </c>
      <c r="I418" s="5">
        <v>2018</v>
      </c>
      <c r="J418" s="1" t="s">
        <v>12</v>
      </c>
      <c r="K418" s="1"/>
      <c r="L418" s="1" t="s">
        <v>49</v>
      </c>
    </row>
    <row r="419" spans="1:12" x14ac:dyDescent="0.3">
      <c r="A419" s="10">
        <v>402</v>
      </c>
      <c r="B419" s="10" t="s">
        <v>167</v>
      </c>
      <c r="C419" s="10" t="s">
        <v>68</v>
      </c>
      <c r="D419" s="10">
        <v>2023</v>
      </c>
      <c r="E419" s="4">
        <v>1684</v>
      </c>
      <c r="F419" s="8" t="s">
        <v>162</v>
      </c>
      <c r="G419" s="2">
        <v>0</v>
      </c>
      <c r="H419" s="11">
        <v>0</v>
      </c>
      <c r="I419" s="5">
        <v>2018</v>
      </c>
      <c r="J419" s="1" t="s">
        <v>12</v>
      </c>
      <c r="K419" s="1"/>
      <c r="L419" s="1" t="s">
        <v>49</v>
      </c>
    </row>
    <row r="420" spans="1:12" x14ac:dyDescent="0.3">
      <c r="A420" s="10">
        <v>403</v>
      </c>
      <c r="B420" s="10" t="s">
        <v>167</v>
      </c>
      <c r="C420" s="10" t="s">
        <v>69</v>
      </c>
      <c r="D420" s="10">
        <v>2023</v>
      </c>
      <c r="E420" s="4">
        <v>1684</v>
      </c>
      <c r="F420" s="8" t="s">
        <v>162</v>
      </c>
      <c r="G420" s="2">
        <v>0</v>
      </c>
      <c r="H420" s="11">
        <v>0</v>
      </c>
      <c r="I420" s="5">
        <v>2018</v>
      </c>
      <c r="J420" s="1" t="s">
        <v>12</v>
      </c>
      <c r="K420" s="1"/>
      <c r="L420" s="1" t="s">
        <v>49</v>
      </c>
    </row>
    <row r="421" spans="1:12" x14ac:dyDescent="0.3">
      <c r="A421" s="10">
        <v>404</v>
      </c>
      <c r="B421" s="10" t="s">
        <v>167</v>
      </c>
      <c r="C421" s="10" t="s">
        <v>70</v>
      </c>
      <c r="D421" s="10">
        <v>2023</v>
      </c>
      <c r="E421" s="4">
        <v>1262</v>
      </c>
      <c r="F421" s="8" t="s">
        <v>162</v>
      </c>
      <c r="G421" s="2">
        <v>0</v>
      </c>
      <c r="H421" s="11">
        <v>0</v>
      </c>
      <c r="I421" s="5">
        <v>2018</v>
      </c>
      <c r="J421" s="1" t="s">
        <v>12</v>
      </c>
      <c r="K421" s="1"/>
      <c r="L421" s="1" t="s">
        <v>49</v>
      </c>
    </row>
    <row r="422" spans="1:12" x14ac:dyDescent="0.3">
      <c r="A422" s="10">
        <v>405</v>
      </c>
      <c r="B422" s="10" t="s">
        <v>167</v>
      </c>
      <c r="C422" s="10" t="s">
        <v>71</v>
      </c>
      <c r="D422" s="10">
        <v>2023</v>
      </c>
      <c r="E422" s="4">
        <v>1780.2</v>
      </c>
      <c r="F422" s="8" t="s">
        <v>162</v>
      </c>
      <c r="G422" s="2">
        <v>0</v>
      </c>
      <c r="H422" s="11">
        <v>0</v>
      </c>
      <c r="I422" s="5">
        <v>2020</v>
      </c>
      <c r="J422" s="1" t="s">
        <v>12</v>
      </c>
      <c r="K422" s="1"/>
      <c r="L422" s="1" t="s">
        <v>46</v>
      </c>
    </row>
    <row r="423" spans="1:12" x14ac:dyDescent="0.3">
      <c r="A423" s="10">
        <v>406</v>
      </c>
      <c r="B423" s="10" t="s">
        <v>167</v>
      </c>
      <c r="C423" s="10" t="s">
        <v>72</v>
      </c>
      <c r="D423" s="10">
        <v>2023</v>
      </c>
      <c r="E423" s="4">
        <v>1780.2</v>
      </c>
      <c r="F423" s="8" t="s">
        <v>162</v>
      </c>
      <c r="G423" s="2">
        <v>0</v>
      </c>
      <c r="H423" s="11">
        <v>0</v>
      </c>
      <c r="I423" s="5">
        <v>2020</v>
      </c>
      <c r="J423" s="1" t="s">
        <v>12</v>
      </c>
      <c r="K423" s="1"/>
      <c r="L423" s="1" t="s">
        <v>46</v>
      </c>
    </row>
    <row r="424" spans="1:12" x14ac:dyDescent="0.3">
      <c r="A424" s="10">
        <v>407</v>
      </c>
      <c r="B424" s="10" t="s">
        <v>167</v>
      </c>
      <c r="C424" s="10" t="s">
        <v>73</v>
      </c>
      <c r="D424" s="10">
        <v>2023</v>
      </c>
      <c r="E424" s="4">
        <v>1779.3333333333333</v>
      </c>
      <c r="F424" s="8" t="s">
        <v>162</v>
      </c>
      <c r="G424" s="2">
        <v>0.52</v>
      </c>
      <c r="H424" s="11">
        <v>925.25333333333333</v>
      </c>
      <c r="I424" s="5">
        <v>2020</v>
      </c>
      <c r="J424" s="1" t="s">
        <v>12</v>
      </c>
      <c r="K424" s="1"/>
      <c r="L424" s="1" t="s">
        <v>46</v>
      </c>
    </row>
    <row r="425" spans="1:12" x14ac:dyDescent="0.3">
      <c r="A425" s="10">
        <v>408</v>
      </c>
      <c r="B425" s="10" t="s">
        <v>167</v>
      </c>
      <c r="C425" s="10" t="s">
        <v>74</v>
      </c>
      <c r="D425" s="10">
        <v>2023</v>
      </c>
      <c r="E425" s="8">
        <v>1894</v>
      </c>
      <c r="F425" s="8" t="s">
        <v>162</v>
      </c>
      <c r="G425" s="2">
        <v>0</v>
      </c>
      <c r="H425" s="11">
        <v>0</v>
      </c>
      <c r="I425" s="5">
        <v>2021</v>
      </c>
      <c r="J425" s="1" t="s">
        <v>12</v>
      </c>
      <c r="K425" s="1"/>
      <c r="L425" s="1" t="s">
        <v>49</v>
      </c>
    </row>
    <row r="426" spans="1:12" x14ac:dyDescent="0.3">
      <c r="A426" s="10">
        <v>409</v>
      </c>
      <c r="B426" s="10" t="s">
        <v>167</v>
      </c>
      <c r="C426" s="10" t="s">
        <v>75</v>
      </c>
      <c r="D426" s="10">
        <v>2023</v>
      </c>
      <c r="E426" s="8">
        <v>1894</v>
      </c>
      <c r="F426" s="8" t="s">
        <v>162</v>
      </c>
      <c r="G426" s="2">
        <v>0</v>
      </c>
      <c r="H426" s="11">
        <v>0</v>
      </c>
      <c r="I426" s="5">
        <v>2021</v>
      </c>
      <c r="J426" s="1" t="s">
        <v>12</v>
      </c>
      <c r="K426" s="1"/>
      <c r="L426" s="1" t="s">
        <v>49</v>
      </c>
    </row>
    <row r="427" spans="1:12" x14ac:dyDescent="0.3">
      <c r="A427" s="10">
        <v>410</v>
      </c>
      <c r="B427" s="10" t="s">
        <v>167</v>
      </c>
      <c r="C427" s="10" t="s">
        <v>76</v>
      </c>
      <c r="D427" s="10">
        <v>2023</v>
      </c>
      <c r="E427" s="8">
        <v>1894</v>
      </c>
      <c r="F427" s="8" t="s">
        <v>162</v>
      </c>
      <c r="G427" s="2">
        <v>0</v>
      </c>
      <c r="H427" s="11">
        <v>0</v>
      </c>
      <c r="I427" s="5">
        <v>2021</v>
      </c>
      <c r="J427" s="1" t="s">
        <v>12</v>
      </c>
      <c r="K427" s="1"/>
      <c r="L427" s="1" t="s">
        <v>49</v>
      </c>
    </row>
    <row r="428" spans="1:12" x14ac:dyDescent="0.3">
      <c r="A428" s="10">
        <v>411</v>
      </c>
      <c r="B428" s="10" t="s">
        <v>167</v>
      </c>
      <c r="C428" s="10" t="s">
        <v>77</v>
      </c>
      <c r="D428" s="10">
        <v>2023</v>
      </c>
      <c r="E428" s="8">
        <v>1905</v>
      </c>
      <c r="F428" s="8" t="s">
        <v>162</v>
      </c>
      <c r="G428" s="2">
        <v>0</v>
      </c>
      <c r="H428" s="11">
        <v>0</v>
      </c>
      <c r="I428" s="5">
        <v>2021</v>
      </c>
      <c r="J428" s="1" t="s">
        <v>12</v>
      </c>
      <c r="K428" s="1"/>
      <c r="L428" s="1" t="s">
        <v>49</v>
      </c>
    </row>
    <row r="429" spans="1:12" x14ac:dyDescent="0.3">
      <c r="A429" s="10">
        <v>412</v>
      </c>
      <c r="B429" s="10" t="s">
        <v>135</v>
      </c>
      <c r="C429" s="10" t="s">
        <v>80</v>
      </c>
      <c r="D429" s="10">
        <v>2023</v>
      </c>
      <c r="E429" s="4">
        <v>1780</v>
      </c>
      <c r="F429" s="8" t="s">
        <v>162</v>
      </c>
      <c r="G429" s="2">
        <v>0.56000000000000005</v>
      </c>
      <c r="H429" s="3">
        <f>G429*E429</f>
        <v>996.80000000000007</v>
      </c>
      <c r="I429" s="5">
        <v>2021</v>
      </c>
      <c r="J429" s="1" t="s">
        <v>12</v>
      </c>
      <c r="K429" s="1" t="s">
        <v>27</v>
      </c>
      <c r="L429" s="1" t="s">
        <v>53</v>
      </c>
    </row>
    <row r="430" spans="1:12" x14ac:dyDescent="0.3">
      <c r="A430" s="10">
        <v>413</v>
      </c>
      <c r="B430" s="10" t="s">
        <v>112</v>
      </c>
      <c r="C430" s="10" t="s">
        <v>81</v>
      </c>
      <c r="D430" s="10">
        <v>2023</v>
      </c>
      <c r="E430" s="4">
        <v>1780</v>
      </c>
      <c r="F430" s="8" t="s">
        <v>162</v>
      </c>
      <c r="G430" s="2">
        <v>0</v>
      </c>
      <c r="H430" s="6">
        <v>0</v>
      </c>
      <c r="I430" s="1">
        <v>2020</v>
      </c>
      <c r="J430" s="1" t="s">
        <v>12</v>
      </c>
      <c r="K430" s="1"/>
      <c r="L430" s="1" t="s">
        <v>46</v>
      </c>
    </row>
    <row r="431" spans="1:12" x14ac:dyDescent="0.3">
      <c r="A431" s="10">
        <v>414</v>
      </c>
      <c r="B431" s="10" t="s">
        <v>112</v>
      </c>
      <c r="C431" s="10" t="s">
        <v>82</v>
      </c>
      <c r="D431" s="10">
        <v>2023</v>
      </c>
      <c r="E431" s="4">
        <v>1780</v>
      </c>
      <c r="F431" s="8" t="s">
        <v>162</v>
      </c>
      <c r="G431" s="2">
        <v>0</v>
      </c>
      <c r="H431" s="6">
        <v>0</v>
      </c>
      <c r="I431" s="1">
        <v>2020</v>
      </c>
      <c r="J431" s="1" t="s">
        <v>12</v>
      </c>
      <c r="K431" s="1"/>
      <c r="L431" s="1" t="s">
        <v>46</v>
      </c>
    </row>
    <row r="432" spans="1:12" x14ac:dyDescent="0.3">
      <c r="A432" s="10">
        <v>415</v>
      </c>
      <c r="B432" s="10" t="s">
        <v>112</v>
      </c>
      <c r="C432" s="10" t="s">
        <v>51</v>
      </c>
      <c r="D432" s="10">
        <v>2023</v>
      </c>
      <c r="E432" s="4">
        <v>1780</v>
      </c>
      <c r="F432" s="8" t="s">
        <v>162</v>
      </c>
      <c r="G432" s="2">
        <v>0.5</v>
      </c>
      <c r="H432" s="6">
        <v>890</v>
      </c>
      <c r="I432" s="1">
        <v>2021</v>
      </c>
      <c r="J432" s="1" t="s">
        <v>12</v>
      </c>
      <c r="K432" s="1" t="s">
        <v>9</v>
      </c>
      <c r="L432" s="1" t="s">
        <v>46</v>
      </c>
    </row>
    <row r="433" spans="1:12" x14ac:dyDescent="0.3">
      <c r="A433" s="10">
        <v>416</v>
      </c>
      <c r="B433" s="10" t="s">
        <v>112</v>
      </c>
      <c r="C433" s="10" t="s">
        <v>84</v>
      </c>
      <c r="D433" s="10">
        <v>2023</v>
      </c>
      <c r="E433" s="4">
        <v>1632</v>
      </c>
      <c r="F433" s="8" t="s">
        <v>162</v>
      </c>
      <c r="G433" s="2">
        <f>14.15-13.68</f>
        <v>0.47000000000000064</v>
      </c>
      <c r="H433" s="6">
        <f>E433*G433</f>
        <v>767.0400000000011</v>
      </c>
      <c r="I433" s="1">
        <v>2016</v>
      </c>
      <c r="J433" s="1" t="s">
        <v>12</v>
      </c>
      <c r="K433" s="1" t="s">
        <v>27</v>
      </c>
      <c r="L433" s="1" t="s">
        <v>134</v>
      </c>
    </row>
    <row r="434" spans="1:12" x14ac:dyDescent="0.3">
      <c r="A434" s="10">
        <v>417</v>
      </c>
      <c r="B434" s="10" t="s">
        <v>112</v>
      </c>
      <c r="C434" s="10" t="s">
        <v>85</v>
      </c>
      <c r="D434" s="10">
        <v>2023</v>
      </c>
      <c r="E434" s="4">
        <v>1632</v>
      </c>
      <c r="F434" s="8" t="s">
        <v>162</v>
      </c>
      <c r="G434" s="2">
        <f>14.64-14.05</f>
        <v>0.58999999999999986</v>
      </c>
      <c r="H434" s="6">
        <f>E434*G434</f>
        <v>962.87999999999977</v>
      </c>
      <c r="I434" s="1">
        <v>2016</v>
      </c>
      <c r="J434" s="1" t="s">
        <v>12</v>
      </c>
      <c r="K434" s="1" t="s">
        <v>27</v>
      </c>
      <c r="L434" s="1" t="s">
        <v>134</v>
      </c>
    </row>
    <row r="435" spans="1:12" x14ac:dyDescent="0.3">
      <c r="A435" s="10">
        <v>418</v>
      </c>
      <c r="B435" s="10" t="s">
        <v>112</v>
      </c>
      <c r="C435" s="10" t="s">
        <v>86</v>
      </c>
      <c r="D435" s="10">
        <v>2023</v>
      </c>
      <c r="E435" s="4">
        <v>1632</v>
      </c>
      <c r="F435" s="8" t="s">
        <v>162</v>
      </c>
      <c r="G435" s="2">
        <f>13.51-13.37</f>
        <v>0.14000000000000057</v>
      </c>
      <c r="H435" s="6">
        <f>E435*G435</f>
        <v>228.48000000000093</v>
      </c>
      <c r="I435" s="1">
        <v>2016</v>
      </c>
      <c r="J435" s="1" t="s">
        <v>12</v>
      </c>
      <c r="K435" s="1" t="s">
        <v>27</v>
      </c>
      <c r="L435" s="1" t="s">
        <v>134</v>
      </c>
    </row>
    <row r="436" spans="1:12" x14ac:dyDescent="0.3">
      <c r="A436" s="10">
        <v>419</v>
      </c>
      <c r="B436" s="10" t="s">
        <v>112</v>
      </c>
      <c r="C436" s="10" t="s">
        <v>87</v>
      </c>
      <c r="D436" s="10">
        <v>2023</v>
      </c>
      <c r="E436" s="4">
        <v>1587</v>
      </c>
      <c r="F436" s="8" t="s">
        <v>162</v>
      </c>
      <c r="G436" s="2">
        <f>6.29-6.13</f>
        <v>0.16000000000000014</v>
      </c>
      <c r="H436" s="6">
        <f>G436*E436</f>
        <v>253.92000000000021</v>
      </c>
      <c r="I436" s="1">
        <v>2019</v>
      </c>
      <c r="J436" s="1" t="s">
        <v>12</v>
      </c>
      <c r="K436" s="1" t="s">
        <v>27</v>
      </c>
      <c r="L436" s="1" t="s">
        <v>134</v>
      </c>
    </row>
    <row r="437" spans="1:12" x14ac:dyDescent="0.3">
      <c r="A437" s="10">
        <v>421</v>
      </c>
      <c r="B437" s="10" t="s">
        <v>105</v>
      </c>
      <c r="C437" s="10" t="s">
        <v>14</v>
      </c>
      <c r="D437" s="10">
        <v>2023</v>
      </c>
      <c r="E437" s="4">
        <v>2132</v>
      </c>
      <c r="F437" s="8" t="s">
        <v>150</v>
      </c>
      <c r="G437" s="2">
        <v>1.9999999999999574E-2</v>
      </c>
      <c r="H437" s="11">
        <v>52</v>
      </c>
      <c r="I437" s="5">
        <v>2016</v>
      </c>
      <c r="J437" s="1" t="s">
        <v>12</v>
      </c>
      <c r="K437" s="1" t="s">
        <v>9</v>
      </c>
      <c r="L437" s="1" t="s">
        <v>10</v>
      </c>
    </row>
    <row r="438" spans="1:12" x14ac:dyDescent="0.3">
      <c r="A438" s="10">
        <v>422</v>
      </c>
      <c r="B438" s="10" t="s">
        <v>105</v>
      </c>
      <c r="C438" s="10" t="s">
        <v>15</v>
      </c>
      <c r="D438" s="10">
        <v>2023</v>
      </c>
      <c r="E438" s="4">
        <v>2132</v>
      </c>
      <c r="F438" s="8" t="s">
        <v>150</v>
      </c>
      <c r="G438" s="2">
        <v>1.9999999999999574E-2</v>
      </c>
      <c r="H438" s="11">
        <v>33</v>
      </c>
      <c r="I438" s="5">
        <v>2017</v>
      </c>
      <c r="J438" s="1" t="s">
        <v>12</v>
      </c>
      <c r="K438" s="1" t="s">
        <v>9</v>
      </c>
      <c r="L438" s="1" t="s">
        <v>10</v>
      </c>
    </row>
    <row r="439" spans="1:12" x14ac:dyDescent="0.3">
      <c r="A439" s="10">
        <v>423</v>
      </c>
      <c r="B439" s="10" t="s">
        <v>105</v>
      </c>
      <c r="C439" s="10" t="s">
        <v>16</v>
      </c>
      <c r="D439" s="10">
        <v>2023</v>
      </c>
      <c r="E439" s="4">
        <v>2070</v>
      </c>
      <c r="F439" s="8" t="s">
        <v>150</v>
      </c>
      <c r="G439" s="2">
        <v>0.02</v>
      </c>
      <c r="H439" s="11">
        <f>E439*G439</f>
        <v>41.4</v>
      </c>
      <c r="I439" s="5">
        <v>2017</v>
      </c>
      <c r="J439" s="1" t="s">
        <v>12</v>
      </c>
      <c r="K439" s="1" t="s">
        <v>9</v>
      </c>
      <c r="L439" s="1" t="s">
        <v>10</v>
      </c>
    </row>
    <row r="440" spans="1:12" x14ac:dyDescent="0.3">
      <c r="A440" s="10">
        <v>424</v>
      </c>
      <c r="B440" s="10" t="s">
        <v>105</v>
      </c>
      <c r="C440" s="10" t="s">
        <v>18</v>
      </c>
      <c r="D440" s="10">
        <v>2023</v>
      </c>
      <c r="E440" s="4">
        <v>2070</v>
      </c>
      <c r="F440" s="8" t="s">
        <v>150</v>
      </c>
      <c r="G440" s="2">
        <v>0.02</v>
      </c>
      <c r="H440" s="11">
        <f>E440*G440</f>
        <v>41.4</v>
      </c>
      <c r="I440" s="5">
        <v>2017</v>
      </c>
      <c r="J440" s="1" t="s">
        <v>12</v>
      </c>
      <c r="K440" s="1" t="s">
        <v>9</v>
      </c>
      <c r="L440" s="1" t="s">
        <v>10</v>
      </c>
    </row>
    <row r="441" spans="1:12" x14ac:dyDescent="0.3">
      <c r="A441" s="10">
        <v>425</v>
      </c>
      <c r="B441" s="10" t="s">
        <v>105</v>
      </c>
      <c r="C441" s="10" t="s">
        <v>19</v>
      </c>
      <c r="D441" s="10">
        <v>2023</v>
      </c>
      <c r="E441" s="4">
        <v>2070</v>
      </c>
      <c r="F441" s="8" t="s">
        <v>150</v>
      </c>
      <c r="G441" s="2">
        <v>2.9999999999999361E-2</v>
      </c>
      <c r="H441" s="11">
        <v>51</v>
      </c>
      <c r="I441" s="5">
        <v>2017</v>
      </c>
      <c r="J441" s="1" t="s">
        <v>12</v>
      </c>
      <c r="K441" s="1" t="s">
        <v>9</v>
      </c>
      <c r="L441" s="1" t="s">
        <v>10</v>
      </c>
    </row>
    <row r="442" spans="1:12" x14ac:dyDescent="0.3">
      <c r="A442" s="10">
        <v>426</v>
      </c>
      <c r="B442" s="10" t="s">
        <v>105</v>
      </c>
      <c r="C442" s="10" t="s">
        <v>20</v>
      </c>
      <c r="D442" s="10">
        <v>2023</v>
      </c>
      <c r="E442" s="4">
        <v>2132</v>
      </c>
      <c r="F442" s="8" t="s">
        <v>150</v>
      </c>
      <c r="G442" s="2">
        <v>0</v>
      </c>
      <c r="H442" s="11">
        <v>6</v>
      </c>
      <c r="I442" s="5">
        <v>2015</v>
      </c>
      <c r="J442" s="1" t="s">
        <v>12</v>
      </c>
      <c r="K442" s="1" t="s">
        <v>9</v>
      </c>
      <c r="L442" s="1" t="s">
        <v>153</v>
      </c>
    </row>
    <row r="443" spans="1:12" x14ac:dyDescent="0.3">
      <c r="A443" s="10">
        <v>427</v>
      </c>
      <c r="B443" s="10" t="s">
        <v>105</v>
      </c>
      <c r="C443" s="10" t="s">
        <v>21</v>
      </c>
      <c r="D443" s="10">
        <v>2023</v>
      </c>
      <c r="E443" s="4">
        <v>2132</v>
      </c>
      <c r="F443" s="8" t="s">
        <v>150</v>
      </c>
      <c r="G443" s="2">
        <v>9.9999999999980105E-3</v>
      </c>
      <c r="H443" s="11">
        <v>9</v>
      </c>
      <c r="I443" s="5">
        <v>2015</v>
      </c>
      <c r="J443" s="1" t="s">
        <v>12</v>
      </c>
      <c r="K443" s="1" t="s">
        <v>9</v>
      </c>
      <c r="L443" s="1" t="s">
        <v>153</v>
      </c>
    </row>
    <row r="444" spans="1:12" x14ac:dyDescent="0.3">
      <c r="A444" s="10">
        <v>428</v>
      </c>
      <c r="B444" s="10" t="s">
        <v>105</v>
      </c>
      <c r="C444" s="10" t="s">
        <v>22</v>
      </c>
      <c r="D444" s="10">
        <v>2023</v>
      </c>
      <c r="E444" s="4">
        <v>2132</v>
      </c>
      <c r="F444" s="8" t="s">
        <v>150</v>
      </c>
      <c r="G444" s="2">
        <v>0.06</v>
      </c>
      <c r="H444" s="11">
        <f>E444*G444</f>
        <v>127.92</v>
      </c>
      <c r="I444" s="5">
        <v>2015</v>
      </c>
      <c r="J444" s="1" t="s">
        <v>12</v>
      </c>
      <c r="K444" s="1" t="s">
        <v>9</v>
      </c>
      <c r="L444" s="1" t="s">
        <v>153</v>
      </c>
    </row>
    <row r="445" spans="1:12" x14ac:dyDescent="0.3">
      <c r="A445" s="10">
        <v>429</v>
      </c>
      <c r="B445" s="10" t="s">
        <v>105</v>
      </c>
      <c r="C445" s="10" t="s">
        <v>23</v>
      </c>
      <c r="D445" s="10">
        <v>2023</v>
      </c>
      <c r="E445" s="4">
        <v>2070</v>
      </c>
      <c r="F445" s="8" t="s">
        <v>150</v>
      </c>
      <c r="G445" s="2">
        <v>0</v>
      </c>
      <c r="H445" s="11">
        <v>0</v>
      </c>
      <c r="I445" s="5">
        <v>2016</v>
      </c>
      <c r="J445" s="1" t="s">
        <v>12</v>
      </c>
      <c r="K445" s="1" t="s">
        <v>9</v>
      </c>
      <c r="L445" s="1" t="s">
        <v>132</v>
      </c>
    </row>
    <row r="446" spans="1:12" x14ac:dyDescent="0.3">
      <c r="A446" s="10">
        <v>430</v>
      </c>
      <c r="B446" s="10" t="s">
        <v>105</v>
      </c>
      <c r="C446" s="10" t="s">
        <v>24</v>
      </c>
      <c r="D446" s="10">
        <v>2023</v>
      </c>
      <c r="E446" s="4">
        <v>2070</v>
      </c>
      <c r="F446" s="8" t="s">
        <v>150</v>
      </c>
      <c r="G446" s="2">
        <v>0</v>
      </c>
      <c r="H446" s="11">
        <v>6</v>
      </c>
      <c r="I446" s="5">
        <v>2017</v>
      </c>
      <c r="J446" s="1" t="s">
        <v>12</v>
      </c>
      <c r="K446" s="1" t="s">
        <v>9</v>
      </c>
      <c r="L446" s="1" t="s">
        <v>132</v>
      </c>
    </row>
    <row r="447" spans="1:12" x14ac:dyDescent="0.3">
      <c r="A447" s="10">
        <v>431</v>
      </c>
      <c r="B447" s="10" t="s">
        <v>105</v>
      </c>
      <c r="C447" s="10" t="s">
        <v>25</v>
      </c>
      <c r="D447" s="10">
        <v>2023</v>
      </c>
      <c r="E447" s="4">
        <v>2070</v>
      </c>
      <c r="F447" s="8" t="s">
        <v>150</v>
      </c>
      <c r="G447" s="2">
        <v>1.9999999999999574E-2</v>
      </c>
      <c r="H447" s="11">
        <v>42</v>
      </c>
      <c r="I447" s="5">
        <v>2016</v>
      </c>
      <c r="J447" s="1" t="s">
        <v>12</v>
      </c>
      <c r="K447" s="1" t="s">
        <v>9</v>
      </c>
      <c r="L447" s="1" t="s">
        <v>132</v>
      </c>
    </row>
    <row r="448" spans="1:12" x14ac:dyDescent="0.3">
      <c r="A448" s="10">
        <v>432</v>
      </c>
      <c r="B448" s="10" t="s">
        <v>105</v>
      </c>
      <c r="C448" s="10" t="s">
        <v>26</v>
      </c>
      <c r="D448" s="10">
        <v>2023</v>
      </c>
      <c r="E448" s="4">
        <v>1905</v>
      </c>
      <c r="F448" s="8" t="s">
        <v>150</v>
      </c>
      <c r="G448" s="2">
        <v>0.24000000000000199</v>
      </c>
      <c r="H448" s="11">
        <v>447</v>
      </c>
      <c r="I448" s="5">
        <v>2015</v>
      </c>
      <c r="J448" s="1" t="s">
        <v>8</v>
      </c>
      <c r="K448" s="1" t="s">
        <v>27</v>
      </c>
      <c r="L448" s="1" t="s">
        <v>28</v>
      </c>
    </row>
    <row r="449" spans="1:12" x14ac:dyDescent="0.3">
      <c r="A449" s="10">
        <v>433</v>
      </c>
      <c r="B449" s="10" t="s">
        <v>105</v>
      </c>
      <c r="C449" s="10" t="s">
        <v>29</v>
      </c>
      <c r="D449" s="10">
        <v>2023</v>
      </c>
      <c r="E449" s="4">
        <v>1905</v>
      </c>
      <c r="F449" s="8" t="s">
        <v>150</v>
      </c>
      <c r="G449" s="2">
        <v>0.82000000000000028</v>
      </c>
      <c r="H449" s="11">
        <v>1549</v>
      </c>
      <c r="I449" s="5">
        <v>2017</v>
      </c>
      <c r="J449" s="1" t="s">
        <v>12</v>
      </c>
      <c r="K449" s="1" t="s">
        <v>27</v>
      </c>
      <c r="L449" s="1" t="s">
        <v>28</v>
      </c>
    </row>
    <row r="450" spans="1:12" x14ac:dyDescent="0.3">
      <c r="A450" s="10">
        <v>434</v>
      </c>
      <c r="B450" s="10" t="s">
        <v>105</v>
      </c>
      <c r="C450" s="10" t="s">
        <v>30</v>
      </c>
      <c r="D450" s="10">
        <v>2023</v>
      </c>
      <c r="E450" s="4">
        <v>1953</v>
      </c>
      <c r="F450" s="8" t="s">
        <v>150</v>
      </c>
      <c r="G450" s="2">
        <v>3.9999999999999147E-2</v>
      </c>
      <c r="H450" s="11">
        <v>92</v>
      </c>
      <c r="I450" s="5">
        <v>2018</v>
      </c>
      <c r="J450" s="1" t="s">
        <v>8</v>
      </c>
      <c r="K450" s="1" t="s">
        <v>27</v>
      </c>
      <c r="L450" s="1" t="s">
        <v>28</v>
      </c>
    </row>
    <row r="451" spans="1:12" x14ac:dyDescent="0.3">
      <c r="A451" s="10">
        <v>435</v>
      </c>
      <c r="B451" s="10" t="s">
        <v>105</v>
      </c>
      <c r="C451" s="10" t="s">
        <v>31</v>
      </c>
      <c r="D451" s="10">
        <v>2023</v>
      </c>
      <c r="E451" s="4">
        <v>1905.1398337112623</v>
      </c>
      <c r="F451" s="8" t="s">
        <v>150</v>
      </c>
      <c r="G451" s="2">
        <v>6.0000000000000497E-2</v>
      </c>
      <c r="H451" s="11">
        <v>109</v>
      </c>
      <c r="I451" s="5">
        <v>2016</v>
      </c>
      <c r="J451" s="1" t="s">
        <v>8</v>
      </c>
      <c r="K451" s="1" t="s">
        <v>27</v>
      </c>
      <c r="L451" s="1" t="s">
        <v>28</v>
      </c>
    </row>
    <row r="452" spans="1:12" x14ac:dyDescent="0.3">
      <c r="A452" s="10">
        <v>436</v>
      </c>
      <c r="B452" s="10" t="s">
        <v>105</v>
      </c>
      <c r="C452" s="10" t="s">
        <v>32</v>
      </c>
      <c r="D452" s="10">
        <v>2023</v>
      </c>
      <c r="E452" s="4">
        <v>1953</v>
      </c>
      <c r="F452" s="8" t="s">
        <v>150</v>
      </c>
      <c r="G452" s="2">
        <v>0</v>
      </c>
      <c r="H452" s="11">
        <v>3</v>
      </c>
      <c r="I452" s="5">
        <v>2014</v>
      </c>
      <c r="J452" s="1" t="s">
        <v>8</v>
      </c>
      <c r="K452" s="1" t="s">
        <v>27</v>
      </c>
      <c r="L452" s="1" t="s">
        <v>28</v>
      </c>
    </row>
    <row r="453" spans="1:12" x14ac:dyDescent="0.3">
      <c r="A453" s="10">
        <v>437</v>
      </c>
      <c r="B453" s="10" t="s">
        <v>105</v>
      </c>
      <c r="C453" s="10" t="s">
        <v>33</v>
      </c>
      <c r="D453" s="10">
        <v>2023</v>
      </c>
      <c r="E453" s="4">
        <v>1953</v>
      </c>
      <c r="F453" s="8" t="s">
        <v>150</v>
      </c>
      <c r="G453" s="2">
        <v>2.000000000000135E-2</v>
      </c>
      <c r="H453" s="11">
        <v>39.060000000002638</v>
      </c>
      <c r="I453" s="5">
        <v>2019</v>
      </c>
      <c r="J453" s="1" t="s">
        <v>12</v>
      </c>
      <c r="K453" s="1" t="s">
        <v>9</v>
      </c>
      <c r="L453" s="1" t="s">
        <v>132</v>
      </c>
    </row>
    <row r="454" spans="1:12" x14ac:dyDescent="0.3">
      <c r="A454" s="10">
        <v>438</v>
      </c>
      <c r="B454" s="10" t="s">
        <v>105</v>
      </c>
      <c r="C454" s="10" t="s">
        <v>35</v>
      </c>
      <c r="D454" s="10">
        <v>2023</v>
      </c>
      <c r="E454" s="4">
        <v>1953</v>
      </c>
      <c r="F454" s="8" t="s">
        <v>150</v>
      </c>
      <c r="G454" s="2">
        <v>9.9999999999997868E-3</v>
      </c>
      <c r="H454" s="11">
        <v>15</v>
      </c>
      <c r="I454" s="5">
        <v>2019</v>
      </c>
      <c r="J454" s="1" t="s">
        <v>12</v>
      </c>
      <c r="K454" s="1" t="s">
        <v>9</v>
      </c>
      <c r="L454" s="1" t="s">
        <v>132</v>
      </c>
    </row>
    <row r="455" spans="1:12" x14ac:dyDescent="0.3">
      <c r="A455" s="10">
        <v>439</v>
      </c>
      <c r="B455" s="10" t="s">
        <v>105</v>
      </c>
      <c r="C455" s="10" t="s">
        <v>36</v>
      </c>
      <c r="D455" s="10">
        <v>2023</v>
      </c>
      <c r="E455" s="4">
        <v>1953</v>
      </c>
      <c r="F455" s="8" t="s">
        <v>150</v>
      </c>
      <c r="G455" s="2">
        <v>9.9999999999997868E-3</v>
      </c>
      <c r="H455" s="11">
        <v>19.529999999999582</v>
      </c>
      <c r="I455" s="5">
        <v>2019</v>
      </c>
      <c r="J455" s="1" t="s">
        <v>12</v>
      </c>
      <c r="K455" s="1" t="s">
        <v>9</v>
      </c>
      <c r="L455" s="1" t="s">
        <v>132</v>
      </c>
    </row>
    <row r="456" spans="1:12" x14ac:dyDescent="0.3">
      <c r="A456" s="10">
        <v>440</v>
      </c>
      <c r="B456" s="10" t="s">
        <v>105</v>
      </c>
      <c r="C456" s="10" t="s">
        <v>37</v>
      </c>
      <c r="D456" s="10">
        <v>2023</v>
      </c>
      <c r="E456" s="4">
        <v>1780</v>
      </c>
      <c r="F456" s="8" t="s">
        <v>150</v>
      </c>
      <c r="G456" s="2">
        <v>0.19999999999999929</v>
      </c>
      <c r="H456" s="11">
        <v>356</v>
      </c>
      <c r="I456" s="5">
        <v>2020</v>
      </c>
      <c r="J456" s="1" t="s">
        <v>12</v>
      </c>
      <c r="K456" s="1" t="s">
        <v>9</v>
      </c>
      <c r="L456" s="1" t="s">
        <v>132</v>
      </c>
    </row>
    <row r="457" spans="1:12" x14ac:dyDescent="0.3">
      <c r="A457" s="10">
        <v>441</v>
      </c>
      <c r="B457" s="10" t="s">
        <v>105</v>
      </c>
      <c r="C457" s="10" t="s">
        <v>38</v>
      </c>
      <c r="D457" s="10">
        <v>2023</v>
      </c>
      <c r="E457" s="4">
        <v>1780</v>
      </c>
      <c r="F457" s="8" t="s">
        <v>150</v>
      </c>
      <c r="G457" s="2">
        <v>5.0000000000000711E-2</v>
      </c>
      <c r="H457" s="11">
        <v>84</v>
      </c>
      <c r="I457" s="5">
        <v>2020</v>
      </c>
      <c r="J457" s="1" t="s">
        <v>12</v>
      </c>
      <c r="K457" s="1" t="s">
        <v>9</v>
      </c>
      <c r="L457" s="1" t="s">
        <v>132</v>
      </c>
    </row>
    <row r="458" spans="1:12" x14ac:dyDescent="0.3">
      <c r="A458" s="10">
        <v>442</v>
      </c>
      <c r="B458" s="10" t="s">
        <v>105</v>
      </c>
      <c r="C458" s="10" t="s">
        <v>39</v>
      </c>
      <c r="D458" s="10">
        <v>2023</v>
      </c>
      <c r="E458" s="4">
        <v>1780</v>
      </c>
      <c r="F458" s="8" t="s">
        <v>150</v>
      </c>
      <c r="G458" s="2">
        <v>6.0000000000000497E-2</v>
      </c>
      <c r="H458" s="11">
        <v>106.80000000000089</v>
      </c>
      <c r="I458" s="5">
        <v>2020</v>
      </c>
      <c r="J458" s="1" t="s">
        <v>12</v>
      </c>
      <c r="K458" s="1" t="s">
        <v>9</v>
      </c>
      <c r="L458" s="1" t="s">
        <v>132</v>
      </c>
    </row>
    <row r="459" spans="1:12" x14ac:dyDescent="0.3">
      <c r="A459" s="10">
        <v>443</v>
      </c>
      <c r="B459" s="10" t="s">
        <v>105</v>
      </c>
      <c r="C459" s="10" t="s">
        <v>40</v>
      </c>
      <c r="D459" s="10">
        <v>2023</v>
      </c>
      <c r="E459" s="4">
        <v>1780</v>
      </c>
      <c r="F459" s="8" t="s">
        <v>150</v>
      </c>
      <c r="G459" s="2">
        <v>7.0000000000000284E-2</v>
      </c>
      <c r="H459" s="11">
        <v>111</v>
      </c>
      <c r="I459" s="5">
        <v>2020</v>
      </c>
      <c r="J459" s="1" t="s">
        <v>12</v>
      </c>
      <c r="K459" s="1" t="s">
        <v>27</v>
      </c>
      <c r="L459" s="1" t="s">
        <v>34</v>
      </c>
    </row>
    <row r="460" spans="1:12" x14ac:dyDescent="0.3">
      <c r="A460" s="10">
        <v>444</v>
      </c>
      <c r="B460" s="10" t="s">
        <v>105</v>
      </c>
      <c r="C460" s="10" t="s">
        <v>41</v>
      </c>
      <c r="D460" s="10">
        <v>2023</v>
      </c>
      <c r="E460" s="4">
        <v>1780</v>
      </c>
      <c r="F460" s="8" t="s">
        <v>150</v>
      </c>
      <c r="G460" s="2">
        <v>8.9999999999998082E-2</v>
      </c>
      <c r="H460" s="11">
        <v>165</v>
      </c>
      <c r="I460" s="5">
        <v>2020</v>
      </c>
      <c r="J460" s="1" t="s">
        <v>12</v>
      </c>
      <c r="K460" s="1" t="s">
        <v>27</v>
      </c>
      <c r="L460" s="1" t="s">
        <v>34</v>
      </c>
    </row>
    <row r="461" spans="1:12" x14ac:dyDescent="0.3">
      <c r="A461" s="10">
        <v>445</v>
      </c>
      <c r="B461" s="10" t="s">
        <v>105</v>
      </c>
      <c r="C461" s="10" t="s">
        <v>42</v>
      </c>
      <c r="D461" s="10">
        <v>2023</v>
      </c>
      <c r="E461" s="4">
        <v>1780</v>
      </c>
      <c r="F461" s="8" t="s">
        <v>150</v>
      </c>
      <c r="G461" s="2">
        <v>0.16999999999999993</v>
      </c>
      <c r="H461" s="11">
        <v>311</v>
      </c>
      <c r="I461" s="5">
        <v>2020</v>
      </c>
      <c r="J461" s="1" t="s">
        <v>12</v>
      </c>
      <c r="K461" s="1" t="s">
        <v>27</v>
      </c>
      <c r="L461" s="1" t="s">
        <v>34</v>
      </c>
    </row>
    <row r="462" spans="1:12" x14ac:dyDescent="0.3">
      <c r="A462" s="10">
        <v>446</v>
      </c>
      <c r="B462" s="10" t="s">
        <v>105</v>
      </c>
      <c r="C462" s="10" t="s">
        <v>43</v>
      </c>
      <c r="D462" s="10">
        <v>2023</v>
      </c>
      <c r="E462" s="4">
        <v>1780</v>
      </c>
      <c r="F462" s="8" t="s">
        <v>150</v>
      </c>
      <c r="G462" s="2">
        <v>0.25999999999999979</v>
      </c>
      <c r="H462" s="11">
        <v>451</v>
      </c>
      <c r="I462" s="5">
        <v>2020</v>
      </c>
      <c r="J462" s="1" t="s">
        <v>12</v>
      </c>
      <c r="K462" s="1" t="s">
        <v>27</v>
      </c>
      <c r="L462" s="1" t="s">
        <v>34</v>
      </c>
    </row>
    <row r="463" spans="1:12" x14ac:dyDescent="0.3">
      <c r="A463" s="10">
        <v>447</v>
      </c>
      <c r="B463" s="10" t="s">
        <v>105</v>
      </c>
      <c r="C463" s="10" t="s">
        <v>44</v>
      </c>
      <c r="D463" s="10">
        <v>2023</v>
      </c>
      <c r="E463" s="4">
        <v>1780</v>
      </c>
      <c r="F463" s="8" t="s">
        <v>150</v>
      </c>
      <c r="G463" s="2">
        <v>0</v>
      </c>
      <c r="H463" s="11">
        <v>0</v>
      </c>
      <c r="I463" s="5">
        <v>2022</v>
      </c>
      <c r="J463" s="1" t="s">
        <v>12</v>
      </c>
      <c r="K463" s="1" t="s">
        <v>9</v>
      </c>
      <c r="L463" s="1" t="s">
        <v>10</v>
      </c>
    </row>
    <row r="464" spans="1:12" x14ac:dyDescent="0.3">
      <c r="A464" s="10">
        <v>448</v>
      </c>
      <c r="B464" s="10" t="s">
        <v>108</v>
      </c>
      <c r="C464" s="10" t="s">
        <v>51</v>
      </c>
      <c r="D464" s="10">
        <v>2023</v>
      </c>
      <c r="E464" s="4">
        <v>1780</v>
      </c>
      <c r="F464" s="8" t="s">
        <v>150</v>
      </c>
      <c r="G464" s="2">
        <v>0</v>
      </c>
      <c r="H464" s="3">
        <v>0</v>
      </c>
      <c r="I464" s="1">
        <v>2018</v>
      </c>
      <c r="J464" s="1" t="s">
        <v>12</v>
      </c>
      <c r="K464" s="1" t="s">
        <v>9</v>
      </c>
      <c r="L464" s="1" t="s">
        <v>46</v>
      </c>
    </row>
    <row r="465" spans="1:12" x14ac:dyDescent="0.3">
      <c r="A465" s="10">
        <v>449</v>
      </c>
      <c r="B465" s="10" t="s">
        <v>108</v>
      </c>
      <c r="C465" s="10" t="s">
        <v>52</v>
      </c>
      <c r="D465" s="10">
        <v>2023</v>
      </c>
      <c r="E465" s="4">
        <v>1905</v>
      </c>
      <c r="F465" s="8" t="s">
        <v>150</v>
      </c>
      <c r="G465" s="2">
        <v>0</v>
      </c>
      <c r="H465" s="3">
        <v>4</v>
      </c>
      <c r="I465" s="1">
        <v>2018</v>
      </c>
      <c r="J465" s="1" t="s">
        <v>8</v>
      </c>
      <c r="K465" s="1" t="s">
        <v>27</v>
      </c>
      <c r="L465" s="1" t="s">
        <v>53</v>
      </c>
    </row>
    <row r="466" spans="1:12" x14ac:dyDescent="0.3">
      <c r="A466" s="10">
        <v>450</v>
      </c>
      <c r="B466" s="10" t="s">
        <v>108</v>
      </c>
      <c r="C466" s="10" t="s">
        <v>54</v>
      </c>
      <c r="D466" s="10">
        <v>2023</v>
      </c>
      <c r="E466" s="4">
        <v>1905</v>
      </c>
      <c r="F466" s="8" t="s">
        <v>150</v>
      </c>
      <c r="G466" s="2">
        <v>0</v>
      </c>
      <c r="H466" s="3">
        <v>19</v>
      </c>
      <c r="I466" s="1">
        <v>2017</v>
      </c>
      <c r="J466" s="1" t="s">
        <v>8</v>
      </c>
      <c r="K466" s="1" t="s">
        <v>27</v>
      </c>
      <c r="L466" s="1" t="s">
        <v>53</v>
      </c>
    </row>
    <row r="467" spans="1:12" x14ac:dyDescent="0.3">
      <c r="A467" s="10">
        <v>451</v>
      </c>
      <c r="B467" s="10" t="s">
        <v>108</v>
      </c>
      <c r="C467" s="10" t="s">
        <v>55</v>
      </c>
      <c r="D467" s="10">
        <v>2023</v>
      </c>
      <c r="E467" s="4">
        <v>1905</v>
      </c>
      <c r="F467" s="8" t="s">
        <v>150</v>
      </c>
      <c r="G467" s="2">
        <v>0</v>
      </c>
      <c r="H467" s="3">
        <v>0</v>
      </c>
      <c r="I467" s="1">
        <v>2017</v>
      </c>
      <c r="J467" s="1" t="s">
        <v>8</v>
      </c>
      <c r="K467" s="1" t="s">
        <v>27</v>
      </c>
      <c r="L467" s="1" t="s">
        <v>53</v>
      </c>
    </row>
    <row r="468" spans="1:12" x14ac:dyDescent="0.3">
      <c r="A468" s="10">
        <v>452</v>
      </c>
      <c r="B468" s="10" t="s">
        <v>108</v>
      </c>
      <c r="C468" s="10" t="s">
        <v>56</v>
      </c>
      <c r="D468" s="10">
        <v>2023</v>
      </c>
      <c r="E468" s="4">
        <v>1905</v>
      </c>
      <c r="F468" s="8" t="s">
        <v>150</v>
      </c>
      <c r="G468" s="2">
        <v>5.0000000000000711E-2</v>
      </c>
      <c r="H468" s="3">
        <v>77</v>
      </c>
      <c r="I468" s="1">
        <v>2016</v>
      </c>
      <c r="J468" s="1" t="s">
        <v>8</v>
      </c>
      <c r="K468" s="1" t="s">
        <v>27</v>
      </c>
      <c r="L468" s="1" t="s">
        <v>53</v>
      </c>
    </row>
    <row r="469" spans="1:12" x14ac:dyDescent="0.3">
      <c r="A469" s="10">
        <v>453</v>
      </c>
      <c r="B469" s="10" t="s">
        <v>108</v>
      </c>
      <c r="C469" s="10" t="s">
        <v>57</v>
      </c>
      <c r="D469" s="10">
        <v>2023</v>
      </c>
      <c r="E469" s="4">
        <v>1905</v>
      </c>
      <c r="F469" s="8" t="s">
        <v>150</v>
      </c>
      <c r="G469" s="2">
        <v>6.9999999999998508E-2</v>
      </c>
      <c r="H469" s="3">
        <v>115</v>
      </c>
      <c r="I469" s="1">
        <v>2016</v>
      </c>
      <c r="J469" s="1" t="s">
        <v>8</v>
      </c>
      <c r="K469" s="1" t="s">
        <v>27</v>
      </c>
      <c r="L469" s="1" t="s">
        <v>53</v>
      </c>
    </row>
    <row r="470" spans="1:12" x14ac:dyDescent="0.3">
      <c r="A470" s="10">
        <v>454</v>
      </c>
      <c r="B470" s="10" t="s">
        <v>108</v>
      </c>
      <c r="C470" s="10" t="s">
        <v>58</v>
      </c>
      <c r="D470" s="10">
        <v>2023</v>
      </c>
      <c r="E470" s="4">
        <v>1905</v>
      </c>
      <c r="F470" s="8" t="s">
        <v>150</v>
      </c>
      <c r="G470" s="2">
        <v>9.9999999999988987E-3</v>
      </c>
      <c r="H470" s="3">
        <v>23</v>
      </c>
      <c r="I470" s="1">
        <v>2016</v>
      </c>
      <c r="J470" s="1" t="s">
        <v>8</v>
      </c>
      <c r="K470" s="1" t="s">
        <v>27</v>
      </c>
      <c r="L470" s="1" t="s">
        <v>53</v>
      </c>
    </row>
    <row r="471" spans="1:12" x14ac:dyDescent="0.3">
      <c r="A471" s="9">
        <v>455</v>
      </c>
      <c r="B471" s="10" t="s">
        <v>105</v>
      </c>
      <c r="C471" s="10" t="s">
        <v>6</v>
      </c>
      <c r="D471" s="10">
        <v>2023</v>
      </c>
      <c r="E471" s="14"/>
      <c r="F471" s="8" t="s">
        <v>150</v>
      </c>
      <c r="G471" s="2">
        <f>15.06-14.97</f>
        <v>8.9999999999999858E-2</v>
      </c>
      <c r="H471" s="3">
        <v>0</v>
      </c>
      <c r="I471" s="1">
        <v>2023</v>
      </c>
      <c r="J471" s="1"/>
      <c r="K471" s="1"/>
      <c r="L471" s="1" t="s">
        <v>10</v>
      </c>
    </row>
    <row r="472" spans="1:12" x14ac:dyDescent="0.3">
      <c r="A472" s="9">
        <v>456</v>
      </c>
      <c r="B472" s="10" t="s">
        <v>105</v>
      </c>
      <c r="C472" s="10" t="s">
        <v>11</v>
      </c>
      <c r="D472" s="10">
        <v>2023</v>
      </c>
      <c r="E472" s="14"/>
      <c r="F472" s="8" t="s">
        <v>150</v>
      </c>
      <c r="G472" s="2">
        <v>0</v>
      </c>
      <c r="H472" s="3">
        <v>0</v>
      </c>
      <c r="I472" s="1">
        <v>2023</v>
      </c>
      <c r="J472" s="4" t="s">
        <v>12</v>
      </c>
      <c r="K472" s="4" t="s">
        <v>9</v>
      </c>
      <c r="L472" s="1" t="s">
        <v>10</v>
      </c>
    </row>
    <row r="473" spans="1:12" x14ac:dyDescent="0.3">
      <c r="A473" s="9">
        <v>457</v>
      </c>
      <c r="B473" s="10" t="s">
        <v>105</v>
      </c>
      <c r="C473" s="10" t="s">
        <v>13</v>
      </c>
      <c r="D473" s="10">
        <v>2023</v>
      </c>
      <c r="E473" s="14"/>
      <c r="F473" s="8" t="s">
        <v>150</v>
      </c>
      <c r="G473" s="2">
        <v>0</v>
      </c>
      <c r="H473" s="3">
        <v>0</v>
      </c>
      <c r="I473" s="1">
        <v>2023</v>
      </c>
      <c r="J473" s="1"/>
      <c r="K473" s="1"/>
      <c r="L473" s="1" t="s">
        <v>10</v>
      </c>
    </row>
    <row r="474" spans="1:12" x14ac:dyDescent="0.3">
      <c r="A474" s="10">
        <v>458</v>
      </c>
      <c r="B474" s="10" t="s">
        <v>163</v>
      </c>
      <c r="C474" s="10" t="s">
        <v>88</v>
      </c>
      <c r="D474" s="10">
        <v>2023</v>
      </c>
      <c r="E474" s="4">
        <v>1838</v>
      </c>
      <c r="F474" s="8" t="s">
        <v>150</v>
      </c>
      <c r="G474" s="2">
        <v>0.25000000000000178</v>
      </c>
      <c r="H474" s="3">
        <f>E474*G474</f>
        <v>459.50000000000324</v>
      </c>
      <c r="I474" s="1">
        <v>2021</v>
      </c>
      <c r="J474" s="1" t="s">
        <v>8</v>
      </c>
      <c r="K474" s="1" t="s">
        <v>27</v>
      </c>
      <c r="L474" s="1" t="s">
        <v>34</v>
      </c>
    </row>
    <row r="475" spans="1:12" x14ac:dyDescent="0.3">
      <c r="A475" s="10">
        <v>459</v>
      </c>
      <c r="B475" s="10" t="s">
        <v>163</v>
      </c>
      <c r="C475" s="10" t="s">
        <v>89</v>
      </c>
      <c r="D475" s="10">
        <v>2023</v>
      </c>
      <c r="E475" s="4">
        <v>1838</v>
      </c>
      <c r="F475" s="8" t="s">
        <v>150</v>
      </c>
      <c r="G475" s="2">
        <v>0.20000000000000107</v>
      </c>
      <c r="H475" s="3">
        <f>E475*G475</f>
        <v>367.60000000000196</v>
      </c>
      <c r="I475" s="1">
        <v>2021</v>
      </c>
      <c r="J475" s="1" t="s">
        <v>8</v>
      </c>
      <c r="K475" s="1" t="s">
        <v>27</v>
      </c>
      <c r="L475" s="1" t="s">
        <v>34</v>
      </c>
    </row>
    <row r="476" spans="1:12" x14ac:dyDescent="0.3">
      <c r="A476" s="10">
        <v>460</v>
      </c>
      <c r="B476" s="10" t="s">
        <v>163</v>
      </c>
      <c r="C476" s="10" t="s">
        <v>90</v>
      </c>
      <c r="D476" s="10">
        <v>2023</v>
      </c>
      <c r="E476" s="7">
        <v>1905</v>
      </c>
      <c r="F476" s="8" t="s">
        <v>150</v>
      </c>
      <c r="G476" s="2">
        <v>0</v>
      </c>
      <c r="H476" s="3">
        <v>0</v>
      </c>
      <c r="I476" s="1">
        <v>2022</v>
      </c>
      <c r="J476" s="1" t="s">
        <v>8</v>
      </c>
      <c r="K476" s="1" t="s">
        <v>27</v>
      </c>
      <c r="L476" s="1" t="s">
        <v>53</v>
      </c>
    </row>
    <row r="477" spans="1:12" x14ac:dyDescent="0.3">
      <c r="A477" s="10">
        <v>461</v>
      </c>
      <c r="B477" s="10" t="s">
        <v>163</v>
      </c>
      <c r="C477" s="10" t="s">
        <v>92</v>
      </c>
      <c r="D477" s="10">
        <v>2023</v>
      </c>
      <c r="E477" s="7">
        <v>1905</v>
      </c>
      <c r="F477" s="8" t="s">
        <v>150</v>
      </c>
      <c r="G477" s="2">
        <v>0</v>
      </c>
      <c r="H477" s="3">
        <v>0</v>
      </c>
      <c r="I477" s="1">
        <v>2022</v>
      </c>
      <c r="J477" s="1" t="s">
        <v>8</v>
      </c>
      <c r="K477" s="1" t="s">
        <v>27</v>
      </c>
      <c r="L477" s="1" t="s">
        <v>53</v>
      </c>
    </row>
    <row r="478" spans="1:12" x14ac:dyDescent="0.3">
      <c r="A478" s="10">
        <v>462</v>
      </c>
      <c r="B478" s="10" t="s">
        <v>163</v>
      </c>
      <c r="C478" s="10" t="s">
        <v>80</v>
      </c>
      <c r="D478" s="10">
        <v>2023</v>
      </c>
      <c r="E478" s="7">
        <v>1905</v>
      </c>
      <c r="F478" s="8" t="s">
        <v>150</v>
      </c>
      <c r="G478" s="2">
        <v>0</v>
      </c>
      <c r="H478" s="3">
        <v>0</v>
      </c>
      <c r="I478" s="1">
        <v>2022</v>
      </c>
      <c r="J478" s="1" t="s">
        <v>8</v>
      </c>
      <c r="K478" s="1" t="s">
        <v>27</v>
      </c>
      <c r="L478" s="1" t="s">
        <v>53</v>
      </c>
    </row>
    <row r="479" spans="1:12" x14ac:dyDescent="0.3">
      <c r="A479" s="10">
        <v>463</v>
      </c>
      <c r="B479" s="10" t="s">
        <v>163</v>
      </c>
      <c r="C479" s="10" t="s">
        <v>93</v>
      </c>
      <c r="D479" s="10">
        <v>2023</v>
      </c>
      <c r="E479" s="7">
        <v>1905</v>
      </c>
      <c r="F479" s="8" t="s">
        <v>150</v>
      </c>
      <c r="G479" s="2">
        <v>0</v>
      </c>
      <c r="H479" s="3">
        <v>0</v>
      </c>
      <c r="I479" s="1">
        <v>2022</v>
      </c>
      <c r="J479" s="1" t="s">
        <v>8</v>
      </c>
      <c r="K479" s="1" t="s">
        <v>27</v>
      </c>
      <c r="L479" s="1" t="s">
        <v>153</v>
      </c>
    </row>
    <row r="480" spans="1:12" x14ac:dyDescent="0.3">
      <c r="A480" s="10">
        <v>464</v>
      </c>
      <c r="B480" s="10" t="s">
        <v>163</v>
      </c>
      <c r="C480" s="10" t="s">
        <v>94</v>
      </c>
      <c r="D480" s="10">
        <v>2023</v>
      </c>
      <c r="E480" s="7">
        <v>1905</v>
      </c>
      <c r="F480" s="8" t="s">
        <v>150</v>
      </c>
      <c r="G480" s="2">
        <v>0</v>
      </c>
      <c r="H480" s="3">
        <v>0</v>
      </c>
      <c r="I480" s="1">
        <v>2022</v>
      </c>
      <c r="J480" s="1" t="s">
        <v>8</v>
      </c>
      <c r="K480" s="1" t="s">
        <v>27</v>
      </c>
      <c r="L480" s="1" t="s">
        <v>153</v>
      </c>
    </row>
    <row r="481" spans="1:12" x14ac:dyDescent="0.3">
      <c r="A481" s="10">
        <v>465</v>
      </c>
      <c r="B481" s="10" t="s">
        <v>163</v>
      </c>
      <c r="C481" s="10" t="s">
        <v>95</v>
      </c>
      <c r="D481" s="10">
        <v>2023</v>
      </c>
      <c r="E481" s="7">
        <v>1905</v>
      </c>
      <c r="F481" s="8" t="s">
        <v>150</v>
      </c>
      <c r="G481" s="2">
        <v>0</v>
      </c>
      <c r="H481" s="3">
        <v>0</v>
      </c>
      <c r="I481" s="1">
        <v>2022</v>
      </c>
      <c r="J481" s="1" t="s">
        <v>8</v>
      </c>
      <c r="K481" s="1" t="s">
        <v>27</v>
      </c>
      <c r="L481" s="1" t="s">
        <v>153</v>
      </c>
    </row>
    <row r="482" spans="1:12" x14ac:dyDescent="0.3">
      <c r="A482" s="10">
        <v>466</v>
      </c>
      <c r="B482" s="10" t="s">
        <v>163</v>
      </c>
      <c r="C482" s="10" t="s">
        <v>96</v>
      </c>
      <c r="D482" s="10">
        <v>2023</v>
      </c>
      <c r="E482" s="7">
        <v>1905</v>
      </c>
      <c r="F482" s="8" t="s">
        <v>150</v>
      </c>
      <c r="G482" s="2">
        <v>0</v>
      </c>
      <c r="H482" s="3">
        <v>0</v>
      </c>
      <c r="I482" s="1">
        <v>2022</v>
      </c>
      <c r="J482" s="1" t="s">
        <v>12</v>
      </c>
      <c r="K482" s="1" t="s">
        <v>27</v>
      </c>
      <c r="L482" s="1" t="s">
        <v>136</v>
      </c>
    </row>
    <row r="483" spans="1:12" x14ac:dyDescent="0.3">
      <c r="A483" s="10">
        <v>467</v>
      </c>
      <c r="B483" s="10" t="s">
        <v>163</v>
      </c>
      <c r="C483" s="10" t="s">
        <v>97</v>
      </c>
      <c r="D483" s="10">
        <v>2023</v>
      </c>
      <c r="E483" s="7">
        <v>1905</v>
      </c>
      <c r="F483" s="8" t="s">
        <v>150</v>
      </c>
      <c r="G483" s="2">
        <v>0</v>
      </c>
      <c r="H483" s="3">
        <v>0</v>
      </c>
      <c r="I483" s="1">
        <v>2022</v>
      </c>
      <c r="J483" s="1" t="s">
        <v>12</v>
      </c>
      <c r="K483" s="1" t="s">
        <v>27</v>
      </c>
      <c r="L483" s="1" t="s">
        <v>136</v>
      </c>
    </row>
    <row r="484" spans="1:12" x14ac:dyDescent="0.3">
      <c r="A484" s="10">
        <v>468</v>
      </c>
      <c r="B484" s="10" t="s">
        <v>163</v>
      </c>
      <c r="C484" s="10" t="s">
        <v>98</v>
      </c>
      <c r="D484" s="10">
        <v>2023</v>
      </c>
      <c r="E484" s="7">
        <v>1905</v>
      </c>
      <c r="F484" s="8" t="s">
        <v>150</v>
      </c>
      <c r="G484" s="2">
        <v>0</v>
      </c>
      <c r="H484" s="3">
        <v>0</v>
      </c>
      <c r="I484" s="1">
        <v>2022</v>
      </c>
      <c r="J484" s="1" t="s">
        <v>12</v>
      </c>
      <c r="K484" s="1" t="s">
        <v>27</v>
      </c>
      <c r="L484" s="1" t="s">
        <v>136</v>
      </c>
    </row>
    <row r="485" spans="1:12" x14ac:dyDescent="0.3">
      <c r="A485" s="10">
        <v>469</v>
      </c>
      <c r="B485" s="10" t="s">
        <v>163</v>
      </c>
      <c r="C485" s="10" t="s">
        <v>99</v>
      </c>
      <c r="D485" s="10">
        <v>2023</v>
      </c>
      <c r="E485" s="8">
        <v>1754</v>
      </c>
      <c r="F485" s="8" t="s">
        <v>150</v>
      </c>
      <c r="G485" s="2">
        <v>0</v>
      </c>
      <c r="H485" s="3">
        <v>0</v>
      </c>
      <c r="I485" s="1">
        <v>2022</v>
      </c>
      <c r="J485" s="1" t="s">
        <v>8</v>
      </c>
      <c r="K485" s="1" t="s">
        <v>27</v>
      </c>
      <c r="L485" s="1" t="s">
        <v>134</v>
      </c>
    </row>
    <row r="486" spans="1:12" x14ac:dyDescent="0.3">
      <c r="A486" s="10">
        <v>470</v>
      </c>
      <c r="B486" s="10" t="s">
        <v>163</v>
      </c>
      <c r="C486" s="10" t="s">
        <v>100</v>
      </c>
      <c r="D486" s="10">
        <v>2023</v>
      </c>
      <c r="E486" s="8">
        <v>1754</v>
      </c>
      <c r="F486" s="8" t="s">
        <v>150</v>
      </c>
      <c r="G486" s="2">
        <v>0</v>
      </c>
      <c r="H486" s="3">
        <v>0</v>
      </c>
      <c r="I486" s="1">
        <v>2022</v>
      </c>
      <c r="J486" s="1" t="s">
        <v>8</v>
      </c>
      <c r="K486" s="1" t="s">
        <v>27</v>
      </c>
      <c r="L486" s="1" t="s">
        <v>134</v>
      </c>
    </row>
    <row r="487" spans="1:12" x14ac:dyDescent="0.3">
      <c r="A487" s="12">
        <v>471</v>
      </c>
      <c r="B487" s="12" t="s">
        <v>117</v>
      </c>
      <c r="C487" s="12" t="s">
        <v>45</v>
      </c>
      <c r="D487" s="10">
        <v>2023</v>
      </c>
      <c r="E487" s="12"/>
      <c r="F487" s="8" t="s">
        <v>150</v>
      </c>
      <c r="G487" s="2">
        <v>0</v>
      </c>
      <c r="H487" s="3">
        <v>0</v>
      </c>
      <c r="I487" s="1">
        <v>2023</v>
      </c>
      <c r="J487" s="1"/>
      <c r="K487" s="1"/>
      <c r="L487" s="1" t="s">
        <v>154</v>
      </c>
    </row>
    <row r="488" spans="1:12" x14ac:dyDescent="0.3">
      <c r="A488" s="12">
        <v>472</v>
      </c>
      <c r="B488" s="12" t="s">
        <v>117</v>
      </c>
      <c r="C488" s="12" t="s">
        <v>47</v>
      </c>
      <c r="D488" s="10">
        <v>2023</v>
      </c>
      <c r="E488" s="12"/>
      <c r="F488" s="8" t="s">
        <v>150</v>
      </c>
      <c r="G488" s="2">
        <v>0</v>
      </c>
      <c r="H488" s="3">
        <v>0</v>
      </c>
      <c r="I488" s="1">
        <v>2023</v>
      </c>
      <c r="J488" s="1"/>
      <c r="K488" s="1"/>
      <c r="L488" s="1" t="s">
        <v>154</v>
      </c>
    </row>
    <row r="489" spans="1:12" x14ac:dyDescent="0.3">
      <c r="A489" s="10">
        <v>473</v>
      </c>
      <c r="B489" s="10" t="s">
        <v>112</v>
      </c>
      <c r="C489" s="10" t="s">
        <v>83</v>
      </c>
      <c r="D489" s="10">
        <v>2023</v>
      </c>
      <c r="E489" s="12"/>
      <c r="F489" s="8" t="s">
        <v>150</v>
      </c>
      <c r="G489" s="2">
        <v>0</v>
      </c>
      <c r="H489" s="3">
        <v>0</v>
      </c>
      <c r="I489" s="1">
        <v>2023</v>
      </c>
      <c r="J489" s="1"/>
      <c r="K489" s="1"/>
      <c r="L489" s="1" t="s">
        <v>134</v>
      </c>
    </row>
    <row r="490" spans="1:12" x14ac:dyDescent="0.3">
      <c r="A490" s="12">
        <v>475</v>
      </c>
      <c r="B490" s="12" t="s">
        <v>117</v>
      </c>
      <c r="C490" s="12" t="s">
        <v>101</v>
      </c>
      <c r="D490" s="10">
        <v>2023</v>
      </c>
      <c r="E490" s="12"/>
      <c r="F490" s="8" t="s">
        <v>150</v>
      </c>
      <c r="G490" s="2">
        <v>0</v>
      </c>
      <c r="H490" s="3">
        <v>0</v>
      </c>
      <c r="I490" s="1">
        <v>2023</v>
      </c>
      <c r="J490" s="1"/>
      <c r="K490" s="1"/>
      <c r="L490" s="1" t="s">
        <v>154</v>
      </c>
    </row>
    <row r="491" spans="1:12" x14ac:dyDescent="0.3">
      <c r="A491" s="12">
        <v>476</v>
      </c>
      <c r="B491" s="12" t="s">
        <v>117</v>
      </c>
      <c r="C491" s="12" t="s">
        <v>103</v>
      </c>
      <c r="D491" s="10">
        <v>2023</v>
      </c>
      <c r="E491" s="12"/>
      <c r="F491" s="8" t="s">
        <v>150</v>
      </c>
      <c r="G491" s="2">
        <v>0</v>
      </c>
      <c r="H491" s="3">
        <v>0</v>
      </c>
      <c r="I491" s="1">
        <v>2023</v>
      </c>
      <c r="J491" s="1"/>
      <c r="K491" s="1"/>
      <c r="L491" s="1" t="s">
        <v>154</v>
      </c>
    </row>
    <row r="492" spans="1:12" x14ac:dyDescent="0.3">
      <c r="A492" s="10">
        <v>477</v>
      </c>
      <c r="B492" s="10" t="s">
        <v>109</v>
      </c>
      <c r="C492" s="10" t="s">
        <v>59</v>
      </c>
      <c r="D492" s="10">
        <v>2023</v>
      </c>
      <c r="E492" s="4">
        <v>1905</v>
      </c>
      <c r="F492" s="8" t="s">
        <v>150</v>
      </c>
      <c r="G492" s="2">
        <v>0.29999999999999982</v>
      </c>
      <c r="H492" s="11">
        <v>576</v>
      </c>
      <c r="I492" s="1">
        <v>2018</v>
      </c>
      <c r="J492" s="1" t="s">
        <v>8</v>
      </c>
      <c r="K492" s="1"/>
      <c r="L492" s="1" t="s">
        <v>10</v>
      </c>
    </row>
    <row r="493" spans="1:12" x14ac:dyDescent="0.3">
      <c r="A493" s="10">
        <v>478</v>
      </c>
      <c r="B493" s="10" t="s">
        <v>109</v>
      </c>
      <c r="C493" s="10" t="s">
        <v>60</v>
      </c>
      <c r="D493" s="10">
        <v>2023</v>
      </c>
      <c r="E493" s="4">
        <v>1905</v>
      </c>
      <c r="F493" s="8" t="s">
        <v>150</v>
      </c>
      <c r="G493" s="2">
        <v>0.12</v>
      </c>
      <c r="H493" s="11">
        <v>233</v>
      </c>
      <c r="I493" s="1" t="s">
        <v>61</v>
      </c>
      <c r="J493" s="1" t="s">
        <v>8</v>
      </c>
      <c r="K493" s="1" t="s">
        <v>9</v>
      </c>
      <c r="L493" s="1" t="s">
        <v>10</v>
      </c>
    </row>
    <row r="494" spans="1:12" x14ac:dyDescent="0.3">
      <c r="A494" s="10">
        <v>479</v>
      </c>
      <c r="B494" s="10" t="s">
        <v>109</v>
      </c>
      <c r="C494" s="10" t="s">
        <v>130</v>
      </c>
      <c r="D494" s="10">
        <v>2023</v>
      </c>
      <c r="E494" s="4">
        <v>1780</v>
      </c>
      <c r="F494" s="8" t="s">
        <v>150</v>
      </c>
      <c r="G494" s="2">
        <v>0.14000000000000057</v>
      </c>
      <c r="H494" s="11">
        <v>254</v>
      </c>
      <c r="I494" s="1">
        <v>2020</v>
      </c>
      <c r="J494" s="1" t="s">
        <v>12</v>
      </c>
      <c r="K494" s="1" t="s">
        <v>27</v>
      </c>
      <c r="L494" s="1" t="s">
        <v>53</v>
      </c>
    </row>
    <row r="495" spans="1:12" x14ac:dyDescent="0.3">
      <c r="A495" s="10">
        <v>480</v>
      </c>
      <c r="B495" s="10" t="s">
        <v>109</v>
      </c>
      <c r="C495" s="10" t="s">
        <v>63</v>
      </c>
      <c r="D495" s="10">
        <v>2023</v>
      </c>
      <c r="E495" s="4">
        <v>1780</v>
      </c>
      <c r="F495" s="8" t="s">
        <v>150</v>
      </c>
      <c r="G495" s="2">
        <v>0.16999999999999993</v>
      </c>
      <c r="H495" s="11">
        <v>298</v>
      </c>
      <c r="I495" s="1">
        <v>2020</v>
      </c>
      <c r="J495" s="1" t="s">
        <v>12</v>
      </c>
      <c r="K495" s="1" t="s">
        <v>27</v>
      </c>
      <c r="L495" s="1" t="s">
        <v>53</v>
      </c>
    </row>
    <row r="496" spans="1:12" x14ac:dyDescent="0.3">
      <c r="A496" s="10">
        <v>481</v>
      </c>
      <c r="B496" s="10" t="s">
        <v>109</v>
      </c>
      <c r="C496" s="10" t="s">
        <v>64</v>
      </c>
      <c r="D496" s="10">
        <v>2023</v>
      </c>
      <c r="E496" s="4">
        <v>1780</v>
      </c>
      <c r="F496" s="8" t="s">
        <v>150</v>
      </c>
      <c r="G496" s="2">
        <v>0</v>
      </c>
      <c r="H496" s="11">
        <v>12</v>
      </c>
      <c r="I496" s="1">
        <v>2020</v>
      </c>
      <c r="J496" s="1" t="s">
        <v>12</v>
      </c>
      <c r="K496" s="1" t="s">
        <v>27</v>
      </c>
      <c r="L496" s="1" t="s">
        <v>53</v>
      </c>
    </row>
    <row r="497" spans="1:12" x14ac:dyDescent="0.3">
      <c r="A497" s="10">
        <v>482</v>
      </c>
      <c r="B497" s="10" t="s">
        <v>109</v>
      </c>
      <c r="C497" s="10" t="s">
        <v>65</v>
      </c>
      <c r="D497" s="10">
        <v>2023</v>
      </c>
      <c r="E497" s="7">
        <v>1838</v>
      </c>
      <c r="F497" s="8" t="s">
        <v>150</v>
      </c>
      <c r="G497" s="2">
        <v>4.9999999999998934E-2</v>
      </c>
      <c r="H497" s="11">
        <v>92</v>
      </c>
      <c r="I497" s="1">
        <v>2021</v>
      </c>
      <c r="J497" s="1" t="s">
        <v>12</v>
      </c>
      <c r="K497" s="1" t="s">
        <v>27</v>
      </c>
      <c r="L497" s="1" t="s">
        <v>34</v>
      </c>
    </row>
    <row r="498" spans="1:12" x14ac:dyDescent="0.3">
      <c r="A498" s="10">
        <v>483</v>
      </c>
      <c r="B498" s="10" t="s">
        <v>109</v>
      </c>
      <c r="C498" s="10" t="s">
        <v>66</v>
      </c>
      <c r="D498" s="10">
        <v>2023</v>
      </c>
      <c r="E498" s="7">
        <v>1838</v>
      </c>
      <c r="F498" s="8" t="s">
        <v>150</v>
      </c>
      <c r="G498" s="2">
        <v>6.0000000000002274E-2</v>
      </c>
      <c r="H498" s="11">
        <f>E498*G498</f>
        <v>110.28000000000418</v>
      </c>
      <c r="I498" s="1">
        <v>2021</v>
      </c>
      <c r="J498" s="1" t="s">
        <v>12</v>
      </c>
      <c r="K498" s="1" t="s">
        <v>27</v>
      </c>
      <c r="L498" s="1" t="s">
        <v>34</v>
      </c>
    </row>
    <row r="499" spans="1:12" x14ac:dyDescent="0.3">
      <c r="A499" s="13">
        <v>484</v>
      </c>
      <c r="B499" s="13" t="s">
        <v>109</v>
      </c>
      <c r="C499" s="13" t="s">
        <v>104</v>
      </c>
      <c r="D499" s="10">
        <v>2023</v>
      </c>
      <c r="E499" s="13"/>
      <c r="F499" s="8" t="s">
        <v>150</v>
      </c>
      <c r="G499" s="2">
        <v>0</v>
      </c>
      <c r="H499" s="3">
        <v>0</v>
      </c>
      <c r="I499" s="1">
        <v>2023</v>
      </c>
      <c r="J499" s="1"/>
      <c r="K499" s="1"/>
      <c r="L499" s="1" t="s">
        <v>154</v>
      </c>
    </row>
    <row r="500" spans="1:12" x14ac:dyDescent="0.3">
      <c r="A500" s="13">
        <v>485</v>
      </c>
      <c r="B500" s="13" t="s">
        <v>109</v>
      </c>
      <c r="C500" s="13" t="s">
        <v>102</v>
      </c>
      <c r="D500" s="10">
        <v>2023</v>
      </c>
      <c r="E500" s="13"/>
      <c r="F500" s="8" t="s">
        <v>150</v>
      </c>
      <c r="G500" s="2">
        <v>0</v>
      </c>
      <c r="H500" s="3">
        <v>0</v>
      </c>
      <c r="I500" s="1">
        <v>2023</v>
      </c>
      <c r="J500" s="1"/>
      <c r="K500" s="1"/>
      <c r="L500" s="1" t="s">
        <v>154</v>
      </c>
    </row>
    <row r="501" spans="1:12" x14ac:dyDescent="0.3">
      <c r="A501" s="12">
        <v>486</v>
      </c>
      <c r="B501" s="12" t="s">
        <v>167</v>
      </c>
      <c r="C501" s="12" t="s">
        <v>48</v>
      </c>
      <c r="D501" s="10">
        <v>2023</v>
      </c>
      <c r="E501" s="12"/>
      <c r="F501" s="8" t="s">
        <v>150</v>
      </c>
      <c r="G501" s="2">
        <v>0</v>
      </c>
      <c r="H501" s="3">
        <v>0</v>
      </c>
      <c r="I501" s="1">
        <v>2023</v>
      </c>
      <c r="J501" s="1"/>
      <c r="K501" s="1"/>
      <c r="L501" s="1" t="s">
        <v>154</v>
      </c>
    </row>
    <row r="502" spans="1:12" x14ac:dyDescent="0.3">
      <c r="A502" s="12">
        <v>487</v>
      </c>
      <c r="B502" s="12" t="s">
        <v>167</v>
      </c>
      <c r="C502" s="12" t="s">
        <v>50</v>
      </c>
      <c r="D502" s="10">
        <v>2023</v>
      </c>
      <c r="E502" s="12"/>
      <c r="F502" s="8" t="s">
        <v>150</v>
      </c>
      <c r="G502" s="2">
        <v>0</v>
      </c>
      <c r="H502" s="3">
        <v>0</v>
      </c>
      <c r="I502" s="1">
        <v>2023</v>
      </c>
      <c r="J502" s="1"/>
      <c r="K502" s="1"/>
      <c r="L502" s="1" t="s">
        <v>154</v>
      </c>
    </row>
    <row r="503" spans="1:12" x14ac:dyDescent="0.3">
      <c r="A503" s="10">
        <v>488</v>
      </c>
      <c r="B503" s="10" t="s">
        <v>167</v>
      </c>
      <c r="C503" s="10" t="s">
        <v>67</v>
      </c>
      <c r="D503" s="10">
        <v>2023</v>
      </c>
      <c r="E503" s="4">
        <v>1684</v>
      </c>
      <c r="F503" s="8" t="s">
        <v>150</v>
      </c>
      <c r="G503" s="2">
        <v>0.24</v>
      </c>
      <c r="H503" s="11">
        <v>404.15999999999997</v>
      </c>
      <c r="I503" s="5">
        <v>2018</v>
      </c>
      <c r="J503" s="1" t="s">
        <v>12</v>
      </c>
      <c r="K503" s="1"/>
      <c r="L503" s="1" t="s">
        <v>49</v>
      </c>
    </row>
    <row r="504" spans="1:12" x14ac:dyDescent="0.3">
      <c r="A504" s="10">
        <v>489</v>
      </c>
      <c r="B504" s="10" t="s">
        <v>167</v>
      </c>
      <c r="C504" s="10" t="s">
        <v>68</v>
      </c>
      <c r="D504" s="10">
        <v>2023</v>
      </c>
      <c r="E504" s="4">
        <v>1684</v>
      </c>
      <c r="F504" s="8" t="s">
        <v>150</v>
      </c>
      <c r="G504" s="2">
        <v>0.27</v>
      </c>
      <c r="H504" s="11">
        <v>454.68</v>
      </c>
      <c r="I504" s="5">
        <v>2018</v>
      </c>
      <c r="J504" s="1" t="s">
        <v>12</v>
      </c>
      <c r="K504" s="1"/>
      <c r="L504" s="1" t="s">
        <v>49</v>
      </c>
    </row>
    <row r="505" spans="1:12" x14ac:dyDescent="0.3">
      <c r="A505" s="10">
        <v>490</v>
      </c>
      <c r="B505" s="10" t="s">
        <v>167</v>
      </c>
      <c r="C505" s="10" t="s">
        <v>69</v>
      </c>
      <c r="D505" s="10">
        <v>2023</v>
      </c>
      <c r="E505" s="4">
        <v>1684</v>
      </c>
      <c r="F505" s="8" t="s">
        <v>150</v>
      </c>
      <c r="G505" s="2">
        <v>0.27000000000000135</v>
      </c>
      <c r="H505" s="11">
        <v>454.68000000000228</v>
      </c>
      <c r="I505" s="5">
        <v>2018</v>
      </c>
      <c r="J505" s="1" t="s">
        <v>12</v>
      </c>
      <c r="K505" s="1"/>
      <c r="L505" s="1" t="s">
        <v>49</v>
      </c>
    </row>
    <row r="506" spans="1:12" x14ac:dyDescent="0.3">
      <c r="A506" s="10">
        <v>491</v>
      </c>
      <c r="B506" s="10" t="s">
        <v>167</v>
      </c>
      <c r="C506" s="10" t="s">
        <v>70</v>
      </c>
      <c r="D506" s="10">
        <v>2023</v>
      </c>
      <c r="E506" s="4">
        <v>1262</v>
      </c>
      <c r="F506" s="8" t="s">
        <v>150</v>
      </c>
      <c r="G506" s="2">
        <v>0.36999999999999922</v>
      </c>
      <c r="H506" s="11">
        <v>466.93999999999903</v>
      </c>
      <c r="I506" s="5">
        <v>2018</v>
      </c>
      <c r="J506" s="1" t="s">
        <v>12</v>
      </c>
      <c r="K506" s="1"/>
      <c r="L506" s="1" t="s">
        <v>49</v>
      </c>
    </row>
    <row r="507" spans="1:12" x14ac:dyDescent="0.3">
      <c r="A507" s="10">
        <v>492</v>
      </c>
      <c r="B507" s="10" t="s">
        <v>167</v>
      </c>
      <c r="C507" s="10" t="s">
        <v>71</v>
      </c>
      <c r="D507" s="10">
        <v>2023</v>
      </c>
      <c r="E507" s="4">
        <v>1780.2</v>
      </c>
      <c r="F507" s="8" t="s">
        <v>150</v>
      </c>
      <c r="G507" s="2">
        <v>0.1899999999999995</v>
      </c>
      <c r="H507" s="11">
        <v>339</v>
      </c>
      <c r="I507" s="5">
        <v>2020</v>
      </c>
      <c r="J507" s="1" t="s">
        <v>12</v>
      </c>
      <c r="K507" s="1"/>
      <c r="L507" s="1" t="s">
        <v>46</v>
      </c>
    </row>
    <row r="508" spans="1:12" x14ac:dyDescent="0.3">
      <c r="A508" s="10">
        <v>493</v>
      </c>
      <c r="B508" s="10" t="s">
        <v>167</v>
      </c>
      <c r="C508" s="10" t="s">
        <v>72</v>
      </c>
      <c r="D508" s="10">
        <v>2023</v>
      </c>
      <c r="E508" s="4">
        <v>1780.2</v>
      </c>
      <c r="F508" s="8" t="s">
        <v>150</v>
      </c>
      <c r="G508" s="2">
        <v>0.17999999999999972</v>
      </c>
      <c r="H508" s="11">
        <v>320</v>
      </c>
      <c r="I508" s="5">
        <v>2020</v>
      </c>
      <c r="J508" s="1" t="s">
        <v>12</v>
      </c>
      <c r="K508" s="1"/>
      <c r="L508" s="1" t="s">
        <v>46</v>
      </c>
    </row>
    <row r="509" spans="1:12" x14ac:dyDescent="0.3">
      <c r="A509" s="10">
        <v>494</v>
      </c>
      <c r="B509" s="10" t="s">
        <v>167</v>
      </c>
      <c r="C509" s="10" t="s">
        <v>73</v>
      </c>
      <c r="D509" s="10">
        <v>2023</v>
      </c>
      <c r="E509" s="4">
        <v>1779.3333333333333</v>
      </c>
      <c r="F509" s="8" t="s">
        <v>150</v>
      </c>
      <c r="G509" s="2">
        <v>0.41000000000000003</v>
      </c>
      <c r="H509" s="11">
        <v>729.52666666666664</v>
      </c>
      <c r="I509" s="5">
        <v>2020</v>
      </c>
      <c r="J509" s="1" t="s">
        <v>12</v>
      </c>
      <c r="K509" s="1"/>
      <c r="L509" s="1" t="s">
        <v>46</v>
      </c>
    </row>
    <row r="510" spans="1:12" x14ac:dyDescent="0.3">
      <c r="A510" s="10">
        <v>495</v>
      </c>
      <c r="B510" s="10" t="s">
        <v>167</v>
      </c>
      <c r="C510" s="10" t="s">
        <v>74</v>
      </c>
      <c r="D510" s="10">
        <v>2023</v>
      </c>
      <c r="E510" s="8">
        <v>1894</v>
      </c>
      <c r="F510" s="8" t="s">
        <v>150</v>
      </c>
      <c r="G510" s="2">
        <v>0.90999999999999992</v>
      </c>
      <c r="H510" s="11">
        <v>1723.5399999999997</v>
      </c>
      <c r="I510" s="5">
        <v>2021</v>
      </c>
      <c r="J510" s="1" t="s">
        <v>12</v>
      </c>
      <c r="K510" s="1"/>
      <c r="L510" s="1" t="s">
        <v>49</v>
      </c>
    </row>
    <row r="511" spans="1:12" x14ac:dyDescent="0.3">
      <c r="A511" s="10">
        <v>496</v>
      </c>
      <c r="B511" s="10" t="s">
        <v>167</v>
      </c>
      <c r="C511" s="10" t="s">
        <v>75</v>
      </c>
      <c r="D511" s="10">
        <v>2023</v>
      </c>
      <c r="E511" s="8">
        <v>1894</v>
      </c>
      <c r="F511" s="8" t="s">
        <v>150</v>
      </c>
      <c r="G511" s="2">
        <v>0.19</v>
      </c>
      <c r="H511" s="11">
        <v>359.86</v>
      </c>
      <c r="I511" s="5">
        <v>2021</v>
      </c>
      <c r="J511" s="1" t="s">
        <v>12</v>
      </c>
      <c r="K511" s="1"/>
      <c r="L511" s="1" t="s">
        <v>49</v>
      </c>
    </row>
    <row r="512" spans="1:12" x14ac:dyDescent="0.3">
      <c r="A512" s="10">
        <v>497</v>
      </c>
      <c r="B512" s="10" t="s">
        <v>167</v>
      </c>
      <c r="C512" s="10" t="s">
        <v>76</v>
      </c>
      <c r="D512" s="10">
        <v>2023</v>
      </c>
      <c r="E512" s="8">
        <v>1894</v>
      </c>
      <c r="F512" s="8" t="s">
        <v>150</v>
      </c>
      <c r="G512" s="2">
        <v>0.28000000000000003</v>
      </c>
      <c r="H512" s="11">
        <v>530.32000000000005</v>
      </c>
      <c r="I512" s="5">
        <v>2021</v>
      </c>
      <c r="J512" s="1" t="s">
        <v>12</v>
      </c>
      <c r="K512" s="1"/>
      <c r="L512" s="1" t="s">
        <v>49</v>
      </c>
    </row>
    <row r="513" spans="1:12" x14ac:dyDescent="0.3">
      <c r="A513" s="10">
        <v>498</v>
      </c>
      <c r="B513" s="10" t="s">
        <v>167</v>
      </c>
      <c r="C513" s="10" t="s">
        <v>77</v>
      </c>
      <c r="D513" s="10">
        <v>2023</v>
      </c>
      <c r="E513" s="8">
        <v>1905</v>
      </c>
      <c r="F513" s="8" t="s">
        <v>150</v>
      </c>
      <c r="G513" s="2">
        <v>1.32</v>
      </c>
      <c r="H513" s="11">
        <v>849</v>
      </c>
      <c r="I513" s="5">
        <v>2021</v>
      </c>
      <c r="J513" s="1" t="s">
        <v>12</v>
      </c>
      <c r="K513" s="1"/>
      <c r="L513" s="1" t="s">
        <v>49</v>
      </c>
    </row>
    <row r="514" spans="1:12" x14ac:dyDescent="0.3">
      <c r="A514" s="10">
        <v>499</v>
      </c>
      <c r="B514" s="10" t="s">
        <v>135</v>
      </c>
      <c r="C514" s="10" t="s">
        <v>80</v>
      </c>
      <c r="D514" s="10">
        <v>2023</v>
      </c>
      <c r="E514" s="4">
        <v>1780</v>
      </c>
      <c r="F514" s="8" t="s">
        <v>150</v>
      </c>
      <c r="G514" s="2">
        <v>0</v>
      </c>
      <c r="H514" s="3">
        <v>0</v>
      </c>
      <c r="I514" s="5">
        <v>2021</v>
      </c>
      <c r="J514" s="1" t="s">
        <v>12</v>
      </c>
      <c r="K514" s="1" t="s">
        <v>27</v>
      </c>
      <c r="L514" s="1" t="s">
        <v>53</v>
      </c>
    </row>
    <row r="515" spans="1:12" x14ac:dyDescent="0.3">
      <c r="A515" s="10">
        <v>500</v>
      </c>
      <c r="B515" s="10" t="s">
        <v>112</v>
      </c>
      <c r="C515" s="10" t="s">
        <v>81</v>
      </c>
      <c r="D515" s="10">
        <v>2023</v>
      </c>
      <c r="E515" s="4">
        <v>1780</v>
      </c>
      <c r="F515" s="8" t="s">
        <v>150</v>
      </c>
      <c r="G515" s="2">
        <v>0.1899999999999995</v>
      </c>
      <c r="H515" s="6">
        <v>342</v>
      </c>
      <c r="I515" s="1">
        <v>2020</v>
      </c>
      <c r="J515" s="1" t="s">
        <v>12</v>
      </c>
      <c r="K515" s="1"/>
      <c r="L515" s="1" t="s">
        <v>46</v>
      </c>
    </row>
    <row r="516" spans="1:12" x14ac:dyDescent="0.3">
      <c r="A516" s="10">
        <v>501</v>
      </c>
      <c r="B516" s="10" t="s">
        <v>112</v>
      </c>
      <c r="C516" s="10" t="s">
        <v>82</v>
      </c>
      <c r="D516" s="10">
        <v>2023</v>
      </c>
      <c r="E516" s="4">
        <v>1780</v>
      </c>
      <c r="F516" s="8" t="s">
        <v>150</v>
      </c>
      <c r="G516" s="2">
        <v>1.9999999999999574E-2</v>
      </c>
      <c r="H516" s="6">
        <v>38</v>
      </c>
      <c r="I516" s="1">
        <v>2020</v>
      </c>
      <c r="J516" s="1" t="s">
        <v>12</v>
      </c>
      <c r="K516" s="1"/>
      <c r="L516" s="1" t="s">
        <v>46</v>
      </c>
    </row>
    <row r="517" spans="1:12" x14ac:dyDescent="0.3">
      <c r="A517" s="10">
        <v>502</v>
      </c>
      <c r="B517" s="10" t="s">
        <v>112</v>
      </c>
      <c r="C517" s="10" t="s">
        <v>51</v>
      </c>
      <c r="D517" s="10">
        <v>2023</v>
      </c>
      <c r="E517" s="4">
        <v>1780</v>
      </c>
      <c r="F517" s="8" t="s">
        <v>150</v>
      </c>
      <c r="G517" s="2">
        <v>5.9999999999999609E-2</v>
      </c>
      <c r="H517" s="6">
        <v>111</v>
      </c>
      <c r="I517" s="1">
        <v>2021</v>
      </c>
      <c r="J517" s="1" t="s">
        <v>12</v>
      </c>
      <c r="K517" s="1" t="s">
        <v>9</v>
      </c>
      <c r="L517" s="1" t="s">
        <v>46</v>
      </c>
    </row>
    <row r="518" spans="1:12" x14ac:dyDescent="0.3">
      <c r="A518" s="10">
        <v>503</v>
      </c>
      <c r="B518" s="10" t="s">
        <v>112</v>
      </c>
      <c r="C518" s="10" t="s">
        <v>84</v>
      </c>
      <c r="D518" s="10">
        <v>2023</v>
      </c>
      <c r="E518" s="4">
        <v>1632</v>
      </c>
      <c r="F518" s="8" t="s">
        <v>150</v>
      </c>
      <c r="G518" s="2">
        <v>1.0899999999999999</v>
      </c>
      <c r="H518" s="6">
        <v>235</v>
      </c>
      <c r="I518" s="1">
        <v>2016</v>
      </c>
      <c r="J518" s="1" t="s">
        <v>12</v>
      </c>
      <c r="K518" s="1" t="s">
        <v>27</v>
      </c>
      <c r="L518" s="1" t="s">
        <v>134</v>
      </c>
    </row>
    <row r="519" spans="1:12" x14ac:dyDescent="0.3">
      <c r="A519" s="10">
        <v>504</v>
      </c>
      <c r="B519" s="10" t="s">
        <v>112</v>
      </c>
      <c r="C519" s="10" t="s">
        <v>85</v>
      </c>
      <c r="D519" s="10">
        <v>2023</v>
      </c>
      <c r="E519" s="4">
        <v>1632</v>
      </c>
      <c r="F519" s="8" t="s">
        <v>150</v>
      </c>
      <c r="G519" s="2">
        <v>0.52999999999999936</v>
      </c>
      <c r="H519" s="6">
        <v>364</v>
      </c>
      <c r="I519" s="1">
        <v>2016</v>
      </c>
      <c r="J519" s="1" t="s">
        <v>12</v>
      </c>
      <c r="K519" s="1" t="s">
        <v>27</v>
      </c>
      <c r="L519" s="1" t="s">
        <v>134</v>
      </c>
    </row>
    <row r="520" spans="1:12" x14ac:dyDescent="0.3">
      <c r="A520" s="10">
        <v>505</v>
      </c>
      <c r="B520" s="10" t="s">
        <v>112</v>
      </c>
      <c r="C520" s="10" t="s">
        <v>86</v>
      </c>
      <c r="D520" s="10">
        <v>2023</v>
      </c>
      <c r="E520" s="4">
        <v>1632</v>
      </c>
      <c r="F520" s="8" t="s">
        <v>150</v>
      </c>
      <c r="G520" s="2">
        <v>0.18999999999999773</v>
      </c>
      <c r="H520" s="6">
        <v>152</v>
      </c>
      <c r="I520" s="1">
        <v>2016</v>
      </c>
      <c r="J520" s="1" t="s">
        <v>12</v>
      </c>
      <c r="K520" s="1" t="s">
        <v>27</v>
      </c>
      <c r="L520" s="1" t="s">
        <v>134</v>
      </c>
    </row>
    <row r="521" spans="1:12" x14ac:dyDescent="0.3">
      <c r="A521" s="10">
        <v>506</v>
      </c>
      <c r="B521" s="10" t="s">
        <v>112</v>
      </c>
      <c r="C521" s="10" t="s">
        <v>87</v>
      </c>
      <c r="D521" s="10">
        <v>2023</v>
      </c>
      <c r="E521" s="4">
        <v>1587</v>
      </c>
      <c r="F521" s="8" t="s">
        <v>150</v>
      </c>
      <c r="G521" s="2">
        <v>0.11000000000000032</v>
      </c>
      <c r="H521" s="6">
        <v>34</v>
      </c>
      <c r="I521" s="1">
        <v>2019</v>
      </c>
      <c r="J521" s="1" t="s">
        <v>12</v>
      </c>
      <c r="K521" s="1" t="s">
        <v>27</v>
      </c>
      <c r="L521" s="1" t="s">
        <v>134</v>
      </c>
    </row>
    <row r="522" spans="1:12" x14ac:dyDescent="0.3">
      <c r="A522" s="10">
        <v>247</v>
      </c>
      <c r="B522" s="10" t="s">
        <v>105</v>
      </c>
      <c r="C522" s="10" t="s">
        <v>14</v>
      </c>
      <c r="D522" s="10">
        <v>2024</v>
      </c>
      <c r="E522" s="4">
        <v>2132</v>
      </c>
      <c r="F522" s="4" t="s">
        <v>7</v>
      </c>
      <c r="G522" s="2">
        <v>14.73</v>
      </c>
      <c r="H522" s="11">
        <f>G522*E522</f>
        <v>31404.36</v>
      </c>
      <c r="I522" s="5">
        <v>2016</v>
      </c>
      <c r="J522" s="1" t="s">
        <v>12</v>
      </c>
      <c r="K522" s="1" t="s">
        <v>9</v>
      </c>
      <c r="L522" s="1" t="s">
        <v>10</v>
      </c>
    </row>
    <row r="523" spans="1:12" x14ac:dyDescent="0.3">
      <c r="A523" s="10">
        <v>248</v>
      </c>
      <c r="B523" s="10" t="s">
        <v>105</v>
      </c>
      <c r="C523" s="10" t="s">
        <v>15</v>
      </c>
      <c r="D523" s="10">
        <v>2024</v>
      </c>
      <c r="E523" s="4">
        <v>2132</v>
      </c>
      <c r="F523" s="4" t="s">
        <v>7</v>
      </c>
      <c r="G523" s="2">
        <v>14.75</v>
      </c>
      <c r="H523" s="11">
        <f>G523*E523</f>
        <v>31447</v>
      </c>
      <c r="I523" s="5">
        <v>2017</v>
      </c>
      <c r="J523" s="1" t="s">
        <v>12</v>
      </c>
      <c r="K523" s="1" t="s">
        <v>9</v>
      </c>
      <c r="L523" s="1" t="s">
        <v>10</v>
      </c>
    </row>
    <row r="524" spans="1:12" x14ac:dyDescent="0.3">
      <c r="A524" s="10">
        <v>249</v>
      </c>
      <c r="B524" s="10" t="s">
        <v>105</v>
      </c>
      <c r="C524" s="10" t="s">
        <v>16</v>
      </c>
      <c r="D524" s="10">
        <v>2024</v>
      </c>
      <c r="E524" s="4">
        <v>2070</v>
      </c>
      <c r="F524" s="4" t="s">
        <v>7</v>
      </c>
      <c r="G524" s="2">
        <v>14.97</v>
      </c>
      <c r="H524" s="11">
        <f t="shared" ref="H524:H529" si="2">E524*G524</f>
        <v>30987.9</v>
      </c>
      <c r="I524" s="5">
        <v>2017</v>
      </c>
      <c r="J524" s="1" t="s">
        <v>12</v>
      </c>
      <c r="K524" s="1" t="s">
        <v>9</v>
      </c>
      <c r="L524" s="1" t="s">
        <v>10</v>
      </c>
    </row>
    <row r="525" spans="1:12" x14ac:dyDescent="0.3">
      <c r="A525" s="10">
        <v>250</v>
      </c>
      <c r="B525" s="10" t="s">
        <v>105</v>
      </c>
      <c r="C525" s="10" t="s">
        <v>18</v>
      </c>
      <c r="D525" s="10">
        <v>2024</v>
      </c>
      <c r="E525" s="4">
        <v>2070</v>
      </c>
      <c r="F525" s="4" t="s">
        <v>7</v>
      </c>
      <c r="G525" s="2">
        <v>14.97</v>
      </c>
      <c r="H525" s="11">
        <f t="shared" si="2"/>
        <v>30987.9</v>
      </c>
      <c r="I525" s="5">
        <v>2017</v>
      </c>
      <c r="J525" s="1" t="s">
        <v>12</v>
      </c>
      <c r="K525" s="1" t="s">
        <v>9</v>
      </c>
      <c r="L525" s="1" t="s">
        <v>10</v>
      </c>
    </row>
    <row r="526" spans="1:12" x14ac:dyDescent="0.3">
      <c r="A526" s="10">
        <v>251</v>
      </c>
      <c r="B526" s="10" t="s">
        <v>105</v>
      </c>
      <c r="C526" s="10" t="s">
        <v>19</v>
      </c>
      <c r="D526" s="10">
        <v>2024</v>
      </c>
      <c r="E526" s="4">
        <v>2070</v>
      </c>
      <c r="F526" s="4" t="s">
        <v>7</v>
      </c>
      <c r="G526" s="2">
        <v>12.72</v>
      </c>
      <c r="H526" s="11">
        <f t="shared" si="2"/>
        <v>26330.400000000001</v>
      </c>
      <c r="I526" s="5">
        <v>2017</v>
      </c>
      <c r="J526" s="1" t="s">
        <v>12</v>
      </c>
      <c r="K526" s="1" t="s">
        <v>9</v>
      </c>
      <c r="L526" s="1" t="s">
        <v>10</v>
      </c>
    </row>
    <row r="527" spans="1:12" x14ac:dyDescent="0.3">
      <c r="A527" s="10">
        <v>252</v>
      </c>
      <c r="B527" s="10" t="s">
        <v>105</v>
      </c>
      <c r="C527" s="10" t="s">
        <v>20</v>
      </c>
      <c r="D527" s="10">
        <v>2024</v>
      </c>
      <c r="E527" s="4">
        <v>2132</v>
      </c>
      <c r="F527" s="4" t="s">
        <v>7</v>
      </c>
      <c r="G527" s="2">
        <v>13.69</v>
      </c>
      <c r="H527" s="11">
        <f t="shared" si="2"/>
        <v>29187.079999999998</v>
      </c>
      <c r="I527" s="5">
        <v>2015</v>
      </c>
      <c r="J527" s="1" t="s">
        <v>12</v>
      </c>
      <c r="K527" s="1" t="s">
        <v>9</v>
      </c>
      <c r="L527" s="1" t="s">
        <v>153</v>
      </c>
    </row>
    <row r="528" spans="1:12" x14ac:dyDescent="0.3">
      <c r="A528" s="10">
        <v>253</v>
      </c>
      <c r="B528" s="10" t="s">
        <v>105</v>
      </c>
      <c r="C528" s="10" t="s">
        <v>21</v>
      </c>
      <c r="D528" s="10">
        <v>2024</v>
      </c>
      <c r="E528" s="4">
        <v>2132</v>
      </c>
      <c r="F528" s="4" t="s">
        <v>7</v>
      </c>
      <c r="G528" s="2">
        <v>11.22</v>
      </c>
      <c r="H528" s="11">
        <f t="shared" si="2"/>
        <v>23921.040000000001</v>
      </c>
      <c r="I528" s="5">
        <v>2015</v>
      </c>
      <c r="J528" s="1" t="s">
        <v>12</v>
      </c>
      <c r="K528" s="1" t="s">
        <v>9</v>
      </c>
      <c r="L528" s="1" t="s">
        <v>153</v>
      </c>
    </row>
    <row r="529" spans="1:12" x14ac:dyDescent="0.3">
      <c r="A529" s="10">
        <v>254</v>
      </c>
      <c r="B529" s="10" t="s">
        <v>105</v>
      </c>
      <c r="C529" s="10" t="s">
        <v>22</v>
      </c>
      <c r="D529" s="10">
        <v>2024</v>
      </c>
      <c r="E529" s="4">
        <v>2132</v>
      </c>
      <c r="F529" s="4" t="s">
        <v>7</v>
      </c>
      <c r="G529" s="2">
        <v>14.81</v>
      </c>
      <c r="H529" s="11">
        <f t="shared" si="2"/>
        <v>31574.920000000002</v>
      </c>
      <c r="I529" s="5">
        <v>2015</v>
      </c>
      <c r="J529" s="1" t="s">
        <v>12</v>
      </c>
      <c r="K529" s="1" t="s">
        <v>9</v>
      </c>
      <c r="L529" s="1" t="s">
        <v>153</v>
      </c>
    </row>
    <row r="530" spans="1:12" x14ac:dyDescent="0.3">
      <c r="A530" s="10">
        <v>255</v>
      </c>
      <c r="B530" s="10" t="s">
        <v>105</v>
      </c>
      <c r="C530" s="10" t="s">
        <v>23</v>
      </c>
      <c r="D530" s="10">
        <v>2024</v>
      </c>
      <c r="E530" s="4">
        <v>2070</v>
      </c>
      <c r="F530" s="4" t="s">
        <v>7</v>
      </c>
      <c r="G530" s="2">
        <v>14.25</v>
      </c>
      <c r="H530" s="11">
        <v>29497.5</v>
      </c>
      <c r="I530" s="5">
        <v>2016</v>
      </c>
      <c r="J530" s="1" t="s">
        <v>12</v>
      </c>
      <c r="K530" s="1" t="s">
        <v>9</v>
      </c>
      <c r="L530" s="1" t="s">
        <v>132</v>
      </c>
    </row>
    <row r="531" spans="1:12" x14ac:dyDescent="0.3">
      <c r="A531" s="10">
        <v>256</v>
      </c>
      <c r="B531" s="10" t="s">
        <v>105</v>
      </c>
      <c r="C531" s="10" t="s">
        <v>24</v>
      </c>
      <c r="D531" s="10">
        <v>2024</v>
      </c>
      <c r="E531" s="4">
        <v>2070</v>
      </c>
      <c r="F531" s="4" t="s">
        <v>7</v>
      </c>
      <c r="G531" s="2">
        <v>13.04</v>
      </c>
      <c r="H531" s="11">
        <v>26992.799999999999</v>
      </c>
      <c r="I531" s="5">
        <v>2017</v>
      </c>
      <c r="J531" s="1" t="s">
        <v>12</v>
      </c>
      <c r="K531" s="1" t="s">
        <v>9</v>
      </c>
      <c r="L531" s="1" t="s">
        <v>132</v>
      </c>
    </row>
    <row r="532" spans="1:12" x14ac:dyDescent="0.3">
      <c r="A532" s="10">
        <v>257</v>
      </c>
      <c r="B532" s="10" t="s">
        <v>105</v>
      </c>
      <c r="C532" s="10" t="s">
        <v>25</v>
      </c>
      <c r="D532" s="10">
        <v>2024</v>
      </c>
      <c r="E532" s="4">
        <v>2070</v>
      </c>
      <c r="F532" s="4" t="s">
        <v>7</v>
      </c>
      <c r="G532" s="2">
        <v>14.68</v>
      </c>
      <c r="H532" s="11">
        <v>30387.599999999999</v>
      </c>
      <c r="I532" s="5">
        <v>2016</v>
      </c>
      <c r="J532" s="1" t="s">
        <v>12</v>
      </c>
      <c r="K532" s="1" t="s">
        <v>9</v>
      </c>
      <c r="L532" s="1" t="s">
        <v>132</v>
      </c>
    </row>
    <row r="533" spans="1:12" x14ac:dyDescent="0.3">
      <c r="A533" s="10">
        <v>258</v>
      </c>
      <c r="B533" s="10" t="s">
        <v>105</v>
      </c>
      <c r="C533" s="10" t="s">
        <v>26</v>
      </c>
      <c r="D533" s="10">
        <v>2024</v>
      </c>
      <c r="E533" s="4">
        <v>1905</v>
      </c>
      <c r="F533" s="4" t="s">
        <v>7</v>
      </c>
      <c r="G533" s="2">
        <v>12.36</v>
      </c>
      <c r="H533" s="11">
        <f>E533*G533</f>
        <v>23545.8</v>
      </c>
      <c r="I533" s="5">
        <v>2015</v>
      </c>
      <c r="J533" s="1" t="s">
        <v>8</v>
      </c>
      <c r="K533" s="1" t="s">
        <v>27</v>
      </c>
      <c r="L533" s="1" t="s">
        <v>28</v>
      </c>
    </row>
    <row r="534" spans="1:12" x14ac:dyDescent="0.3">
      <c r="A534" s="10">
        <v>259</v>
      </c>
      <c r="B534" s="10" t="s">
        <v>105</v>
      </c>
      <c r="C534" s="10" t="s">
        <v>29</v>
      </c>
      <c r="D534" s="10">
        <v>2024</v>
      </c>
      <c r="E534" s="4">
        <v>1905</v>
      </c>
      <c r="F534" s="4" t="s">
        <v>7</v>
      </c>
      <c r="G534" s="2">
        <v>10.79</v>
      </c>
      <c r="H534" s="11">
        <f>G534*E534</f>
        <v>20554.949999999997</v>
      </c>
      <c r="I534" s="5">
        <v>2017</v>
      </c>
      <c r="J534" s="1" t="s">
        <v>12</v>
      </c>
      <c r="K534" s="1" t="s">
        <v>27</v>
      </c>
      <c r="L534" s="1" t="s">
        <v>28</v>
      </c>
    </row>
    <row r="535" spans="1:12" x14ac:dyDescent="0.3">
      <c r="A535" s="10">
        <v>260</v>
      </c>
      <c r="B535" s="10" t="s">
        <v>105</v>
      </c>
      <c r="C535" s="10" t="s">
        <v>30</v>
      </c>
      <c r="D535" s="10">
        <v>2024</v>
      </c>
      <c r="E535" s="4">
        <v>1953</v>
      </c>
      <c r="F535" s="4" t="s">
        <v>7</v>
      </c>
      <c r="G535" s="2">
        <v>16.190000000000001</v>
      </c>
      <c r="H535" s="11">
        <f>E535*G535</f>
        <v>31619.070000000003</v>
      </c>
      <c r="I535" s="5">
        <v>2018</v>
      </c>
      <c r="J535" s="1" t="s">
        <v>8</v>
      </c>
      <c r="K535" s="1" t="s">
        <v>27</v>
      </c>
      <c r="L535" s="1" t="s">
        <v>28</v>
      </c>
    </row>
    <row r="536" spans="1:12" x14ac:dyDescent="0.3">
      <c r="A536" s="10">
        <v>261</v>
      </c>
      <c r="B536" s="10" t="s">
        <v>105</v>
      </c>
      <c r="C536" s="10" t="s">
        <v>31</v>
      </c>
      <c r="D536" s="10">
        <v>2024</v>
      </c>
      <c r="E536" s="4">
        <v>1905.1398337112623</v>
      </c>
      <c r="F536" s="4" t="s">
        <v>7</v>
      </c>
      <c r="G536" s="2">
        <v>13.13</v>
      </c>
      <c r="H536" s="11">
        <f>E536*G536</f>
        <v>25014.486016628874</v>
      </c>
      <c r="I536" s="5">
        <v>2016</v>
      </c>
      <c r="J536" s="1" t="s">
        <v>8</v>
      </c>
      <c r="K536" s="1" t="s">
        <v>27</v>
      </c>
      <c r="L536" s="1" t="s">
        <v>28</v>
      </c>
    </row>
    <row r="537" spans="1:12" x14ac:dyDescent="0.3">
      <c r="A537" s="10">
        <v>262</v>
      </c>
      <c r="B537" s="10" t="s">
        <v>105</v>
      </c>
      <c r="C537" s="10" t="s">
        <v>32</v>
      </c>
      <c r="D537" s="10">
        <v>2024</v>
      </c>
      <c r="E537" s="4">
        <v>1953</v>
      </c>
      <c r="F537" s="4" t="s">
        <v>7</v>
      </c>
      <c r="G537" s="2">
        <v>13.99</v>
      </c>
      <c r="H537" s="11">
        <f>27325+4</f>
        <v>27329</v>
      </c>
      <c r="I537" s="5">
        <v>2014</v>
      </c>
      <c r="J537" s="1" t="s">
        <v>8</v>
      </c>
      <c r="K537" s="1" t="s">
        <v>27</v>
      </c>
      <c r="L537" s="1" t="s">
        <v>28</v>
      </c>
    </row>
    <row r="538" spans="1:12" x14ac:dyDescent="0.3">
      <c r="A538" s="10">
        <v>263</v>
      </c>
      <c r="B538" s="10" t="s">
        <v>105</v>
      </c>
      <c r="C538" s="10" t="s">
        <v>33</v>
      </c>
      <c r="D538" s="10">
        <v>2024</v>
      </c>
      <c r="E538" s="4">
        <v>1953</v>
      </c>
      <c r="F538" s="4" t="s">
        <v>7</v>
      </c>
      <c r="G538" s="2">
        <v>14.34</v>
      </c>
      <c r="H538" s="11">
        <v>28006.02</v>
      </c>
      <c r="I538" s="5">
        <v>2019</v>
      </c>
      <c r="J538" s="1" t="s">
        <v>12</v>
      </c>
      <c r="K538" s="1" t="s">
        <v>9</v>
      </c>
      <c r="L538" s="1" t="s">
        <v>132</v>
      </c>
    </row>
    <row r="539" spans="1:12" x14ac:dyDescent="0.3">
      <c r="A539" s="10">
        <v>264</v>
      </c>
      <c r="B539" s="10" t="s">
        <v>105</v>
      </c>
      <c r="C539" s="10" t="s">
        <v>35</v>
      </c>
      <c r="D539" s="10">
        <v>2024</v>
      </c>
      <c r="E539" s="4">
        <v>1953</v>
      </c>
      <c r="F539" s="4" t="s">
        <v>7</v>
      </c>
      <c r="G539" s="2">
        <v>14.2</v>
      </c>
      <c r="H539" s="11">
        <v>27732.6</v>
      </c>
      <c r="I539" s="5">
        <v>2019</v>
      </c>
      <c r="J539" s="1" t="s">
        <v>12</v>
      </c>
      <c r="K539" s="1" t="s">
        <v>9</v>
      </c>
      <c r="L539" s="1" t="s">
        <v>132</v>
      </c>
    </row>
    <row r="540" spans="1:12" x14ac:dyDescent="0.3">
      <c r="A540" s="10">
        <v>265</v>
      </c>
      <c r="B540" s="10" t="s">
        <v>105</v>
      </c>
      <c r="C540" s="10" t="s">
        <v>36</v>
      </c>
      <c r="D540" s="10">
        <v>2024</v>
      </c>
      <c r="E540" s="4">
        <v>1953</v>
      </c>
      <c r="F540" s="4" t="s">
        <v>7</v>
      </c>
      <c r="G540" s="2">
        <f>14.61</f>
        <v>14.61</v>
      </c>
      <c r="H540" s="11">
        <v>28533.329999999998</v>
      </c>
      <c r="I540" s="5">
        <v>2019</v>
      </c>
      <c r="J540" s="1" t="s">
        <v>12</v>
      </c>
      <c r="K540" s="1" t="s">
        <v>9</v>
      </c>
      <c r="L540" s="1" t="s">
        <v>132</v>
      </c>
    </row>
    <row r="541" spans="1:12" x14ac:dyDescent="0.3">
      <c r="A541" s="10">
        <v>266</v>
      </c>
      <c r="B541" s="10" t="s">
        <v>105</v>
      </c>
      <c r="C541" s="10" t="s">
        <v>37</v>
      </c>
      <c r="D541" s="10">
        <v>2024</v>
      </c>
      <c r="E541" s="4">
        <v>1780</v>
      </c>
      <c r="F541" s="4" t="s">
        <v>7</v>
      </c>
      <c r="G541" s="2">
        <v>14.04</v>
      </c>
      <c r="H541" s="11">
        <v>24991.199999999997</v>
      </c>
      <c r="I541" s="5">
        <v>2020</v>
      </c>
      <c r="J541" s="1" t="s">
        <v>12</v>
      </c>
      <c r="K541" s="1" t="s">
        <v>9</v>
      </c>
      <c r="L541" s="1" t="s">
        <v>132</v>
      </c>
    </row>
    <row r="542" spans="1:12" x14ac:dyDescent="0.3">
      <c r="A542" s="10">
        <v>267</v>
      </c>
      <c r="B542" s="10" t="s">
        <v>105</v>
      </c>
      <c r="C542" s="10" t="s">
        <v>38</v>
      </c>
      <c r="D542" s="10">
        <v>2024</v>
      </c>
      <c r="E542" s="4">
        <v>1780</v>
      </c>
      <c r="F542" s="4" t="s">
        <v>7</v>
      </c>
      <c r="G542" s="2">
        <v>14.32</v>
      </c>
      <c r="H542" s="11">
        <v>25489.600000000002</v>
      </c>
      <c r="I542" s="5">
        <v>2020</v>
      </c>
      <c r="J542" s="1" t="s">
        <v>12</v>
      </c>
      <c r="K542" s="1" t="s">
        <v>9</v>
      </c>
      <c r="L542" s="1" t="s">
        <v>132</v>
      </c>
    </row>
    <row r="543" spans="1:12" x14ac:dyDescent="0.3">
      <c r="A543" s="10">
        <v>268</v>
      </c>
      <c r="B543" s="10" t="s">
        <v>105</v>
      </c>
      <c r="C543" s="10" t="s">
        <v>39</v>
      </c>
      <c r="D543" s="10">
        <v>2024</v>
      </c>
      <c r="E543" s="4">
        <v>1780</v>
      </c>
      <c r="F543" s="4" t="s">
        <v>7</v>
      </c>
      <c r="G543" s="2">
        <v>14.81</v>
      </c>
      <c r="H543" s="11">
        <v>26361.8</v>
      </c>
      <c r="I543" s="5">
        <v>2020</v>
      </c>
      <c r="J543" s="1" t="s">
        <v>12</v>
      </c>
      <c r="K543" s="1" t="s">
        <v>9</v>
      </c>
      <c r="L543" s="1" t="s">
        <v>132</v>
      </c>
    </row>
    <row r="544" spans="1:12" x14ac:dyDescent="0.3">
      <c r="A544" s="10">
        <v>269</v>
      </c>
      <c r="B544" s="10" t="s">
        <v>105</v>
      </c>
      <c r="C544" s="10" t="s">
        <v>40</v>
      </c>
      <c r="D544" s="10">
        <v>2024</v>
      </c>
      <c r="E544" s="4">
        <v>1780</v>
      </c>
      <c r="F544" s="4" t="s">
        <v>7</v>
      </c>
      <c r="G544" s="2">
        <v>13.55</v>
      </c>
      <c r="H544" s="11">
        <f>G544*E544</f>
        <v>24119</v>
      </c>
      <c r="I544" s="5">
        <v>2020</v>
      </c>
      <c r="J544" s="1" t="s">
        <v>12</v>
      </c>
      <c r="K544" s="1" t="s">
        <v>27</v>
      </c>
      <c r="L544" s="1" t="s">
        <v>34</v>
      </c>
    </row>
    <row r="545" spans="1:12" x14ac:dyDescent="0.3">
      <c r="A545" s="10">
        <v>270</v>
      </c>
      <c r="B545" s="10" t="s">
        <v>105</v>
      </c>
      <c r="C545" s="10" t="s">
        <v>41</v>
      </c>
      <c r="D545" s="10">
        <v>2024</v>
      </c>
      <c r="E545" s="4">
        <v>1780</v>
      </c>
      <c r="F545" s="4" t="s">
        <v>7</v>
      </c>
      <c r="G545" s="2">
        <v>12.14</v>
      </c>
      <c r="H545" s="11">
        <f>E545*G545</f>
        <v>21609.200000000001</v>
      </c>
      <c r="I545" s="5">
        <v>2020</v>
      </c>
      <c r="J545" s="1" t="s">
        <v>12</v>
      </c>
      <c r="K545" s="1" t="s">
        <v>27</v>
      </c>
      <c r="L545" s="1" t="s">
        <v>34</v>
      </c>
    </row>
    <row r="546" spans="1:12" x14ac:dyDescent="0.3">
      <c r="A546" s="10">
        <v>271</v>
      </c>
      <c r="B546" s="10" t="s">
        <v>105</v>
      </c>
      <c r="C546" s="10" t="s">
        <v>42</v>
      </c>
      <c r="D546" s="10">
        <v>2024</v>
      </c>
      <c r="E546" s="4">
        <v>1780</v>
      </c>
      <c r="F546" s="4" t="s">
        <v>7</v>
      </c>
      <c r="G546" s="2">
        <v>14.78</v>
      </c>
      <c r="H546" s="11">
        <f>E546*G546</f>
        <v>26308.399999999998</v>
      </c>
      <c r="I546" s="5">
        <v>2020</v>
      </c>
      <c r="J546" s="1" t="s">
        <v>12</v>
      </c>
      <c r="K546" s="1" t="s">
        <v>27</v>
      </c>
      <c r="L546" s="1" t="s">
        <v>34</v>
      </c>
    </row>
    <row r="547" spans="1:12" x14ac:dyDescent="0.3">
      <c r="A547" s="10">
        <v>272</v>
      </c>
      <c r="B547" s="10" t="s">
        <v>105</v>
      </c>
      <c r="C547" s="10" t="s">
        <v>43</v>
      </c>
      <c r="D547" s="10">
        <v>2024</v>
      </c>
      <c r="E547" s="4">
        <v>1780</v>
      </c>
      <c r="F547" s="4" t="s">
        <v>7</v>
      </c>
      <c r="G547" s="2">
        <v>14.67</v>
      </c>
      <c r="H547" s="11">
        <f>E547*G547</f>
        <v>26112.6</v>
      </c>
      <c r="I547" s="5">
        <v>2020</v>
      </c>
      <c r="J547" s="1" t="s">
        <v>12</v>
      </c>
      <c r="K547" s="1" t="s">
        <v>27</v>
      </c>
      <c r="L547" s="1" t="s">
        <v>34</v>
      </c>
    </row>
    <row r="548" spans="1:12" x14ac:dyDescent="0.3">
      <c r="A548" s="10">
        <v>273</v>
      </c>
      <c r="B548" s="10" t="s">
        <v>105</v>
      </c>
      <c r="C548" s="10" t="s">
        <v>44</v>
      </c>
      <c r="D548" s="10">
        <v>2024</v>
      </c>
      <c r="E548" s="4">
        <v>1780</v>
      </c>
      <c r="F548" s="4" t="s">
        <v>7</v>
      </c>
      <c r="G548" s="2">
        <v>14.7</v>
      </c>
      <c r="H548" s="11">
        <f>E548*G548</f>
        <v>26166</v>
      </c>
      <c r="I548" s="5">
        <v>2022</v>
      </c>
      <c r="J548" s="1" t="s">
        <v>12</v>
      </c>
      <c r="K548" s="1" t="s">
        <v>9</v>
      </c>
      <c r="L548" s="1" t="s">
        <v>10</v>
      </c>
    </row>
    <row r="549" spans="1:12" x14ac:dyDescent="0.3">
      <c r="A549" s="10">
        <v>274</v>
      </c>
      <c r="B549" s="10" t="s">
        <v>108</v>
      </c>
      <c r="C549" s="10" t="s">
        <v>51</v>
      </c>
      <c r="D549" s="10">
        <v>2024</v>
      </c>
      <c r="E549" s="4">
        <v>1780</v>
      </c>
      <c r="F549" s="4" t="s">
        <v>7</v>
      </c>
      <c r="G549" s="2">
        <v>7.39</v>
      </c>
      <c r="H549" s="3">
        <v>13154.199999999999</v>
      </c>
      <c r="I549" s="1">
        <v>2018</v>
      </c>
      <c r="J549" s="1" t="s">
        <v>12</v>
      </c>
      <c r="K549" s="1" t="s">
        <v>9</v>
      </c>
      <c r="L549" s="1" t="s">
        <v>46</v>
      </c>
    </row>
    <row r="550" spans="1:12" x14ac:dyDescent="0.3">
      <c r="A550" s="10">
        <v>275</v>
      </c>
      <c r="B550" s="10" t="s">
        <v>108</v>
      </c>
      <c r="C550" s="10" t="s">
        <v>52</v>
      </c>
      <c r="D550" s="10">
        <v>2024</v>
      </c>
      <c r="E550" s="4">
        <v>1905</v>
      </c>
      <c r="F550" s="4" t="s">
        <v>7</v>
      </c>
      <c r="G550" s="2">
        <v>1.98</v>
      </c>
      <c r="H550" s="3">
        <f>G550*E550</f>
        <v>3771.9</v>
      </c>
      <c r="I550" s="1">
        <v>2018</v>
      </c>
      <c r="J550" s="1" t="s">
        <v>8</v>
      </c>
      <c r="K550" s="1" t="s">
        <v>27</v>
      </c>
      <c r="L550" s="1" t="s">
        <v>53</v>
      </c>
    </row>
    <row r="551" spans="1:12" x14ac:dyDescent="0.3">
      <c r="A551" s="10">
        <v>276</v>
      </c>
      <c r="B551" s="10" t="s">
        <v>108</v>
      </c>
      <c r="C551" s="10" t="s">
        <v>54</v>
      </c>
      <c r="D551" s="10">
        <v>2024</v>
      </c>
      <c r="E551" s="4">
        <v>1905</v>
      </c>
      <c r="F551" s="4" t="s">
        <v>7</v>
      </c>
      <c r="G551" s="2">
        <v>12.45</v>
      </c>
      <c r="H551" s="3">
        <f>G551*E551</f>
        <v>23717.25</v>
      </c>
      <c r="I551" s="1">
        <v>2017</v>
      </c>
      <c r="J551" s="1" t="s">
        <v>8</v>
      </c>
      <c r="K551" s="1" t="s">
        <v>27</v>
      </c>
      <c r="L551" s="1" t="s">
        <v>53</v>
      </c>
    </row>
    <row r="552" spans="1:12" x14ac:dyDescent="0.3">
      <c r="A552" s="10">
        <v>277</v>
      </c>
      <c r="B552" s="10" t="s">
        <v>108</v>
      </c>
      <c r="C552" s="10" t="s">
        <v>55</v>
      </c>
      <c r="D552" s="10">
        <v>2024</v>
      </c>
      <c r="E552" s="4">
        <v>1905</v>
      </c>
      <c r="F552" s="4" t="s">
        <v>7</v>
      </c>
      <c r="G552" s="2">
        <v>10.7</v>
      </c>
      <c r="H552" s="3">
        <f>G552*E552</f>
        <v>20383.5</v>
      </c>
      <c r="I552" s="1">
        <v>2017</v>
      </c>
      <c r="J552" s="1" t="s">
        <v>8</v>
      </c>
      <c r="K552" s="1" t="s">
        <v>27</v>
      </c>
      <c r="L552" s="1" t="s">
        <v>53</v>
      </c>
    </row>
    <row r="553" spans="1:12" x14ac:dyDescent="0.3">
      <c r="A553" s="10">
        <v>278</v>
      </c>
      <c r="B553" s="10" t="s">
        <v>108</v>
      </c>
      <c r="C553" s="10" t="s">
        <v>56</v>
      </c>
      <c r="D553" s="10">
        <v>2024</v>
      </c>
      <c r="E553" s="4">
        <v>1905</v>
      </c>
      <c r="F553" s="4" t="s">
        <v>7</v>
      </c>
      <c r="G553" s="2">
        <v>9.39</v>
      </c>
      <c r="H553" s="3">
        <f>E553*G553</f>
        <v>17887.95</v>
      </c>
      <c r="I553" s="1">
        <v>2016</v>
      </c>
      <c r="J553" s="1" t="s">
        <v>8</v>
      </c>
      <c r="K553" s="1" t="s">
        <v>27</v>
      </c>
      <c r="L553" s="1" t="s">
        <v>53</v>
      </c>
    </row>
    <row r="554" spans="1:12" x14ac:dyDescent="0.3">
      <c r="A554" s="10">
        <v>279</v>
      </c>
      <c r="B554" s="10" t="s">
        <v>108</v>
      </c>
      <c r="C554" s="10" t="s">
        <v>57</v>
      </c>
      <c r="D554" s="10">
        <v>2024</v>
      </c>
      <c r="E554" s="4">
        <v>1905</v>
      </c>
      <c r="F554" s="4" t="s">
        <v>7</v>
      </c>
      <c r="G554" s="2">
        <v>11.41</v>
      </c>
      <c r="H554" s="3">
        <f>E554*G554</f>
        <v>21736.05</v>
      </c>
      <c r="I554" s="1">
        <v>2016</v>
      </c>
      <c r="J554" s="1" t="s">
        <v>8</v>
      </c>
      <c r="K554" s="1" t="s">
        <v>27</v>
      </c>
      <c r="L554" s="1" t="s">
        <v>53</v>
      </c>
    </row>
    <row r="555" spans="1:12" x14ac:dyDescent="0.3">
      <c r="A555" s="10">
        <v>280</v>
      </c>
      <c r="B555" s="10" t="s">
        <v>108</v>
      </c>
      <c r="C555" s="10" t="s">
        <v>58</v>
      </c>
      <c r="D555" s="10">
        <v>2024</v>
      </c>
      <c r="E555" s="4">
        <v>1905</v>
      </c>
      <c r="F555" s="4" t="s">
        <v>7</v>
      </c>
      <c r="G555" s="2">
        <v>6.19</v>
      </c>
      <c r="H555" s="3">
        <f>E555*G555</f>
        <v>11791.95</v>
      </c>
      <c r="I555" s="1">
        <v>2016</v>
      </c>
      <c r="J555" s="1" t="s">
        <v>8</v>
      </c>
      <c r="K555" s="1" t="s">
        <v>27</v>
      </c>
      <c r="L555" s="1" t="s">
        <v>53</v>
      </c>
    </row>
    <row r="556" spans="1:12" x14ac:dyDescent="0.3">
      <c r="A556" s="10">
        <v>281</v>
      </c>
      <c r="B556" s="10" t="s">
        <v>105</v>
      </c>
      <c r="C556" s="10" t="s">
        <v>6</v>
      </c>
      <c r="D556" s="10">
        <v>2024</v>
      </c>
      <c r="E556" s="14"/>
      <c r="F556" s="4" t="s">
        <v>7</v>
      </c>
      <c r="G556" s="2">
        <v>14.97</v>
      </c>
      <c r="H556" s="3">
        <v>0</v>
      </c>
      <c r="I556" s="1">
        <v>2018</v>
      </c>
      <c r="J556" s="4" t="s">
        <v>8</v>
      </c>
      <c r="K556" s="4" t="s">
        <v>9</v>
      </c>
      <c r="L556" s="1" t="s">
        <v>10</v>
      </c>
    </row>
    <row r="557" spans="1:12" x14ac:dyDescent="0.3">
      <c r="A557" s="10">
        <v>282</v>
      </c>
      <c r="B557" s="10" t="s">
        <v>105</v>
      </c>
      <c r="C557" s="10" t="s">
        <v>11</v>
      </c>
      <c r="D557" s="10">
        <v>2024</v>
      </c>
      <c r="E557" s="14"/>
      <c r="F557" s="4" t="s">
        <v>7</v>
      </c>
      <c r="G557" s="2">
        <v>14.97</v>
      </c>
      <c r="H557" s="3">
        <v>0</v>
      </c>
      <c r="I557" s="1">
        <v>2016</v>
      </c>
      <c r="J557" s="4" t="s">
        <v>12</v>
      </c>
      <c r="K557" s="4" t="s">
        <v>9</v>
      </c>
      <c r="L557" s="1" t="s">
        <v>10</v>
      </c>
    </row>
    <row r="558" spans="1:12" x14ac:dyDescent="0.3">
      <c r="A558" s="10">
        <v>283</v>
      </c>
      <c r="B558" s="10" t="s">
        <v>105</v>
      </c>
      <c r="C558" s="10" t="s">
        <v>13</v>
      </c>
      <c r="D558" s="10">
        <v>2024</v>
      </c>
      <c r="E558" s="14"/>
      <c r="F558" s="4" t="s">
        <v>7</v>
      </c>
      <c r="G558" s="2">
        <v>14.21</v>
      </c>
      <c r="H558" s="3">
        <v>0</v>
      </c>
      <c r="I558" s="1">
        <v>2016</v>
      </c>
      <c r="J558" s="4" t="s">
        <v>12</v>
      </c>
      <c r="K558" s="4" t="s">
        <v>9</v>
      </c>
      <c r="L558" s="1" t="s">
        <v>10</v>
      </c>
    </row>
    <row r="559" spans="1:12" x14ac:dyDescent="0.3">
      <c r="A559" s="10">
        <v>284</v>
      </c>
      <c r="B559" s="10" t="s">
        <v>163</v>
      </c>
      <c r="C559" s="10" t="s">
        <v>88</v>
      </c>
      <c r="D559" s="10">
        <v>2024</v>
      </c>
      <c r="E559" s="4">
        <v>1838</v>
      </c>
      <c r="F559" s="4" t="s">
        <v>7</v>
      </c>
      <c r="G559" s="2">
        <v>13.18</v>
      </c>
      <c r="H559" s="3">
        <f t="shared" ref="H559:H566" si="3">E559*G559</f>
        <v>24224.84</v>
      </c>
      <c r="I559" s="1">
        <v>2021</v>
      </c>
      <c r="J559" s="1" t="s">
        <v>8</v>
      </c>
      <c r="K559" s="1" t="s">
        <v>27</v>
      </c>
      <c r="L559" s="1" t="s">
        <v>34</v>
      </c>
    </row>
    <row r="560" spans="1:12" x14ac:dyDescent="0.3">
      <c r="A560" s="10">
        <v>285</v>
      </c>
      <c r="B560" s="10" t="s">
        <v>163</v>
      </c>
      <c r="C560" s="10" t="s">
        <v>89</v>
      </c>
      <c r="D560" s="10">
        <v>2024</v>
      </c>
      <c r="E560" s="4">
        <v>1838</v>
      </c>
      <c r="F560" s="4" t="s">
        <v>7</v>
      </c>
      <c r="G560" s="2">
        <v>9.33</v>
      </c>
      <c r="H560" s="3">
        <f t="shared" si="3"/>
        <v>17148.54</v>
      </c>
      <c r="I560" s="1">
        <v>2021</v>
      </c>
      <c r="J560" s="1" t="s">
        <v>8</v>
      </c>
      <c r="K560" s="1" t="s">
        <v>27</v>
      </c>
      <c r="L560" s="1" t="s">
        <v>34</v>
      </c>
    </row>
    <row r="561" spans="1:12" x14ac:dyDescent="0.3">
      <c r="A561" s="10">
        <v>286</v>
      </c>
      <c r="B561" s="10" t="s">
        <v>163</v>
      </c>
      <c r="C561" s="10" t="s">
        <v>90</v>
      </c>
      <c r="D561" s="10">
        <v>2024</v>
      </c>
      <c r="E561" s="7">
        <v>1905</v>
      </c>
      <c r="F561" s="4" t="s">
        <v>7</v>
      </c>
      <c r="G561" s="2">
        <v>11.47</v>
      </c>
      <c r="H561" s="3">
        <f t="shared" si="3"/>
        <v>21850.350000000002</v>
      </c>
      <c r="I561" s="1">
        <v>2022</v>
      </c>
      <c r="J561" s="1" t="s">
        <v>8</v>
      </c>
      <c r="K561" s="1" t="s">
        <v>27</v>
      </c>
      <c r="L561" s="1" t="s">
        <v>53</v>
      </c>
    </row>
    <row r="562" spans="1:12" x14ac:dyDescent="0.3">
      <c r="A562" s="10">
        <v>287</v>
      </c>
      <c r="B562" s="10" t="s">
        <v>163</v>
      </c>
      <c r="C562" s="10" t="s">
        <v>92</v>
      </c>
      <c r="D562" s="10">
        <v>2024</v>
      </c>
      <c r="E562" s="7">
        <v>1905</v>
      </c>
      <c r="F562" s="4" t="s">
        <v>7</v>
      </c>
      <c r="G562" s="2">
        <v>14.9</v>
      </c>
      <c r="H562" s="3">
        <f t="shared" si="3"/>
        <v>28384.5</v>
      </c>
      <c r="I562" s="1">
        <v>2022</v>
      </c>
      <c r="J562" s="1" t="s">
        <v>8</v>
      </c>
      <c r="K562" s="1" t="s">
        <v>27</v>
      </c>
      <c r="L562" s="1" t="s">
        <v>53</v>
      </c>
    </row>
    <row r="563" spans="1:12" x14ac:dyDescent="0.3">
      <c r="A563" s="10">
        <v>288</v>
      </c>
      <c r="B563" s="10" t="s">
        <v>163</v>
      </c>
      <c r="C563" s="10" t="s">
        <v>80</v>
      </c>
      <c r="D563" s="10">
        <v>2024</v>
      </c>
      <c r="E563" s="7">
        <v>1905</v>
      </c>
      <c r="F563" s="4" t="s">
        <v>7</v>
      </c>
      <c r="G563" s="2">
        <v>10.7</v>
      </c>
      <c r="H563" s="3">
        <f t="shared" si="3"/>
        <v>20383.5</v>
      </c>
      <c r="I563" s="1">
        <v>2022</v>
      </c>
      <c r="J563" s="1" t="s">
        <v>8</v>
      </c>
      <c r="K563" s="1" t="s">
        <v>27</v>
      </c>
      <c r="L563" s="1" t="s">
        <v>53</v>
      </c>
    </row>
    <row r="564" spans="1:12" x14ac:dyDescent="0.3">
      <c r="A564" s="10">
        <v>289</v>
      </c>
      <c r="B564" s="10" t="s">
        <v>163</v>
      </c>
      <c r="C564" s="10" t="s">
        <v>93</v>
      </c>
      <c r="D564" s="10">
        <v>2024</v>
      </c>
      <c r="E564" s="7">
        <v>1905</v>
      </c>
      <c r="F564" s="4" t="s">
        <v>7</v>
      </c>
      <c r="G564" s="2">
        <v>14.9</v>
      </c>
      <c r="H564" s="3">
        <f t="shared" si="3"/>
        <v>28384.5</v>
      </c>
      <c r="I564" s="1">
        <v>2022</v>
      </c>
      <c r="J564" s="1" t="s">
        <v>8</v>
      </c>
      <c r="K564" s="1" t="s">
        <v>27</v>
      </c>
      <c r="L564" s="1" t="s">
        <v>153</v>
      </c>
    </row>
    <row r="565" spans="1:12" x14ac:dyDescent="0.3">
      <c r="A565" s="10">
        <v>290</v>
      </c>
      <c r="B565" s="10" t="s">
        <v>163</v>
      </c>
      <c r="C565" s="10" t="s">
        <v>94</v>
      </c>
      <c r="D565" s="10">
        <v>2024</v>
      </c>
      <c r="E565" s="7">
        <v>1905</v>
      </c>
      <c r="F565" s="4" t="s">
        <v>7</v>
      </c>
      <c r="G565" s="2">
        <v>14.5</v>
      </c>
      <c r="H565" s="3">
        <f t="shared" si="3"/>
        <v>27622.5</v>
      </c>
      <c r="I565" s="1">
        <v>2022</v>
      </c>
      <c r="J565" s="1" t="s">
        <v>8</v>
      </c>
      <c r="K565" s="1" t="s">
        <v>27</v>
      </c>
      <c r="L565" s="1" t="s">
        <v>153</v>
      </c>
    </row>
    <row r="566" spans="1:12" x14ac:dyDescent="0.3">
      <c r="A566" s="10">
        <v>291</v>
      </c>
      <c r="B566" s="10" t="s">
        <v>163</v>
      </c>
      <c r="C566" s="10" t="s">
        <v>95</v>
      </c>
      <c r="D566" s="10">
        <v>2024</v>
      </c>
      <c r="E566" s="7">
        <v>1905</v>
      </c>
      <c r="F566" s="4" t="s">
        <v>7</v>
      </c>
      <c r="G566" s="2">
        <v>14.8</v>
      </c>
      <c r="H566" s="3">
        <f t="shared" si="3"/>
        <v>28194</v>
      </c>
      <c r="I566" s="1">
        <v>2022</v>
      </c>
      <c r="J566" s="1" t="s">
        <v>8</v>
      </c>
      <c r="K566" s="1" t="s">
        <v>27</v>
      </c>
      <c r="L566" s="1" t="s">
        <v>153</v>
      </c>
    </row>
    <row r="567" spans="1:12" x14ac:dyDescent="0.3">
      <c r="A567" s="10">
        <v>292</v>
      </c>
      <c r="B567" s="10" t="s">
        <v>163</v>
      </c>
      <c r="C567" s="10" t="s">
        <v>96</v>
      </c>
      <c r="D567" s="10">
        <v>2024</v>
      </c>
      <c r="E567" s="7">
        <v>1905</v>
      </c>
      <c r="F567" s="4" t="s">
        <v>7</v>
      </c>
      <c r="G567" s="2">
        <v>12.1</v>
      </c>
      <c r="H567" s="3">
        <f>G567*E567</f>
        <v>23050.5</v>
      </c>
      <c r="I567" s="1">
        <v>2022</v>
      </c>
      <c r="J567" s="1" t="s">
        <v>12</v>
      </c>
      <c r="K567" s="1" t="s">
        <v>27</v>
      </c>
      <c r="L567" s="1" t="s">
        <v>136</v>
      </c>
    </row>
    <row r="568" spans="1:12" x14ac:dyDescent="0.3">
      <c r="A568" s="10">
        <v>293</v>
      </c>
      <c r="B568" s="10" t="s">
        <v>163</v>
      </c>
      <c r="C568" s="10" t="s">
        <v>97</v>
      </c>
      <c r="D568" s="10">
        <v>2024</v>
      </c>
      <c r="E568" s="7">
        <v>1905</v>
      </c>
      <c r="F568" s="4" t="s">
        <v>7</v>
      </c>
      <c r="G568" s="2">
        <v>16.899999999999999</v>
      </c>
      <c r="H568" s="3">
        <f>E568*G568</f>
        <v>32194.499999999996</v>
      </c>
      <c r="I568" s="1">
        <v>2022</v>
      </c>
      <c r="J568" s="1" t="s">
        <v>12</v>
      </c>
      <c r="K568" s="1" t="s">
        <v>27</v>
      </c>
      <c r="L568" s="1" t="s">
        <v>136</v>
      </c>
    </row>
    <row r="569" spans="1:12" x14ac:dyDescent="0.3">
      <c r="A569" s="10">
        <v>294</v>
      </c>
      <c r="B569" s="10" t="s">
        <v>163</v>
      </c>
      <c r="C569" s="10" t="s">
        <v>98</v>
      </c>
      <c r="D569" s="10">
        <v>2024</v>
      </c>
      <c r="E569" s="7">
        <v>1905</v>
      </c>
      <c r="F569" s="4" t="s">
        <v>7</v>
      </c>
      <c r="G569" s="2">
        <v>7.5</v>
      </c>
      <c r="H569" s="3">
        <v>14314</v>
      </c>
      <c r="I569" s="1">
        <v>2022</v>
      </c>
      <c r="J569" s="1" t="s">
        <v>12</v>
      </c>
      <c r="K569" s="1" t="s">
        <v>27</v>
      </c>
      <c r="L569" s="1" t="s">
        <v>136</v>
      </c>
    </row>
    <row r="570" spans="1:12" x14ac:dyDescent="0.3">
      <c r="A570" s="10">
        <v>295</v>
      </c>
      <c r="B570" s="10" t="s">
        <v>163</v>
      </c>
      <c r="C570" s="10" t="s">
        <v>99</v>
      </c>
      <c r="D570" s="10">
        <v>2024</v>
      </c>
      <c r="E570" s="8">
        <v>1754</v>
      </c>
      <c r="F570" s="4" t="s">
        <v>7</v>
      </c>
      <c r="G570" s="2">
        <v>19.7</v>
      </c>
      <c r="H570" s="24">
        <f>D570*G570</f>
        <v>39872.799999999996</v>
      </c>
      <c r="I570" s="1">
        <v>2022</v>
      </c>
      <c r="J570" s="1" t="s">
        <v>8</v>
      </c>
      <c r="K570" s="1" t="s">
        <v>27</v>
      </c>
      <c r="L570" s="1" t="s">
        <v>134</v>
      </c>
    </row>
    <row r="571" spans="1:12" x14ac:dyDescent="0.3">
      <c r="A571" s="10">
        <v>296</v>
      </c>
      <c r="B571" s="10" t="s">
        <v>163</v>
      </c>
      <c r="C571" s="10" t="s">
        <v>100</v>
      </c>
      <c r="D571" s="10">
        <v>2024</v>
      </c>
      <c r="E571" s="8">
        <v>1754</v>
      </c>
      <c r="F571" s="4" t="s">
        <v>7</v>
      </c>
      <c r="G571" s="2">
        <v>6.7</v>
      </c>
      <c r="H571" s="3">
        <f>E571*G571</f>
        <v>11751.800000000001</v>
      </c>
      <c r="I571" s="1">
        <v>2022</v>
      </c>
      <c r="J571" s="1" t="s">
        <v>8</v>
      </c>
      <c r="K571" s="1" t="s">
        <v>27</v>
      </c>
      <c r="L571" s="1" t="s">
        <v>134</v>
      </c>
    </row>
    <row r="572" spans="1:12" x14ac:dyDescent="0.3">
      <c r="A572" s="12">
        <v>297</v>
      </c>
      <c r="B572" s="12" t="s">
        <v>117</v>
      </c>
      <c r="C572" s="12" t="s">
        <v>45</v>
      </c>
      <c r="D572" s="10">
        <v>2024</v>
      </c>
      <c r="E572" s="12"/>
      <c r="F572" s="4" t="s">
        <v>7</v>
      </c>
      <c r="G572" s="2">
        <v>0</v>
      </c>
      <c r="H572" s="3">
        <v>0</v>
      </c>
      <c r="I572" s="1">
        <v>2023</v>
      </c>
      <c r="J572" s="1"/>
      <c r="K572" s="1"/>
      <c r="L572" s="1" t="s">
        <v>154</v>
      </c>
    </row>
    <row r="573" spans="1:12" x14ac:dyDescent="0.3">
      <c r="A573" s="12">
        <v>298</v>
      </c>
      <c r="B573" s="12" t="s">
        <v>117</v>
      </c>
      <c r="C573" s="12" t="s">
        <v>47</v>
      </c>
      <c r="D573" s="10">
        <v>2024</v>
      </c>
      <c r="E573" s="12"/>
      <c r="F573" s="4" t="s">
        <v>7</v>
      </c>
      <c r="G573" s="2">
        <v>0</v>
      </c>
      <c r="H573" s="3">
        <v>0</v>
      </c>
      <c r="I573" s="1">
        <v>2023</v>
      </c>
      <c r="J573" s="1"/>
      <c r="K573" s="1"/>
      <c r="L573" s="1" t="s">
        <v>154</v>
      </c>
    </row>
    <row r="574" spans="1:12" x14ac:dyDescent="0.3">
      <c r="A574" s="10">
        <v>299</v>
      </c>
      <c r="B574" s="10" t="s">
        <v>112</v>
      </c>
      <c r="C574" s="10" t="s">
        <v>83</v>
      </c>
      <c r="D574" s="10">
        <v>2024</v>
      </c>
      <c r="E574" s="9">
        <v>1905</v>
      </c>
      <c r="F574" s="4" t="s">
        <v>7</v>
      </c>
      <c r="G574" s="2">
        <v>10.68</v>
      </c>
      <c r="H574" s="3">
        <f>E574*G574</f>
        <v>20345.399999999998</v>
      </c>
      <c r="I574" s="1">
        <v>2023</v>
      </c>
      <c r="J574" s="1"/>
      <c r="K574" s="1"/>
      <c r="L574" s="1" t="s">
        <v>134</v>
      </c>
    </row>
    <row r="575" spans="1:12" x14ac:dyDescent="0.3">
      <c r="A575" s="10"/>
      <c r="B575" s="10" t="s">
        <v>116</v>
      </c>
      <c r="C575" s="10" t="s">
        <v>78</v>
      </c>
      <c r="D575" s="10">
        <v>2024</v>
      </c>
      <c r="E575" s="9"/>
      <c r="F575" s="4" t="s">
        <v>7</v>
      </c>
      <c r="G575" s="2">
        <v>1.45</v>
      </c>
      <c r="H575" s="3"/>
      <c r="I575" s="1"/>
      <c r="J575" s="1"/>
      <c r="K575" s="1"/>
      <c r="L575" s="1" t="s">
        <v>137</v>
      </c>
    </row>
    <row r="576" spans="1:12" x14ac:dyDescent="0.3">
      <c r="A576" s="10"/>
      <c r="B576" s="10" t="s">
        <v>155</v>
      </c>
      <c r="C576" s="10" t="s">
        <v>78</v>
      </c>
      <c r="D576" s="10">
        <v>2024</v>
      </c>
      <c r="E576" s="9"/>
      <c r="F576" s="4" t="s">
        <v>7</v>
      </c>
      <c r="G576" s="2">
        <v>0.82</v>
      </c>
      <c r="H576" s="3"/>
      <c r="I576" s="1"/>
      <c r="J576" s="1"/>
      <c r="K576" s="1"/>
      <c r="L576" s="1" t="s">
        <v>137</v>
      </c>
    </row>
    <row r="577" spans="1:12" x14ac:dyDescent="0.3">
      <c r="A577" s="10"/>
      <c r="B577" s="10" t="s">
        <v>117</v>
      </c>
      <c r="C577" s="10" t="s">
        <v>78</v>
      </c>
      <c r="D577" s="10">
        <v>2024</v>
      </c>
      <c r="E577" s="9"/>
      <c r="F577" s="4" t="s">
        <v>7</v>
      </c>
      <c r="G577" s="2">
        <v>0.13</v>
      </c>
      <c r="H577" s="3"/>
      <c r="I577" s="1"/>
      <c r="J577" s="1"/>
      <c r="K577" s="1"/>
      <c r="L577" s="1" t="s">
        <v>137</v>
      </c>
    </row>
    <row r="578" spans="1:12" x14ac:dyDescent="0.3">
      <c r="A578" s="10"/>
      <c r="B578" s="10" t="s">
        <v>156</v>
      </c>
      <c r="C578" s="10" t="s">
        <v>78</v>
      </c>
      <c r="D578" s="10">
        <v>2024</v>
      </c>
      <c r="E578" s="9"/>
      <c r="F578" s="4" t="s">
        <v>7</v>
      </c>
      <c r="G578" s="2">
        <v>0.5</v>
      </c>
      <c r="H578" s="3"/>
      <c r="I578" s="1"/>
      <c r="J578" s="1"/>
      <c r="K578" s="1"/>
      <c r="L578" s="1" t="s">
        <v>137</v>
      </c>
    </row>
    <row r="579" spans="1:12" x14ac:dyDescent="0.3">
      <c r="A579" s="10"/>
      <c r="B579" s="10" t="s">
        <v>157</v>
      </c>
      <c r="C579" s="10" t="s">
        <v>78</v>
      </c>
      <c r="D579" s="10">
        <v>2024</v>
      </c>
      <c r="E579" s="9"/>
      <c r="F579" s="4" t="s">
        <v>7</v>
      </c>
      <c r="G579" s="2">
        <v>0.01</v>
      </c>
      <c r="H579" s="3"/>
      <c r="I579" s="1"/>
      <c r="J579" s="1"/>
      <c r="K579" s="1"/>
      <c r="L579" s="1" t="s">
        <v>137</v>
      </c>
    </row>
    <row r="580" spans="1:12" x14ac:dyDescent="0.3">
      <c r="A580" s="10"/>
      <c r="B580" s="10" t="s">
        <v>158</v>
      </c>
      <c r="C580" s="10" t="s">
        <v>78</v>
      </c>
      <c r="D580" s="10">
        <v>2024</v>
      </c>
      <c r="E580" s="9"/>
      <c r="F580" s="4" t="s">
        <v>7</v>
      </c>
      <c r="G580" s="2">
        <v>0.3</v>
      </c>
      <c r="H580" s="3"/>
      <c r="I580" s="1"/>
      <c r="J580" s="1"/>
      <c r="K580" s="1"/>
      <c r="L580" s="1" t="s">
        <v>137</v>
      </c>
    </row>
    <row r="581" spans="1:12" x14ac:dyDescent="0.3">
      <c r="A581" s="10"/>
      <c r="B581" s="10" t="s">
        <v>159</v>
      </c>
      <c r="C581" s="10" t="s">
        <v>78</v>
      </c>
      <c r="D581" s="10">
        <v>2024</v>
      </c>
      <c r="E581" s="9"/>
      <c r="F581" s="4" t="s">
        <v>7</v>
      </c>
      <c r="G581" s="2">
        <v>0.01</v>
      </c>
      <c r="H581" s="3"/>
      <c r="I581" s="1"/>
      <c r="J581" s="1"/>
      <c r="K581" s="1"/>
      <c r="L581" s="1" t="s">
        <v>137</v>
      </c>
    </row>
    <row r="582" spans="1:12" x14ac:dyDescent="0.3">
      <c r="A582" s="10"/>
      <c r="B582" s="10" t="s">
        <v>160</v>
      </c>
      <c r="C582" s="10" t="s">
        <v>78</v>
      </c>
      <c r="D582" s="10">
        <v>2024</v>
      </c>
      <c r="E582" s="9"/>
      <c r="F582" s="4" t="s">
        <v>7</v>
      </c>
      <c r="G582" s="2">
        <v>0.33</v>
      </c>
      <c r="H582" s="3"/>
      <c r="I582" s="1"/>
      <c r="J582" s="1"/>
      <c r="K582" s="1"/>
      <c r="L582" s="1" t="s">
        <v>137</v>
      </c>
    </row>
    <row r="583" spans="1:12" x14ac:dyDescent="0.3">
      <c r="A583" s="10">
        <v>300</v>
      </c>
      <c r="B583" s="10" t="s">
        <v>161</v>
      </c>
      <c r="C583" s="10" t="s">
        <v>78</v>
      </c>
      <c r="D583" s="10">
        <v>2024</v>
      </c>
      <c r="E583" s="4"/>
      <c r="F583" s="4" t="s">
        <v>7</v>
      </c>
      <c r="G583" s="2">
        <v>0.01</v>
      </c>
      <c r="H583" s="3"/>
      <c r="I583" s="5"/>
      <c r="J583" s="1"/>
      <c r="K583" s="1"/>
      <c r="L583" s="1" t="s">
        <v>137</v>
      </c>
    </row>
    <row r="584" spans="1:12" x14ac:dyDescent="0.3">
      <c r="A584" s="12">
        <v>301</v>
      </c>
      <c r="B584" s="12" t="s">
        <v>117</v>
      </c>
      <c r="C584" s="12" t="s">
        <v>101</v>
      </c>
      <c r="D584" s="10">
        <v>2024</v>
      </c>
      <c r="E584" s="12"/>
      <c r="F584" s="4" t="s">
        <v>7</v>
      </c>
      <c r="G584" s="2">
        <v>0</v>
      </c>
      <c r="H584" s="3">
        <v>0</v>
      </c>
      <c r="I584" s="1">
        <v>2023</v>
      </c>
      <c r="J584" s="1"/>
      <c r="K584" s="1"/>
      <c r="L584" s="1" t="s">
        <v>154</v>
      </c>
    </row>
    <row r="585" spans="1:12" x14ac:dyDescent="0.3">
      <c r="A585" s="12">
        <v>302</v>
      </c>
      <c r="B585" s="12" t="s">
        <v>117</v>
      </c>
      <c r="C585" s="12" t="s">
        <v>103</v>
      </c>
      <c r="D585" s="10">
        <v>2024</v>
      </c>
      <c r="E585" s="12"/>
      <c r="F585" s="4" t="s">
        <v>7</v>
      </c>
      <c r="G585" s="2">
        <v>0</v>
      </c>
      <c r="H585" s="3">
        <v>0</v>
      </c>
      <c r="I585" s="1">
        <v>2023</v>
      </c>
      <c r="J585" s="1"/>
      <c r="K585" s="1"/>
      <c r="L585" s="1" t="s">
        <v>154</v>
      </c>
    </row>
    <row r="586" spans="1:12" x14ac:dyDescent="0.3">
      <c r="A586" s="10">
        <v>303</v>
      </c>
      <c r="B586" s="10" t="s">
        <v>109</v>
      </c>
      <c r="C586" s="10" t="s">
        <v>59</v>
      </c>
      <c r="D586" s="10">
        <v>2024</v>
      </c>
      <c r="E586" s="4">
        <v>1905</v>
      </c>
      <c r="F586" s="4" t="s">
        <v>7</v>
      </c>
      <c r="G586" s="2">
        <v>6.91</v>
      </c>
      <c r="H586" s="11">
        <v>13164</v>
      </c>
      <c r="I586" s="1">
        <v>2018</v>
      </c>
      <c r="J586" s="1" t="s">
        <v>8</v>
      </c>
      <c r="K586" s="1"/>
      <c r="L586" s="1" t="s">
        <v>10</v>
      </c>
    </row>
    <row r="587" spans="1:12" x14ac:dyDescent="0.3">
      <c r="A587" s="10">
        <v>304</v>
      </c>
      <c r="B587" s="10" t="s">
        <v>109</v>
      </c>
      <c r="C587" s="10" t="s">
        <v>60</v>
      </c>
      <c r="D587" s="10">
        <v>2024</v>
      </c>
      <c r="E587" s="4">
        <v>1905</v>
      </c>
      <c r="F587" s="4" t="s">
        <v>7</v>
      </c>
      <c r="G587" s="2">
        <f>3.25+0.05+0.34</f>
        <v>3.6399999999999997</v>
      </c>
      <c r="H587" s="11">
        <f>E587*G587</f>
        <v>6934.2</v>
      </c>
      <c r="I587" s="1" t="s">
        <v>61</v>
      </c>
      <c r="J587" s="1" t="s">
        <v>8</v>
      </c>
      <c r="K587" s="1" t="s">
        <v>9</v>
      </c>
      <c r="L587" s="1" t="s">
        <v>10</v>
      </c>
    </row>
    <row r="588" spans="1:12" x14ac:dyDescent="0.3">
      <c r="A588" s="10">
        <v>305</v>
      </c>
      <c r="B588" s="10" t="s">
        <v>109</v>
      </c>
      <c r="C588" s="10" t="s">
        <v>130</v>
      </c>
      <c r="D588" s="10">
        <v>2024</v>
      </c>
      <c r="E588" s="4">
        <v>1780</v>
      </c>
      <c r="F588" s="4" t="s">
        <v>7</v>
      </c>
      <c r="G588" s="2">
        <v>10.44</v>
      </c>
      <c r="H588" s="11">
        <f>E588*G588</f>
        <v>18583.2</v>
      </c>
      <c r="I588" s="1">
        <v>2020</v>
      </c>
      <c r="J588" s="1" t="s">
        <v>12</v>
      </c>
      <c r="K588" s="1" t="s">
        <v>27</v>
      </c>
      <c r="L588" s="1" t="s">
        <v>53</v>
      </c>
    </row>
    <row r="589" spans="1:12" x14ac:dyDescent="0.3">
      <c r="A589" s="10">
        <v>306</v>
      </c>
      <c r="B589" s="10" t="s">
        <v>109</v>
      </c>
      <c r="C589" s="10" t="s">
        <v>63</v>
      </c>
      <c r="D589" s="10">
        <v>2024</v>
      </c>
      <c r="E589" s="4">
        <v>1780</v>
      </c>
      <c r="F589" s="4" t="s">
        <v>7</v>
      </c>
      <c r="G589" s="2">
        <v>14.18</v>
      </c>
      <c r="H589" s="11">
        <f>E589*G589</f>
        <v>25240.399999999998</v>
      </c>
      <c r="I589" s="1">
        <v>2020</v>
      </c>
      <c r="J589" s="1" t="s">
        <v>12</v>
      </c>
      <c r="K589" s="1" t="s">
        <v>27</v>
      </c>
      <c r="L589" s="1" t="s">
        <v>53</v>
      </c>
    </row>
    <row r="590" spans="1:12" x14ac:dyDescent="0.3">
      <c r="A590" s="10">
        <v>307</v>
      </c>
      <c r="B590" s="10" t="s">
        <v>109</v>
      </c>
      <c r="C590" s="10" t="s">
        <v>64</v>
      </c>
      <c r="D590" s="10">
        <v>2024</v>
      </c>
      <c r="E590" s="4">
        <v>1780</v>
      </c>
      <c r="F590" s="4" t="s">
        <v>7</v>
      </c>
      <c r="G590" s="2">
        <v>13.57</v>
      </c>
      <c r="H590" s="11">
        <f>G590*E590</f>
        <v>24154.600000000002</v>
      </c>
      <c r="I590" s="1">
        <v>2020</v>
      </c>
      <c r="J590" s="1" t="s">
        <v>12</v>
      </c>
      <c r="K590" s="1" t="s">
        <v>27</v>
      </c>
      <c r="L590" s="1" t="s">
        <v>53</v>
      </c>
    </row>
    <row r="591" spans="1:12" x14ac:dyDescent="0.3">
      <c r="A591" s="10">
        <v>308</v>
      </c>
      <c r="B591" s="10" t="s">
        <v>109</v>
      </c>
      <c r="C591" s="10" t="s">
        <v>65</v>
      </c>
      <c r="D591" s="10">
        <v>2024</v>
      </c>
      <c r="E591" s="7">
        <v>1838</v>
      </c>
      <c r="F591" s="4" t="s">
        <v>7</v>
      </c>
      <c r="G591" s="2">
        <v>12.4</v>
      </c>
      <c r="H591" s="11">
        <f>E591*G591</f>
        <v>22791.200000000001</v>
      </c>
      <c r="I591" s="1">
        <v>2021</v>
      </c>
      <c r="J591" s="1" t="s">
        <v>12</v>
      </c>
      <c r="K591" s="1" t="s">
        <v>27</v>
      </c>
      <c r="L591" s="1" t="s">
        <v>34</v>
      </c>
    </row>
    <row r="592" spans="1:12" x14ac:dyDescent="0.3">
      <c r="A592" s="10">
        <v>309</v>
      </c>
      <c r="B592" s="10" t="s">
        <v>109</v>
      </c>
      <c r="C592" s="10" t="s">
        <v>66</v>
      </c>
      <c r="D592" s="10">
        <v>2024</v>
      </c>
      <c r="E592" s="7">
        <v>1838</v>
      </c>
      <c r="F592" s="4" t="s">
        <v>7</v>
      </c>
      <c r="G592" s="2">
        <v>11.9</v>
      </c>
      <c r="H592" s="11">
        <f>E592*G592</f>
        <v>21872.2</v>
      </c>
      <c r="I592" s="1">
        <v>2021</v>
      </c>
      <c r="J592" s="1" t="s">
        <v>12</v>
      </c>
      <c r="K592" s="1" t="s">
        <v>27</v>
      </c>
      <c r="L592" s="1" t="s">
        <v>34</v>
      </c>
    </row>
    <row r="593" spans="1:12" x14ac:dyDescent="0.3">
      <c r="A593" s="13">
        <v>310</v>
      </c>
      <c r="B593" s="13" t="s">
        <v>109</v>
      </c>
      <c r="C593" s="13" t="s">
        <v>104</v>
      </c>
      <c r="D593" s="10">
        <v>2024</v>
      </c>
      <c r="E593" s="13"/>
      <c r="F593" s="4" t="s">
        <v>7</v>
      </c>
      <c r="G593" s="2">
        <v>0</v>
      </c>
      <c r="H593" s="3">
        <v>0</v>
      </c>
      <c r="I593" s="1">
        <v>2023</v>
      </c>
      <c r="J593" s="1"/>
      <c r="K593" s="1"/>
      <c r="L593" s="1" t="s">
        <v>154</v>
      </c>
    </row>
    <row r="594" spans="1:12" x14ac:dyDescent="0.3">
      <c r="A594" s="13">
        <v>311</v>
      </c>
      <c r="B594" s="13" t="s">
        <v>109</v>
      </c>
      <c r="C594" s="13" t="s">
        <v>102</v>
      </c>
      <c r="D594" s="10">
        <v>2024</v>
      </c>
      <c r="E594" s="13"/>
      <c r="F594" s="4" t="s">
        <v>7</v>
      </c>
      <c r="G594" s="2">
        <v>0</v>
      </c>
      <c r="H594" s="3">
        <v>0</v>
      </c>
      <c r="I594" s="1">
        <v>2023</v>
      </c>
      <c r="J594" s="1"/>
      <c r="K594" s="1"/>
      <c r="L594" s="1" t="s">
        <v>154</v>
      </c>
    </row>
    <row r="595" spans="1:12" x14ac:dyDescent="0.3">
      <c r="A595" s="12">
        <v>312</v>
      </c>
      <c r="B595" s="12" t="s">
        <v>167</v>
      </c>
      <c r="C595" s="12" t="s">
        <v>48</v>
      </c>
      <c r="D595" s="10">
        <v>2024</v>
      </c>
      <c r="E595" s="12"/>
      <c r="F595" s="4" t="s">
        <v>7</v>
      </c>
      <c r="G595" s="2">
        <v>0</v>
      </c>
      <c r="H595" s="3">
        <v>0</v>
      </c>
      <c r="I595" s="1">
        <v>2023</v>
      </c>
      <c r="J595" s="1"/>
      <c r="K595" s="1"/>
      <c r="L595" s="1" t="s">
        <v>154</v>
      </c>
    </row>
    <row r="596" spans="1:12" x14ac:dyDescent="0.3">
      <c r="A596" s="12">
        <v>313</v>
      </c>
      <c r="B596" s="12" t="s">
        <v>167</v>
      </c>
      <c r="C596" s="12" t="s">
        <v>50</v>
      </c>
      <c r="D596" s="10">
        <v>2024</v>
      </c>
      <c r="E596" s="12"/>
      <c r="F596" s="4" t="s">
        <v>7</v>
      </c>
      <c r="G596" s="2">
        <v>0</v>
      </c>
      <c r="H596" s="3">
        <v>0</v>
      </c>
      <c r="I596" s="1">
        <v>2023</v>
      </c>
      <c r="J596" s="1"/>
      <c r="K596" s="1"/>
      <c r="L596" s="1" t="s">
        <v>154</v>
      </c>
    </row>
    <row r="597" spans="1:12" x14ac:dyDescent="0.3">
      <c r="A597" s="10">
        <v>314</v>
      </c>
      <c r="B597" s="10" t="s">
        <v>167</v>
      </c>
      <c r="C597" s="10" t="s">
        <v>67</v>
      </c>
      <c r="D597" s="10">
        <v>2024</v>
      </c>
      <c r="E597" s="4">
        <v>1684</v>
      </c>
      <c r="F597" s="4" t="s">
        <v>7</v>
      </c>
      <c r="G597" s="2">
        <v>10</v>
      </c>
      <c r="H597" s="11">
        <v>16840</v>
      </c>
      <c r="I597" s="5">
        <v>2018</v>
      </c>
      <c r="J597" s="1" t="s">
        <v>12</v>
      </c>
      <c r="K597" s="1"/>
      <c r="L597" s="1" t="s">
        <v>49</v>
      </c>
    </row>
    <row r="598" spans="1:12" x14ac:dyDescent="0.3">
      <c r="A598" s="10">
        <v>315</v>
      </c>
      <c r="B598" s="10" t="s">
        <v>167</v>
      </c>
      <c r="C598" s="10" t="s">
        <v>68</v>
      </c>
      <c r="D598" s="10">
        <v>2024</v>
      </c>
      <c r="E598" s="4">
        <v>1684</v>
      </c>
      <c r="F598" s="4" t="s">
        <v>7</v>
      </c>
      <c r="G598" s="2">
        <v>13.27</v>
      </c>
      <c r="H598" s="11">
        <v>22346.68</v>
      </c>
      <c r="I598" s="5">
        <v>2018</v>
      </c>
      <c r="J598" s="1" t="s">
        <v>12</v>
      </c>
      <c r="K598" s="1"/>
      <c r="L598" s="1" t="s">
        <v>49</v>
      </c>
    </row>
    <row r="599" spans="1:12" x14ac:dyDescent="0.3">
      <c r="A599" s="10">
        <v>316</v>
      </c>
      <c r="B599" s="10" t="s">
        <v>167</v>
      </c>
      <c r="C599" s="10" t="s">
        <v>69</v>
      </c>
      <c r="D599" s="10">
        <v>2024</v>
      </c>
      <c r="E599" s="4">
        <v>1684</v>
      </c>
      <c r="F599" s="4" t="s">
        <v>7</v>
      </c>
      <c r="G599" s="2">
        <v>14.54</v>
      </c>
      <c r="H599" s="11">
        <v>24485.359999999997</v>
      </c>
      <c r="I599" s="5">
        <v>2018</v>
      </c>
      <c r="J599" s="1" t="s">
        <v>12</v>
      </c>
      <c r="K599" s="1"/>
      <c r="L599" s="1" t="s">
        <v>49</v>
      </c>
    </row>
    <row r="600" spans="1:12" x14ac:dyDescent="0.3">
      <c r="A600" s="10">
        <v>317</v>
      </c>
      <c r="B600" s="10" t="s">
        <v>167</v>
      </c>
      <c r="C600" s="10" t="s">
        <v>70</v>
      </c>
      <c r="D600" s="10">
        <v>2024</v>
      </c>
      <c r="E600" s="4">
        <v>1262</v>
      </c>
      <c r="F600" s="4" t="s">
        <v>7</v>
      </c>
      <c r="G600" s="2">
        <v>11.89</v>
      </c>
      <c r="H600" s="11">
        <v>15005.18</v>
      </c>
      <c r="I600" s="5">
        <v>2018</v>
      </c>
      <c r="J600" s="1" t="s">
        <v>12</v>
      </c>
      <c r="K600" s="1"/>
      <c r="L600" s="1" t="s">
        <v>49</v>
      </c>
    </row>
    <row r="601" spans="1:12" x14ac:dyDescent="0.3">
      <c r="A601" s="10">
        <v>318</v>
      </c>
      <c r="B601" s="10" t="s">
        <v>167</v>
      </c>
      <c r="C601" s="10" t="s">
        <v>71</v>
      </c>
      <c r="D601" s="10">
        <v>2024</v>
      </c>
      <c r="E601" s="4">
        <v>1780.2</v>
      </c>
      <c r="F601" s="4" t="s">
        <v>7</v>
      </c>
      <c r="G601" s="2">
        <f>10.97+3.84</f>
        <v>14.81</v>
      </c>
      <c r="H601" s="11">
        <f>19530+6834</f>
        <v>26364</v>
      </c>
      <c r="I601" s="5">
        <v>2020</v>
      </c>
      <c r="J601" s="1" t="s">
        <v>12</v>
      </c>
      <c r="K601" s="1"/>
      <c r="L601" s="1" t="s">
        <v>46</v>
      </c>
    </row>
    <row r="602" spans="1:12" x14ac:dyDescent="0.3">
      <c r="A602" s="10">
        <v>319</v>
      </c>
      <c r="B602" s="10" t="s">
        <v>167</v>
      </c>
      <c r="C602" s="10" t="s">
        <v>72</v>
      </c>
      <c r="D602" s="10">
        <v>2024</v>
      </c>
      <c r="E602" s="4">
        <v>1780.2</v>
      </c>
      <c r="F602" s="4" t="s">
        <v>7</v>
      </c>
      <c r="G602" s="2">
        <f>12.22+2.59</f>
        <v>14.81</v>
      </c>
      <c r="H602" s="11">
        <f>21753+4615</f>
        <v>26368</v>
      </c>
      <c r="I602" s="5">
        <v>2020</v>
      </c>
      <c r="J602" s="1" t="s">
        <v>12</v>
      </c>
      <c r="K602" s="1"/>
      <c r="L602" s="1" t="s">
        <v>46</v>
      </c>
    </row>
    <row r="603" spans="1:12" x14ac:dyDescent="0.3">
      <c r="A603" s="10">
        <v>320</v>
      </c>
      <c r="B603" s="10" t="s">
        <v>167</v>
      </c>
      <c r="C603" s="10" t="s">
        <v>73</v>
      </c>
      <c r="D603" s="10">
        <v>2024</v>
      </c>
      <c r="E603" s="4">
        <v>1779.3333333333333</v>
      </c>
      <c r="F603" s="4" t="s">
        <v>7</v>
      </c>
      <c r="G603" s="2">
        <v>13.54</v>
      </c>
      <c r="H603" s="11">
        <v>24092.173333333332</v>
      </c>
      <c r="I603" s="5">
        <v>2020</v>
      </c>
      <c r="J603" s="1" t="s">
        <v>12</v>
      </c>
      <c r="K603" s="1"/>
      <c r="L603" s="1" t="s">
        <v>46</v>
      </c>
    </row>
    <row r="604" spans="1:12" x14ac:dyDescent="0.3">
      <c r="A604" s="10">
        <v>321</v>
      </c>
      <c r="B604" s="10" t="s">
        <v>167</v>
      </c>
      <c r="C604" s="10" t="s">
        <v>74</v>
      </c>
      <c r="D604" s="10">
        <v>2024</v>
      </c>
      <c r="E604" s="8">
        <v>1894</v>
      </c>
      <c r="F604" s="4" t="s">
        <v>7</v>
      </c>
      <c r="G604" s="2">
        <v>14.05</v>
      </c>
      <c r="H604" s="11">
        <v>26610.7</v>
      </c>
      <c r="I604" s="5">
        <v>2021</v>
      </c>
      <c r="J604" s="1" t="s">
        <v>12</v>
      </c>
      <c r="K604" s="1"/>
      <c r="L604" s="1" t="s">
        <v>49</v>
      </c>
    </row>
    <row r="605" spans="1:12" x14ac:dyDescent="0.3">
      <c r="A605" s="10">
        <v>322</v>
      </c>
      <c r="B605" s="10" t="s">
        <v>167</v>
      </c>
      <c r="C605" s="10" t="s">
        <v>75</v>
      </c>
      <c r="D605" s="10">
        <v>2024</v>
      </c>
      <c r="E605" s="8">
        <v>1894</v>
      </c>
      <c r="F605" s="4" t="s">
        <v>7</v>
      </c>
      <c r="G605" s="2">
        <f>4.17</f>
        <v>4.17</v>
      </c>
      <c r="H605" s="11">
        <v>7897.98</v>
      </c>
      <c r="I605" s="5">
        <v>2021</v>
      </c>
      <c r="J605" s="1" t="s">
        <v>12</v>
      </c>
      <c r="K605" s="1"/>
      <c r="L605" s="1" t="s">
        <v>49</v>
      </c>
    </row>
    <row r="606" spans="1:12" x14ac:dyDescent="0.3">
      <c r="A606" s="10">
        <v>323</v>
      </c>
      <c r="B606" s="10" t="s">
        <v>167</v>
      </c>
      <c r="C606" s="10" t="s">
        <v>76</v>
      </c>
      <c r="D606" s="10">
        <v>2024</v>
      </c>
      <c r="E606" s="8">
        <v>1894</v>
      </c>
      <c r="F606" s="4" t="s">
        <v>7</v>
      </c>
      <c r="G606" s="2">
        <f>7.57</f>
        <v>7.57</v>
      </c>
      <c r="H606" s="11">
        <v>14337.58</v>
      </c>
      <c r="I606" s="5">
        <v>2021</v>
      </c>
      <c r="J606" s="1" t="s">
        <v>12</v>
      </c>
      <c r="K606" s="1"/>
      <c r="L606" s="1" t="s">
        <v>49</v>
      </c>
    </row>
    <row r="607" spans="1:12" x14ac:dyDescent="0.3">
      <c r="A607" s="10">
        <v>324</v>
      </c>
      <c r="B607" s="10" t="s">
        <v>167</v>
      </c>
      <c r="C607" s="10" t="s">
        <v>77</v>
      </c>
      <c r="D607" s="10">
        <v>2024</v>
      </c>
      <c r="E607" s="8">
        <v>1905</v>
      </c>
      <c r="F607" s="4" t="s">
        <v>7</v>
      </c>
      <c r="G607" s="2">
        <f>11.76</f>
        <v>11.76</v>
      </c>
      <c r="H607" s="11">
        <v>22402.799999999999</v>
      </c>
      <c r="I607" s="5">
        <v>2021</v>
      </c>
      <c r="J607" s="1" t="s">
        <v>12</v>
      </c>
      <c r="K607" s="1"/>
      <c r="L607" s="1" t="s">
        <v>49</v>
      </c>
    </row>
    <row r="608" spans="1:12" x14ac:dyDescent="0.3">
      <c r="A608" s="10">
        <v>325</v>
      </c>
      <c r="B608" s="10" t="s">
        <v>135</v>
      </c>
      <c r="C608" s="10" t="s">
        <v>80</v>
      </c>
      <c r="D608" s="10">
        <v>2024</v>
      </c>
      <c r="E608" s="4">
        <v>1780</v>
      </c>
      <c r="F608" s="4" t="s">
        <v>7</v>
      </c>
      <c r="G608" s="2">
        <v>2</v>
      </c>
      <c r="H608" s="3">
        <f>G608*E608</f>
        <v>3560</v>
      </c>
      <c r="I608" s="5">
        <v>2021</v>
      </c>
      <c r="J608" s="1" t="s">
        <v>12</v>
      </c>
      <c r="K608" s="1" t="s">
        <v>27</v>
      </c>
      <c r="L608" s="1" t="s">
        <v>53</v>
      </c>
    </row>
    <row r="609" spans="1:12" x14ac:dyDescent="0.3">
      <c r="A609" s="10">
        <v>326</v>
      </c>
      <c r="B609" s="10" t="s">
        <v>112</v>
      </c>
      <c r="C609" s="10" t="s">
        <v>81</v>
      </c>
      <c r="D609" s="10">
        <v>2024</v>
      </c>
      <c r="E609" s="4">
        <v>1780</v>
      </c>
      <c r="F609" s="4" t="s">
        <v>7</v>
      </c>
      <c r="G609" s="2">
        <v>14.81</v>
      </c>
      <c r="H609" s="6">
        <v>26361.8</v>
      </c>
      <c r="I609" s="1">
        <v>2020</v>
      </c>
      <c r="J609" s="1" t="s">
        <v>12</v>
      </c>
      <c r="K609" s="1"/>
      <c r="L609" s="1" t="s">
        <v>46</v>
      </c>
    </row>
    <row r="610" spans="1:12" x14ac:dyDescent="0.3">
      <c r="A610" s="10">
        <v>327</v>
      </c>
      <c r="B610" s="10" t="s">
        <v>112</v>
      </c>
      <c r="C610" s="10" t="s">
        <v>82</v>
      </c>
      <c r="D610" s="10">
        <v>2024</v>
      </c>
      <c r="E610" s="4">
        <v>1780</v>
      </c>
      <c r="F610" s="4" t="s">
        <v>7</v>
      </c>
      <c r="G610" s="2">
        <v>14.81</v>
      </c>
      <c r="H610" s="6">
        <v>26361.8</v>
      </c>
      <c r="I610" s="1">
        <v>2020</v>
      </c>
      <c r="J610" s="1" t="s">
        <v>12</v>
      </c>
      <c r="K610" s="1"/>
      <c r="L610" s="1" t="s">
        <v>46</v>
      </c>
    </row>
    <row r="611" spans="1:12" x14ac:dyDescent="0.3">
      <c r="A611" s="10">
        <v>328</v>
      </c>
      <c r="B611" s="10" t="s">
        <v>112</v>
      </c>
      <c r="C611" s="10" t="s">
        <v>51</v>
      </c>
      <c r="D611" s="10">
        <v>2024</v>
      </c>
      <c r="E611" s="4">
        <v>1780</v>
      </c>
      <c r="F611" s="4" t="s">
        <v>7</v>
      </c>
      <c r="G611" s="2">
        <f>6.74</f>
        <v>6.74</v>
      </c>
      <c r="H611" s="6">
        <v>11997.2</v>
      </c>
      <c r="I611" s="1">
        <v>2021</v>
      </c>
      <c r="J611" s="1" t="s">
        <v>12</v>
      </c>
      <c r="K611" s="1" t="s">
        <v>9</v>
      </c>
      <c r="L611" s="1" t="s">
        <v>46</v>
      </c>
    </row>
    <row r="612" spans="1:12" x14ac:dyDescent="0.3">
      <c r="A612" s="10">
        <v>329</v>
      </c>
      <c r="B612" s="10" t="s">
        <v>112</v>
      </c>
      <c r="C612" s="10" t="s">
        <v>84</v>
      </c>
      <c r="D612" s="10">
        <v>2024</v>
      </c>
      <c r="E612" s="4">
        <v>1632</v>
      </c>
      <c r="F612" s="4" t="s">
        <v>7</v>
      </c>
      <c r="G612" s="2">
        <v>13.68</v>
      </c>
      <c r="H612" s="6">
        <f>E612*G612</f>
        <v>22325.759999999998</v>
      </c>
      <c r="I612" s="1">
        <v>2016</v>
      </c>
      <c r="J612" s="1" t="s">
        <v>12</v>
      </c>
      <c r="K612" s="1" t="s">
        <v>27</v>
      </c>
      <c r="L612" s="1" t="s">
        <v>134</v>
      </c>
    </row>
    <row r="613" spans="1:12" x14ac:dyDescent="0.3">
      <c r="A613" s="10">
        <v>330</v>
      </c>
      <c r="B613" s="10" t="s">
        <v>112</v>
      </c>
      <c r="C613" s="10" t="s">
        <v>85</v>
      </c>
      <c r="D613" s="10">
        <v>2024</v>
      </c>
      <c r="E613" s="4">
        <v>1632</v>
      </c>
      <c r="F613" s="4" t="s">
        <v>7</v>
      </c>
      <c r="G613" s="2">
        <v>14.05</v>
      </c>
      <c r="H613" s="6">
        <f>E613*G613</f>
        <v>22929.600000000002</v>
      </c>
      <c r="I613" s="1">
        <v>2016</v>
      </c>
      <c r="J613" s="1" t="s">
        <v>12</v>
      </c>
      <c r="K613" s="1" t="s">
        <v>27</v>
      </c>
      <c r="L613" s="1" t="s">
        <v>134</v>
      </c>
    </row>
    <row r="614" spans="1:12" x14ac:dyDescent="0.3">
      <c r="A614" s="10">
        <v>331</v>
      </c>
      <c r="B614" s="10" t="s">
        <v>112</v>
      </c>
      <c r="C614" s="10" t="s">
        <v>86</v>
      </c>
      <c r="D614" s="10">
        <v>2024</v>
      </c>
      <c r="E614" s="4">
        <v>1632</v>
      </c>
      <c r="F614" s="4" t="s">
        <v>7</v>
      </c>
      <c r="G614" s="2">
        <v>13.37</v>
      </c>
      <c r="H614" s="6">
        <f>E614*G614</f>
        <v>21819.84</v>
      </c>
      <c r="I614" s="1">
        <v>2016</v>
      </c>
      <c r="J614" s="1" t="s">
        <v>12</v>
      </c>
      <c r="K614" s="1" t="s">
        <v>27</v>
      </c>
      <c r="L614" s="1" t="s">
        <v>134</v>
      </c>
    </row>
    <row r="615" spans="1:12" x14ac:dyDescent="0.3">
      <c r="A615" s="10">
        <v>332</v>
      </c>
      <c r="B615" s="10" t="s">
        <v>112</v>
      </c>
      <c r="C615" s="10" t="s">
        <v>87</v>
      </c>
      <c r="D615" s="10">
        <v>2024</v>
      </c>
      <c r="E615" s="4">
        <v>1587</v>
      </c>
      <c r="F615" s="4" t="s">
        <v>7</v>
      </c>
      <c r="G615" s="2">
        <v>6.13</v>
      </c>
      <c r="H615" s="6">
        <f>G615*E615</f>
        <v>9728.31</v>
      </c>
      <c r="I615" s="1">
        <v>2019</v>
      </c>
      <c r="J615" s="1" t="s">
        <v>12</v>
      </c>
      <c r="K615" s="1" t="s">
        <v>27</v>
      </c>
      <c r="L615" s="1" t="s">
        <v>134</v>
      </c>
    </row>
    <row r="616" spans="1:12" x14ac:dyDescent="0.3">
      <c r="A616" s="10">
        <v>334</v>
      </c>
      <c r="B616" s="10" t="s">
        <v>105</v>
      </c>
      <c r="C616" s="10" t="s">
        <v>14</v>
      </c>
      <c r="D616" s="10">
        <v>2024</v>
      </c>
      <c r="E616" s="4">
        <v>2132</v>
      </c>
      <c r="F616" s="8" t="s">
        <v>162</v>
      </c>
      <c r="G616" s="2">
        <v>0.01</v>
      </c>
      <c r="H616" s="11">
        <f>E616*G616</f>
        <v>21.32</v>
      </c>
      <c r="I616" s="5">
        <v>2016</v>
      </c>
      <c r="J616" s="1" t="s">
        <v>12</v>
      </c>
      <c r="K616" s="1" t="s">
        <v>9</v>
      </c>
      <c r="L616" s="1" t="s">
        <v>10</v>
      </c>
    </row>
    <row r="617" spans="1:12" x14ac:dyDescent="0.3">
      <c r="A617" s="10">
        <v>335</v>
      </c>
      <c r="B617" s="10" t="s">
        <v>105</v>
      </c>
      <c r="C617" s="10" t="s">
        <v>15</v>
      </c>
      <c r="D617" s="10">
        <v>2024</v>
      </c>
      <c r="E617" s="4">
        <v>2132</v>
      </c>
      <c r="F617" s="8" t="s">
        <v>162</v>
      </c>
      <c r="G617" s="2">
        <f>14.83-14.75</f>
        <v>8.0000000000000071E-2</v>
      </c>
      <c r="H617" s="11">
        <f>G617*E617</f>
        <v>170.56000000000014</v>
      </c>
      <c r="I617" s="5">
        <v>2017</v>
      </c>
      <c r="J617" s="1" t="s">
        <v>12</v>
      </c>
      <c r="K617" s="1" t="s">
        <v>9</v>
      </c>
      <c r="L617" s="1" t="s">
        <v>10</v>
      </c>
    </row>
    <row r="618" spans="1:12" x14ac:dyDescent="0.3">
      <c r="A618" s="10">
        <v>336</v>
      </c>
      <c r="B618" s="10" t="s">
        <v>105</v>
      </c>
      <c r="C618" s="10" t="s">
        <v>16</v>
      </c>
      <c r="D618" s="10">
        <v>2024</v>
      </c>
      <c r="E618" s="4">
        <v>2070</v>
      </c>
      <c r="F618" s="8" t="s">
        <v>162</v>
      </c>
      <c r="G618" s="2">
        <v>0</v>
      </c>
      <c r="H618" s="11">
        <v>0</v>
      </c>
      <c r="I618" s="5">
        <v>2017</v>
      </c>
      <c r="J618" s="1" t="s">
        <v>12</v>
      </c>
      <c r="K618" s="1" t="s">
        <v>9</v>
      </c>
      <c r="L618" s="1" t="s">
        <v>10</v>
      </c>
    </row>
    <row r="619" spans="1:12" x14ac:dyDescent="0.3">
      <c r="A619" s="10">
        <v>337</v>
      </c>
      <c r="B619" s="10" t="s">
        <v>105</v>
      </c>
      <c r="C619" s="10" t="s">
        <v>18</v>
      </c>
      <c r="D619" s="10">
        <v>2024</v>
      </c>
      <c r="E619" s="4">
        <v>2070</v>
      </c>
      <c r="F619" s="8" t="s">
        <v>162</v>
      </c>
      <c r="G619" s="2">
        <v>0</v>
      </c>
      <c r="H619" s="11">
        <v>0</v>
      </c>
      <c r="I619" s="5">
        <v>2017</v>
      </c>
      <c r="J619" s="1" t="s">
        <v>12</v>
      </c>
      <c r="K619" s="1" t="s">
        <v>9</v>
      </c>
      <c r="L619" s="1" t="s">
        <v>10</v>
      </c>
    </row>
    <row r="620" spans="1:12" x14ac:dyDescent="0.3">
      <c r="A620" s="10">
        <v>338</v>
      </c>
      <c r="B620" s="10" t="s">
        <v>105</v>
      </c>
      <c r="C620" s="10" t="s">
        <v>19</v>
      </c>
      <c r="D620" s="10">
        <v>2024</v>
      </c>
      <c r="E620" s="4">
        <v>2070</v>
      </c>
      <c r="F620" s="8" t="s">
        <v>162</v>
      </c>
      <c r="G620" s="2">
        <v>0.05</v>
      </c>
      <c r="H620" s="11">
        <f>E620*G620</f>
        <v>103.5</v>
      </c>
      <c r="I620" s="5">
        <v>2017</v>
      </c>
      <c r="J620" s="1" t="s">
        <v>12</v>
      </c>
      <c r="K620" s="1" t="s">
        <v>9</v>
      </c>
      <c r="L620" s="1" t="s">
        <v>10</v>
      </c>
    </row>
    <row r="621" spans="1:12" x14ac:dyDescent="0.3">
      <c r="A621" s="10">
        <v>339</v>
      </c>
      <c r="B621" s="10" t="s">
        <v>105</v>
      </c>
      <c r="C621" s="10" t="s">
        <v>20</v>
      </c>
      <c r="D621" s="10">
        <v>2024</v>
      </c>
      <c r="E621" s="4">
        <v>2132</v>
      </c>
      <c r="F621" s="8" t="s">
        <v>162</v>
      </c>
      <c r="G621" s="2">
        <f>14.4-13.69</f>
        <v>0.71000000000000085</v>
      </c>
      <c r="H621" s="11">
        <f>E621*G621</f>
        <v>1513.7200000000018</v>
      </c>
      <c r="I621" s="5">
        <v>2015</v>
      </c>
      <c r="J621" s="1" t="s">
        <v>12</v>
      </c>
      <c r="K621" s="1" t="s">
        <v>9</v>
      </c>
      <c r="L621" s="1" t="s">
        <v>153</v>
      </c>
    </row>
    <row r="622" spans="1:12" x14ac:dyDescent="0.3">
      <c r="A622" s="10">
        <v>340</v>
      </c>
      <c r="B622" s="10" t="s">
        <v>105</v>
      </c>
      <c r="C622" s="10" t="s">
        <v>21</v>
      </c>
      <c r="D622" s="10">
        <v>2024</v>
      </c>
      <c r="E622" s="4">
        <v>2132</v>
      </c>
      <c r="F622" s="8" t="s">
        <v>162</v>
      </c>
      <c r="G622" s="2">
        <v>0</v>
      </c>
      <c r="H622" s="11">
        <v>0</v>
      </c>
      <c r="I622" s="5">
        <v>2015</v>
      </c>
      <c r="J622" s="1" t="s">
        <v>12</v>
      </c>
      <c r="K622" s="1" t="s">
        <v>9</v>
      </c>
      <c r="L622" s="1" t="s">
        <v>153</v>
      </c>
    </row>
    <row r="623" spans="1:12" x14ac:dyDescent="0.3">
      <c r="A623" s="10">
        <v>341</v>
      </c>
      <c r="B623" s="10" t="s">
        <v>105</v>
      </c>
      <c r="C623" s="10" t="s">
        <v>22</v>
      </c>
      <c r="D623" s="10">
        <v>2024</v>
      </c>
      <c r="E623" s="4">
        <v>2132</v>
      </c>
      <c r="F623" s="8" t="s">
        <v>162</v>
      </c>
      <c r="G623" s="2">
        <v>0</v>
      </c>
      <c r="H623" s="11">
        <v>0</v>
      </c>
      <c r="I623" s="5">
        <v>2015</v>
      </c>
      <c r="J623" s="1" t="s">
        <v>12</v>
      </c>
      <c r="K623" s="1" t="s">
        <v>9</v>
      </c>
      <c r="L623" s="1" t="s">
        <v>153</v>
      </c>
    </row>
    <row r="624" spans="1:12" x14ac:dyDescent="0.3">
      <c r="A624" s="10">
        <v>342</v>
      </c>
      <c r="B624" s="10" t="s">
        <v>105</v>
      </c>
      <c r="C624" s="10" t="s">
        <v>23</v>
      </c>
      <c r="D624" s="10">
        <v>2024</v>
      </c>
      <c r="E624" s="4">
        <v>2070</v>
      </c>
      <c r="F624" s="8" t="s">
        <v>162</v>
      </c>
      <c r="G624" s="2">
        <v>0</v>
      </c>
      <c r="H624" s="11">
        <v>0</v>
      </c>
      <c r="I624" s="5">
        <v>2016</v>
      </c>
      <c r="J624" s="1" t="s">
        <v>12</v>
      </c>
      <c r="K624" s="1" t="s">
        <v>9</v>
      </c>
      <c r="L624" s="1" t="s">
        <v>132</v>
      </c>
    </row>
    <row r="625" spans="1:12" x14ac:dyDescent="0.3">
      <c r="A625" s="10">
        <v>343</v>
      </c>
      <c r="B625" s="10" t="s">
        <v>105</v>
      </c>
      <c r="C625" s="10" t="s">
        <v>24</v>
      </c>
      <c r="D625" s="10">
        <v>2024</v>
      </c>
      <c r="E625" s="4">
        <v>2070</v>
      </c>
      <c r="F625" s="8" t="s">
        <v>162</v>
      </c>
      <c r="G625" s="2">
        <v>0.13000000000000078</v>
      </c>
      <c r="H625" s="11">
        <v>269.10000000000161</v>
      </c>
      <c r="I625" s="5">
        <v>2017</v>
      </c>
      <c r="J625" s="1" t="s">
        <v>12</v>
      </c>
      <c r="K625" s="1" t="s">
        <v>9</v>
      </c>
      <c r="L625" s="1" t="s">
        <v>132</v>
      </c>
    </row>
    <row r="626" spans="1:12" x14ac:dyDescent="0.3">
      <c r="A626" s="10">
        <v>344</v>
      </c>
      <c r="B626" s="10" t="s">
        <v>105</v>
      </c>
      <c r="C626" s="10" t="s">
        <v>25</v>
      </c>
      <c r="D626" s="10">
        <v>2024</v>
      </c>
      <c r="E626" s="4">
        <v>2070</v>
      </c>
      <c r="F626" s="8" t="s">
        <v>162</v>
      </c>
      <c r="G626" s="2">
        <v>0.17999999999999972</v>
      </c>
      <c r="H626" s="11">
        <v>372.5999999999994</v>
      </c>
      <c r="I626" s="5">
        <v>2016</v>
      </c>
      <c r="J626" s="1" t="s">
        <v>12</v>
      </c>
      <c r="K626" s="1" t="s">
        <v>9</v>
      </c>
      <c r="L626" s="1" t="s">
        <v>132</v>
      </c>
    </row>
    <row r="627" spans="1:12" x14ac:dyDescent="0.3">
      <c r="A627" s="10">
        <v>345</v>
      </c>
      <c r="B627" s="10" t="s">
        <v>105</v>
      </c>
      <c r="C627" s="10" t="s">
        <v>26</v>
      </c>
      <c r="D627" s="10">
        <v>2024</v>
      </c>
      <c r="E627" s="4">
        <v>1905</v>
      </c>
      <c r="F627" s="8" t="s">
        <v>162</v>
      </c>
      <c r="G627" s="2">
        <v>0.03</v>
      </c>
      <c r="H627" s="11">
        <f>E627*G627</f>
        <v>57.15</v>
      </c>
      <c r="I627" s="5">
        <v>2015</v>
      </c>
      <c r="J627" s="1" t="s">
        <v>8</v>
      </c>
      <c r="K627" s="1" t="s">
        <v>27</v>
      </c>
      <c r="L627" s="1" t="s">
        <v>28</v>
      </c>
    </row>
    <row r="628" spans="1:12" x14ac:dyDescent="0.3">
      <c r="A628" s="10">
        <v>346</v>
      </c>
      <c r="B628" s="10" t="s">
        <v>105</v>
      </c>
      <c r="C628" s="10" t="s">
        <v>29</v>
      </c>
      <c r="D628" s="10">
        <v>2024</v>
      </c>
      <c r="E628" s="4">
        <v>1905</v>
      </c>
      <c r="F628" s="8" t="s">
        <v>162</v>
      </c>
      <c r="G628" s="2">
        <v>0.17</v>
      </c>
      <c r="H628" s="11">
        <f>G628*E628</f>
        <v>323.85000000000002</v>
      </c>
      <c r="I628" s="5">
        <v>2017</v>
      </c>
      <c r="J628" s="1" t="s">
        <v>12</v>
      </c>
      <c r="K628" s="1" t="s">
        <v>27</v>
      </c>
      <c r="L628" s="1" t="s">
        <v>28</v>
      </c>
    </row>
    <row r="629" spans="1:12" x14ac:dyDescent="0.3">
      <c r="A629" s="10">
        <v>347</v>
      </c>
      <c r="B629" s="10" t="s">
        <v>105</v>
      </c>
      <c r="C629" s="10" t="s">
        <v>30</v>
      </c>
      <c r="D629" s="10">
        <v>2024</v>
      </c>
      <c r="E629" s="4">
        <v>1953</v>
      </c>
      <c r="F629" s="8" t="s">
        <v>162</v>
      </c>
      <c r="G629" s="2">
        <v>7.0000000000000007E-2</v>
      </c>
      <c r="H629" s="11">
        <f>E629*G629</f>
        <v>136.71</v>
      </c>
      <c r="I629" s="5">
        <v>2018</v>
      </c>
      <c r="J629" s="1" t="s">
        <v>8</v>
      </c>
      <c r="K629" s="1" t="s">
        <v>27</v>
      </c>
      <c r="L629" s="1" t="s">
        <v>28</v>
      </c>
    </row>
    <row r="630" spans="1:12" x14ac:dyDescent="0.3">
      <c r="A630" s="10">
        <v>348</v>
      </c>
      <c r="B630" s="10" t="s">
        <v>105</v>
      </c>
      <c r="C630" s="10" t="s">
        <v>31</v>
      </c>
      <c r="D630" s="10">
        <v>2024</v>
      </c>
      <c r="E630" s="4">
        <v>1905.1398337112623</v>
      </c>
      <c r="F630" s="8" t="s">
        <v>162</v>
      </c>
      <c r="G630" s="2">
        <v>0.04</v>
      </c>
      <c r="H630" s="11">
        <f>E630*G630</f>
        <v>76.205593348450492</v>
      </c>
      <c r="I630" s="5">
        <v>2016</v>
      </c>
      <c r="J630" s="1" t="s">
        <v>8</v>
      </c>
      <c r="K630" s="1" t="s">
        <v>27</v>
      </c>
      <c r="L630" s="1" t="s">
        <v>28</v>
      </c>
    </row>
    <row r="631" spans="1:12" x14ac:dyDescent="0.3">
      <c r="A631" s="10">
        <v>349</v>
      </c>
      <c r="B631" s="10" t="s">
        <v>105</v>
      </c>
      <c r="C631" s="10" t="s">
        <v>32</v>
      </c>
      <c r="D631" s="10">
        <v>2024</v>
      </c>
      <c r="E631" s="4">
        <v>1953</v>
      </c>
      <c r="F631" s="8" t="s">
        <v>162</v>
      </c>
      <c r="G631" s="2">
        <v>0</v>
      </c>
      <c r="H631" s="11">
        <v>0</v>
      </c>
      <c r="I631" s="5">
        <v>2014</v>
      </c>
      <c r="J631" s="1" t="s">
        <v>8</v>
      </c>
      <c r="K631" s="1" t="s">
        <v>27</v>
      </c>
      <c r="L631" s="1" t="s">
        <v>28</v>
      </c>
    </row>
    <row r="632" spans="1:12" x14ac:dyDescent="0.3">
      <c r="A632" s="10">
        <v>350</v>
      </c>
      <c r="B632" s="10" t="s">
        <v>105</v>
      </c>
      <c r="C632" s="10" t="s">
        <v>33</v>
      </c>
      <c r="D632" s="10">
        <v>2024</v>
      </c>
      <c r="E632" s="4">
        <v>1953</v>
      </c>
      <c r="F632" s="8" t="s">
        <v>162</v>
      </c>
      <c r="G632" s="2">
        <v>5.0000000000000711E-2</v>
      </c>
      <c r="H632" s="11">
        <v>97.650000000001384</v>
      </c>
      <c r="I632" s="5">
        <v>2019</v>
      </c>
      <c r="J632" s="1" t="s">
        <v>12</v>
      </c>
      <c r="K632" s="1" t="s">
        <v>9</v>
      </c>
      <c r="L632" s="1" t="s">
        <v>132</v>
      </c>
    </row>
    <row r="633" spans="1:12" x14ac:dyDescent="0.3">
      <c r="A633" s="10">
        <v>351</v>
      </c>
      <c r="B633" s="10" t="s">
        <v>105</v>
      </c>
      <c r="C633" s="10" t="s">
        <v>35</v>
      </c>
      <c r="D633" s="10">
        <v>2024</v>
      </c>
      <c r="E633" s="4">
        <v>1953</v>
      </c>
      <c r="F633" s="8" t="s">
        <v>162</v>
      </c>
      <c r="G633" s="2">
        <v>0.06</v>
      </c>
      <c r="H633" s="11">
        <v>117.17999999999999</v>
      </c>
      <c r="I633" s="5">
        <v>2019</v>
      </c>
      <c r="J633" s="1" t="s">
        <v>12</v>
      </c>
      <c r="K633" s="1" t="s">
        <v>9</v>
      </c>
      <c r="L633" s="1" t="s">
        <v>132</v>
      </c>
    </row>
    <row r="634" spans="1:12" x14ac:dyDescent="0.3">
      <c r="A634" s="10">
        <v>352</v>
      </c>
      <c r="B634" s="10" t="s">
        <v>105</v>
      </c>
      <c r="C634" s="10" t="s">
        <v>36</v>
      </c>
      <c r="D634" s="10">
        <v>2024</v>
      </c>
      <c r="E634" s="4">
        <v>1953</v>
      </c>
      <c r="F634" s="8" t="s">
        <v>162</v>
      </c>
      <c r="G634" s="2">
        <v>0.03</v>
      </c>
      <c r="H634" s="11">
        <v>58.589999999999996</v>
      </c>
      <c r="I634" s="5">
        <v>2019</v>
      </c>
      <c r="J634" s="1" t="s">
        <v>12</v>
      </c>
      <c r="K634" s="1" t="s">
        <v>9</v>
      </c>
      <c r="L634" s="1" t="s">
        <v>132</v>
      </c>
    </row>
    <row r="635" spans="1:12" x14ac:dyDescent="0.3">
      <c r="A635" s="10">
        <v>353</v>
      </c>
      <c r="B635" s="10" t="s">
        <v>105</v>
      </c>
      <c r="C635" s="10" t="s">
        <v>37</v>
      </c>
      <c r="D635" s="10">
        <v>2024</v>
      </c>
      <c r="E635" s="4">
        <v>1780</v>
      </c>
      <c r="F635" s="8" t="s">
        <v>162</v>
      </c>
      <c r="G635" s="2">
        <v>0.63000000000000078</v>
      </c>
      <c r="H635" s="11">
        <v>1121.4000000000015</v>
      </c>
      <c r="I635" s="5">
        <v>2020</v>
      </c>
      <c r="J635" s="1" t="s">
        <v>12</v>
      </c>
      <c r="K635" s="1" t="s">
        <v>9</v>
      </c>
      <c r="L635" s="1" t="s">
        <v>132</v>
      </c>
    </row>
    <row r="636" spans="1:12" x14ac:dyDescent="0.3">
      <c r="A636" s="10">
        <v>354</v>
      </c>
      <c r="B636" s="10" t="s">
        <v>105</v>
      </c>
      <c r="C636" s="10" t="s">
        <v>38</v>
      </c>
      <c r="D636" s="10">
        <v>2024</v>
      </c>
      <c r="E636" s="4">
        <v>1780</v>
      </c>
      <c r="F636" s="8" t="s">
        <v>162</v>
      </c>
      <c r="G636" s="2">
        <v>0.36999999999999922</v>
      </c>
      <c r="H636" s="11">
        <v>658.59999999999866</v>
      </c>
      <c r="I636" s="5">
        <v>2020</v>
      </c>
      <c r="J636" s="1" t="s">
        <v>12</v>
      </c>
      <c r="K636" s="1" t="s">
        <v>9</v>
      </c>
      <c r="L636" s="1" t="s">
        <v>132</v>
      </c>
    </row>
    <row r="637" spans="1:12" x14ac:dyDescent="0.3">
      <c r="A637" s="10">
        <v>355</v>
      </c>
      <c r="B637" s="10" t="s">
        <v>105</v>
      </c>
      <c r="C637" s="10" t="s">
        <v>39</v>
      </c>
      <c r="D637" s="10">
        <v>2024</v>
      </c>
      <c r="E637" s="4">
        <v>1780</v>
      </c>
      <c r="F637" s="8" t="s">
        <v>162</v>
      </c>
      <c r="G637" s="2">
        <v>0.09</v>
      </c>
      <c r="H637" s="11">
        <v>160.19999999999999</v>
      </c>
      <c r="I637" s="5">
        <v>2020</v>
      </c>
      <c r="J637" s="1" t="s">
        <v>12</v>
      </c>
      <c r="K637" s="1" t="s">
        <v>9</v>
      </c>
      <c r="L637" s="1" t="s">
        <v>132</v>
      </c>
    </row>
    <row r="638" spans="1:12" x14ac:dyDescent="0.3">
      <c r="A638" s="10">
        <v>356</v>
      </c>
      <c r="B638" s="10" t="s">
        <v>105</v>
      </c>
      <c r="C638" s="10" t="s">
        <v>40</v>
      </c>
      <c r="D638" s="10">
        <v>2024</v>
      </c>
      <c r="E638" s="4">
        <v>1780</v>
      </c>
      <c r="F638" s="8" t="s">
        <v>162</v>
      </c>
      <c r="G638" s="2">
        <v>0.11</v>
      </c>
      <c r="H638" s="11">
        <f>G638*E638</f>
        <v>195.8</v>
      </c>
      <c r="I638" s="5">
        <v>2020</v>
      </c>
      <c r="J638" s="1" t="s">
        <v>12</v>
      </c>
      <c r="K638" s="1" t="s">
        <v>27</v>
      </c>
      <c r="L638" s="1" t="s">
        <v>34</v>
      </c>
    </row>
    <row r="639" spans="1:12" x14ac:dyDescent="0.3">
      <c r="A639" s="10">
        <v>357</v>
      </c>
      <c r="B639" s="10" t="s">
        <v>105</v>
      </c>
      <c r="C639" s="10" t="s">
        <v>41</v>
      </c>
      <c r="D639" s="10">
        <v>2024</v>
      </c>
      <c r="E639" s="4">
        <v>1780</v>
      </c>
      <c r="F639" s="8" t="s">
        <v>162</v>
      </c>
      <c r="G639" s="2">
        <v>0.06</v>
      </c>
      <c r="H639" s="11">
        <f>E639*G639</f>
        <v>106.8</v>
      </c>
      <c r="I639" s="5">
        <v>2020</v>
      </c>
      <c r="J639" s="1" t="s">
        <v>12</v>
      </c>
      <c r="K639" s="1" t="s">
        <v>27</v>
      </c>
      <c r="L639" s="1" t="s">
        <v>34</v>
      </c>
    </row>
    <row r="640" spans="1:12" x14ac:dyDescent="0.3">
      <c r="A640" s="10">
        <v>358</v>
      </c>
      <c r="B640" s="10" t="s">
        <v>105</v>
      </c>
      <c r="C640" s="10" t="s">
        <v>42</v>
      </c>
      <c r="D640" s="10">
        <v>2024</v>
      </c>
      <c r="E640" s="4">
        <v>1780</v>
      </c>
      <c r="F640" s="8" t="s">
        <v>162</v>
      </c>
      <c r="G640" s="2">
        <v>0.05</v>
      </c>
      <c r="H640" s="11">
        <f>E640*G640</f>
        <v>89</v>
      </c>
      <c r="I640" s="5">
        <v>2020</v>
      </c>
      <c r="J640" s="1" t="s">
        <v>12</v>
      </c>
      <c r="K640" s="1" t="s">
        <v>27</v>
      </c>
      <c r="L640" s="1" t="s">
        <v>34</v>
      </c>
    </row>
    <row r="641" spans="1:12" x14ac:dyDescent="0.3">
      <c r="A641" s="10">
        <v>359</v>
      </c>
      <c r="B641" s="10" t="s">
        <v>105</v>
      </c>
      <c r="C641" s="10" t="s">
        <v>43</v>
      </c>
      <c r="D641" s="10">
        <v>2024</v>
      </c>
      <c r="E641" s="4">
        <v>1780</v>
      </c>
      <c r="F641" s="8" t="s">
        <v>162</v>
      </c>
      <c r="G641" s="2">
        <v>7.0000000000000007E-2</v>
      </c>
      <c r="H641" s="11">
        <f>E641*G641</f>
        <v>124.60000000000001</v>
      </c>
      <c r="I641" s="5">
        <v>2020</v>
      </c>
      <c r="J641" s="1" t="s">
        <v>12</v>
      </c>
      <c r="K641" s="1" t="s">
        <v>27</v>
      </c>
      <c r="L641" s="1" t="s">
        <v>34</v>
      </c>
    </row>
    <row r="642" spans="1:12" x14ac:dyDescent="0.3">
      <c r="A642" s="10">
        <v>360</v>
      </c>
      <c r="B642" s="10" t="s">
        <v>105</v>
      </c>
      <c r="C642" s="10" t="s">
        <v>44</v>
      </c>
      <c r="D642" s="10">
        <v>2024</v>
      </c>
      <c r="E642" s="4">
        <v>1780</v>
      </c>
      <c r="F642" s="8" t="s">
        <v>162</v>
      </c>
      <c r="G642" s="2">
        <v>7.0000000000000007E-2</v>
      </c>
      <c r="H642" s="11">
        <f>E642*G642</f>
        <v>124.60000000000001</v>
      </c>
      <c r="I642" s="5">
        <v>2022</v>
      </c>
      <c r="J642" s="1" t="s">
        <v>12</v>
      </c>
      <c r="K642" s="1" t="s">
        <v>9</v>
      </c>
      <c r="L642" s="1" t="s">
        <v>10</v>
      </c>
    </row>
    <row r="643" spans="1:12" x14ac:dyDescent="0.3">
      <c r="A643" s="10">
        <v>361</v>
      </c>
      <c r="B643" s="10" t="s">
        <v>108</v>
      </c>
      <c r="C643" s="10" t="s">
        <v>51</v>
      </c>
      <c r="D643" s="10">
        <v>2024</v>
      </c>
      <c r="E643" s="4">
        <v>1780</v>
      </c>
      <c r="F643" s="8" t="s">
        <v>162</v>
      </c>
      <c r="G643" s="2">
        <v>0.05</v>
      </c>
      <c r="H643" s="3">
        <v>89</v>
      </c>
      <c r="I643" s="1">
        <v>2018</v>
      </c>
      <c r="J643" s="1" t="s">
        <v>12</v>
      </c>
      <c r="K643" s="1" t="s">
        <v>9</v>
      </c>
      <c r="L643" s="1" t="s">
        <v>46</v>
      </c>
    </row>
    <row r="644" spans="1:12" x14ac:dyDescent="0.3">
      <c r="A644" s="10">
        <v>362</v>
      </c>
      <c r="B644" s="10" t="s">
        <v>108</v>
      </c>
      <c r="C644" s="10" t="s">
        <v>52</v>
      </c>
      <c r="D644" s="10">
        <v>2024</v>
      </c>
      <c r="E644" s="4">
        <v>1905</v>
      </c>
      <c r="F644" s="8" t="s">
        <v>162</v>
      </c>
      <c r="G644" s="2">
        <f>0.31+2.29-1.98</f>
        <v>0.62000000000000011</v>
      </c>
      <c r="H644" s="3">
        <f>G644*E644</f>
        <v>1181.1000000000001</v>
      </c>
      <c r="I644" s="1">
        <v>2018</v>
      </c>
      <c r="J644" s="1" t="s">
        <v>8</v>
      </c>
      <c r="K644" s="1" t="s">
        <v>27</v>
      </c>
      <c r="L644" s="1" t="s">
        <v>53</v>
      </c>
    </row>
    <row r="645" spans="1:12" x14ac:dyDescent="0.3">
      <c r="A645" s="10">
        <v>363</v>
      </c>
      <c r="B645" s="10" t="s">
        <v>108</v>
      </c>
      <c r="C645" s="10" t="s">
        <v>54</v>
      </c>
      <c r="D645" s="10">
        <v>2024</v>
      </c>
      <c r="E645" s="4">
        <v>1905</v>
      </c>
      <c r="F645" s="8" t="s">
        <v>162</v>
      </c>
      <c r="G645" s="2">
        <f>1.16+13.61-12.45</f>
        <v>2.3200000000000003</v>
      </c>
      <c r="H645" s="3">
        <f>E645*G645</f>
        <v>4419.6000000000004</v>
      </c>
      <c r="I645" s="1">
        <v>2017</v>
      </c>
      <c r="J645" s="1" t="s">
        <v>8</v>
      </c>
      <c r="K645" s="1" t="s">
        <v>27</v>
      </c>
      <c r="L645" s="1" t="s">
        <v>53</v>
      </c>
    </row>
    <row r="646" spans="1:12" x14ac:dyDescent="0.3">
      <c r="A646" s="10">
        <v>364</v>
      </c>
      <c r="B646" s="10" t="s">
        <v>108</v>
      </c>
      <c r="C646" s="10" t="s">
        <v>55</v>
      </c>
      <c r="D646" s="10">
        <v>2024</v>
      </c>
      <c r="E646" s="4">
        <v>1905</v>
      </c>
      <c r="F646" s="8" t="s">
        <v>162</v>
      </c>
      <c r="G646" s="2">
        <f>11.9-10.7</f>
        <v>1.2000000000000011</v>
      </c>
      <c r="H646" s="3">
        <f>G646*E646</f>
        <v>2286.0000000000018</v>
      </c>
      <c r="I646" s="1">
        <v>2017</v>
      </c>
      <c r="J646" s="1" t="s">
        <v>8</v>
      </c>
      <c r="K646" s="1" t="s">
        <v>27</v>
      </c>
      <c r="L646" s="1" t="s">
        <v>53</v>
      </c>
    </row>
    <row r="647" spans="1:12" x14ac:dyDescent="0.3">
      <c r="A647" s="10">
        <v>365</v>
      </c>
      <c r="B647" s="10" t="s">
        <v>108</v>
      </c>
      <c r="C647" s="10" t="s">
        <v>56</v>
      </c>
      <c r="D647" s="10">
        <v>2024</v>
      </c>
      <c r="E647" s="4">
        <v>1905</v>
      </c>
      <c r="F647" s="8" t="s">
        <v>162</v>
      </c>
      <c r="G647" s="2">
        <f>13.77-9.39</f>
        <v>4.379999999999999</v>
      </c>
      <c r="H647" s="3">
        <f>E647*G647</f>
        <v>8343.8999999999978</v>
      </c>
      <c r="I647" s="1">
        <v>2016</v>
      </c>
      <c r="J647" s="1" t="s">
        <v>8</v>
      </c>
      <c r="K647" s="1" t="s">
        <v>27</v>
      </c>
      <c r="L647" s="1" t="s">
        <v>53</v>
      </c>
    </row>
    <row r="648" spans="1:12" x14ac:dyDescent="0.3">
      <c r="A648" s="10">
        <v>366</v>
      </c>
      <c r="B648" s="10" t="s">
        <v>108</v>
      </c>
      <c r="C648" s="10" t="s">
        <v>57</v>
      </c>
      <c r="D648" s="10">
        <v>2024</v>
      </c>
      <c r="E648" s="4">
        <v>1905</v>
      </c>
      <c r="F648" s="8" t="s">
        <v>162</v>
      </c>
      <c r="G648" s="2">
        <f>14.09-11.41</f>
        <v>2.6799999999999997</v>
      </c>
      <c r="H648" s="3">
        <f>E648*G648</f>
        <v>5105.3999999999996</v>
      </c>
      <c r="I648" s="1">
        <v>2016</v>
      </c>
      <c r="J648" s="1" t="s">
        <v>8</v>
      </c>
      <c r="K648" s="1" t="s">
        <v>27</v>
      </c>
      <c r="L648" s="1" t="s">
        <v>53</v>
      </c>
    </row>
    <row r="649" spans="1:12" x14ac:dyDescent="0.3">
      <c r="A649" s="10">
        <v>367</v>
      </c>
      <c r="B649" s="10" t="s">
        <v>108</v>
      </c>
      <c r="C649" s="10" t="s">
        <v>58</v>
      </c>
      <c r="D649" s="10">
        <v>2024</v>
      </c>
      <c r="E649" s="4">
        <v>1905</v>
      </c>
      <c r="F649" s="8" t="s">
        <v>162</v>
      </c>
      <c r="G649" s="2">
        <f>7.21-6.19</f>
        <v>1.0199999999999996</v>
      </c>
      <c r="H649" s="3">
        <f>E649*G649</f>
        <v>1943.0999999999992</v>
      </c>
      <c r="I649" s="1">
        <v>2016</v>
      </c>
      <c r="J649" s="1" t="s">
        <v>8</v>
      </c>
      <c r="K649" s="1" t="s">
        <v>27</v>
      </c>
      <c r="L649" s="1" t="s">
        <v>53</v>
      </c>
    </row>
    <row r="650" spans="1:12" x14ac:dyDescent="0.3">
      <c r="A650" s="9">
        <v>368</v>
      </c>
      <c r="B650" s="10" t="s">
        <v>105</v>
      </c>
      <c r="C650" s="10" t="s">
        <v>6</v>
      </c>
      <c r="D650" s="10">
        <v>2024</v>
      </c>
      <c r="E650" s="14"/>
      <c r="F650" s="8" t="s">
        <v>162</v>
      </c>
      <c r="G650" s="2">
        <f>0</f>
        <v>0</v>
      </c>
      <c r="H650" s="3">
        <f>0</f>
        <v>0</v>
      </c>
      <c r="I650" s="1">
        <v>2023</v>
      </c>
      <c r="J650" s="1"/>
      <c r="K650" s="1"/>
      <c r="L650" s="1" t="s">
        <v>10</v>
      </c>
    </row>
    <row r="651" spans="1:12" x14ac:dyDescent="0.3">
      <c r="A651" s="9">
        <v>369</v>
      </c>
      <c r="B651" s="10" t="s">
        <v>105</v>
      </c>
      <c r="C651" s="10" t="s">
        <v>11</v>
      </c>
      <c r="D651" s="10">
        <v>2024</v>
      </c>
      <c r="E651" s="14"/>
      <c r="F651" s="8" t="s">
        <v>162</v>
      </c>
      <c r="G651" s="2">
        <f>0</f>
        <v>0</v>
      </c>
      <c r="H651" s="3">
        <f>0</f>
        <v>0</v>
      </c>
      <c r="I651" s="1">
        <v>2023</v>
      </c>
      <c r="J651" s="4" t="s">
        <v>12</v>
      </c>
      <c r="K651" s="4" t="s">
        <v>9</v>
      </c>
      <c r="L651" s="1" t="s">
        <v>10</v>
      </c>
    </row>
    <row r="652" spans="1:12" x14ac:dyDescent="0.3">
      <c r="A652" s="9">
        <v>370</v>
      </c>
      <c r="B652" s="10" t="s">
        <v>105</v>
      </c>
      <c r="C652" s="10" t="s">
        <v>13</v>
      </c>
      <c r="D652" s="10">
        <v>2024</v>
      </c>
      <c r="E652" s="14"/>
      <c r="F652" s="8" t="s">
        <v>162</v>
      </c>
      <c r="G652" s="2">
        <f>0</f>
        <v>0</v>
      </c>
      <c r="H652" s="3">
        <f>0</f>
        <v>0</v>
      </c>
      <c r="I652" s="1">
        <v>2023</v>
      </c>
      <c r="J652" s="1"/>
      <c r="K652" s="1"/>
      <c r="L652" s="1" t="s">
        <v>10</v>
      </c>
    </row>
    <row r="653" spans="1:12" x14ac:dyDescent="0.3">
      <c r="A653" s="10">
        <v>371</v>
      </c>
      <c r="B653" s="10" t="s">
        <v>163</v>
      </c>
      <c r="C653" s="10" t="s">
        <v>88</v>
      </c>
      <c r="D653" s="10">
        <v>2024</v>
      </c>
      <c r="E653" s="4">
        <v>1838</v>
      </c>
      <c r="F653" s="8" t="s">
        <v>162</v>
      </c>
      <c r="G653" s="2">
        <v>2.0299999999999998</v>
      </c>
      <c r="H653" s="3">
        <f>E653*G653</f>
        <v>3731.1399999999994</v>
      </c>
      <c r="I653" s="1">
        <v>2021</v>
      </c>
      <c r="J653" s="1" t="s">
        <v>8</v>
      </c>
      <c r="K653" s="1" t="s">
        <v>27</v>
      </c>
      <c r="L653" s="1" t="s">
        <v>34</v>
      </c>
    </row>
    <row r="654" spans="1:12" x14ac:dyDescent="0.3">
      <c r="A654" s="10">
        <v>372</v>
      </c>
      <c r="B654" s="10" t="s">
        <v>163</v>
      </c>
      <c r="C654" s="10" t="s">
        <v>89</v>
      </c>
      <c r="D654" s="10">
        <v>2024</v>
      </c>
      <c r="E654" s="4">
        <v>1838</v>
      </c>
      <c r="F654" s="8" t="s">
        <v>162</v>
      </c>
      <c r="G654" s="2">
        <v>1.85</v>
      </c>
      <c r="H654" s="3">
        <f>E654*G654</f>
        <v>3400.3</v>
      </c>
      <c r="I654" s="1">
        <v>2021</v>
      </c>
      <c r="J654" s="1" t="s">
        <v>8</v>
      </c>
      <c r="K654" s="1" t="s">
        <v>27</v>
      </c>
      <c r="L654" s="1" t="s">
        <v>34</v>
      </c>
    </row>
    <row r="655" spans="1:12" x14ac:dyDescent="0.3">
      <c r="A655" s="10">
        <v>373</v>
      </c>
      <c r="B655" s="10" t="s">
        <v>163</v>
      </c>
      <c r="C655" s="10" t="s">
        <v>90</v>
      </c>
      <c r="D655" s="10">
        <v>2024</v>
      </c>
      <c r="E655" s="7">
        <v>1905</v>
      </c>
      <c r="F655" s="8" t="s">
        <v>162</v>
      </c>
      <c r="G655" s="2">
        <v>0.04</v>
      </c>
      <c r="H655" s="3">
        <f>E655*G655</f>
        <v>76.2</v>
      </c>
      <c r="I655" s="1">
        <v>2022</v>
      </c>
      <c r="J655" s="1" t="s">
        <v>8</v>
      </c>
      <c r="K655" s="1" t="s">
        <v>27</v>
      </c>
      <c r="L655" s="1" t="s">
        <v>53</v>
      </c>
    </row>
    <row r="656" spans="1:12" x14ac:dyDescent="0.3">
      <c r="A656" s="10">
        <v>374</v>
      </c>
      <c r="B656" s="10" t="s">
        <v>163</v>
      </c>
      <c r="C656" s="10" t="s">
        <v>92</v>
      </c>
      <c r="D656" s="10">
        <v>2024</v>
      </c>
      <c r="E656" s="7">
        <v>1905</v>
      </c>
      <c r="F656" s="8" t="s">
        <v>162</v>
      </c>
      <c r="G656" s="2">
        <v>0.01</v>
      </c>
      <c r="H656" s="3">
        <f>E656*G656</f>
        <v>19.05</v>
      </c>
      <c r="I656" s="1">
        <v>2022</v>
      </c>
      <c r="J656" s="1" t="s">
        <v>8</v>
      </c>
      <c r="K656" s="1" t="s">
        <v>27</v>
      </c>
      <c r="L656" s="1" t="s">
        <v>53</v>
      </c>
    </row>
    <row r="657" spans="1:12" x14ac:dyDescent="0.3">
      <c r="A657" s="10">
        <v>375</v>
      </c>
      <c r="B657" s="10" t="s">
        <v>163</v>
      </c>
      <c r="C657" s="10" t="s">
        <v>80</v>
      </c>
      <c r="D657" s="10">
        <v>2024</v>
      </c>
      <c r="E657" s="7">
        <v>1905</v>
      </c>
      <c r="F657" s="8" t="s">
        <v>162</v>
      </c>
      <c r="G657" s="2">
        <v>0</v>
      </c>
      <c r="H657" s="3">
        <v>0</v>
      </c>
      <c r="I657" s="1">
        <v>2022</v>
      </c>
      <c r="J657" s="1" t="s">
        <v>8</v>
      </c>
      <c r="K657" s="1" t="s">
        <v>27</v>
      </c>
      <c r="L657" s="1" t="s">
        <v>53</v>
      </c>
    </row>
    <row r="658" spans="1:12" x14ac:dyDescent="0.3">
      <c r="A658" s="10">
        <v>376</v>
      </c>
      <c r="B658" s="10" t="s">
        <v>163</v>
      </c>
      <c r="C658" s="10" t="s">
        <v>93</v>
      </c>
      <c r="D658" s="10">
        <v>2024</v>
      </c>
      <c r="E658" s="7">
        <v>1905</v>
      </c>
      <c r="F658" s="8" t="s">
        <v>162</v>
      </c>
      <c r="G658" s="2">
        <v>0.01</v>
      </c>
      <c r="H658" s="3">
        <f>E658*G658</f>
        <v>19.05</v>
      </c>
      <c r="I658" s="1">
        <v>2022</v>
      </c>
      <c r="J658" s="1" t="s">
        <v>8</v>
      </c>
      <c r="K658" s="1" t="s">
        <v>27</v>
      </c>
      <c r="L658" s="1" t="s">
        <v>153</v>
      </c>
    </row>
    <row r="659" spans="1:12" x14ac:dyDescent="0.3">
      <c r="A659" s="10">
        <v>377</v>
      </c>
      <c r="B659" s="10" t="s">
        <v>163</v>
      </c>
      <c r="C659" s="10" t="s">
        <v>94</v>
      </c>
      <c r="D659" s="10">
        <v>2024</v>
      </c>
      <c r="E659" s="7">
        <v>1905</v>
      </c>
      <c r="F659" s="8" t="s">
        <v>162</v>
      </c>
      <c r="G659" s="2">
        <v>0.5</v>
      </c>
      <c r="H659" s="3">
        <f>E659*G659</f>
        <v>952.5</v>
      </c>
      <c r="I659" s="1">
        <v>2022</v>
      </c>
      <c r="J659" s="1" t="s">
        <v>8</v>
      </c>
      <c r="K659" s="1" t="s">
        <v>27</v>
      </c>
      <c r="L659" s="1" t="s">
        <v>153</v>
      </c>
    </row>
    <row r="660" spans="1:12" x14ac:dyDescent="0.3">
      <c r="A660" s="10">
        <v>378</v>
      </c>
      <c r="B660" s="10" t="s">
        <v>163</v>
      </c>
      <c r="C660" s="10" t="s">
        <v>95</v>
      </c>
      <c r="D660" s="10">
        <v>2024</v>
      </c>
      <c r="E660" s="7">
        <v>1905</v>
      </c>
      <c r="F660" s="8" t="s">
        <v>162</v>
      </c>
      <c r="G660" s="2">
        <v>0.2</v>
      </c>
      <c r="H660" s="3">
        <f>E660*G660</f>
        <v>381</v>
      </c>
      <c r="I660" s="1">
        <v>2022</v>
      </c>
      <c r="J660" s="1" t="s">
        <v>8</v>
      </c>
      <c r="K660" s="1" t="s">
        <v>27</v>
      </c>
      <c r="L660" s="1" t="s">
        <v>153</v>
      </c>
    </row>
    <row r="661" spans="1:12" x14ac:dyDescent="0.3">
      <c r="A661" s="10">
        <v>379</v>
      </c>
      <c r="B661" s="10" t="s">
        <v>163</v>
      </c>
      <c r="C661" s="10" t="s">
        <v>96</v>
      </c>
      <c r="D661" s="10">
        <v>2024</v>
      </c>
      <c r="E661" s="7">
        <v>1905</v>
      </c>
      <c r="F661" s="8" t="s">
        <v>162</v>
      </c>
      <c r="G661" s="2">
        <v>0</v>
      </c>
      <c r="H661" s="3">
        <v>0</v>
      </c>
      <c r="I661" s="1">
        <v>2022</v>
      </c>
      <c r="J661" s="1" t="s">
        <v>12</v>
      </c>
      <c r="K661" s="1" t="s">
        <v>27</v>
      </c>
      <c r="L661" s="1" t="s">
        <v>136</v>
      </c>
    </row>
    <row r="662" spans="1:12" x14ac:dyDescent="0.3">
      <c r="A662" s="10">
        <v>380</v>
      </c>
      <c r="B662" s="10" t="s">
        <v>163</v>
      </c>
      <c r="C662" s="10" t="s">
        <v>97</v>
      </c>
      <c r="D662" s="10">
        <v>2024</v>
      </c>
      <c r="E662" s="7">
        <v>1905</v>
      </c>
      <c r="F662" s="8" t="s">
        <v>162</v>
      </c>
      <c r="G662" s="2">
        <v>0</v>
      </c>
      <c r="H662" s="3">
        <v>0</v>
      </c>
      <c r="I662" s="1">
        <v>2022</v>
      </c>
      <c r="J662" s="1" t="s">
        <v>12</v>
      </c>
      <c r="K662" s="1" t="s">
        <v>27</v>
      </c>
      <c r="L662" s="1" t="s">
        <v>136</v>
      </c>
    </row>
    <row r="663" spans="1:12" x14ac:dyDescent="0.3">
      <c r="A663" s="10">
        <v>381</v>
      </c>
      <c r="B663" s="10" t="s">
        <v>163</v>
      </c>
      <c r="C663" s="10" t="s">
        <v>98</v>
      </c>
      <c r="D663" s="10">
        <v>2024</v>
      </c>
      <c r="E663" s="7">
        <v>1905</v>
      </c>
      <c r="F663" s="8" t="s">
        <v>162</v>
      </c>
      <c r="G663" s="2">
        <v>0</v>
      </c>
      <c r="H663" s="3">
        <v>0</v>
      </c>
      <c r="I663" s="1">
        <v>2022</v>
      </c>
      <c r="J663" s="1" t="s">
        <v>12</v>
      </c>
      <c r="K663" s="1" t="s">
        <v>27</v>
      </c>
      <c r="L663" s="1" t="s">
        <v>136</v>
      </c>
    </row>
    <row r="664" spans="1:12" x14ac:dyDescent="0.3">
      <c r="A664" s="10">
        <v>382</v>
      </c>
      <c r="B664" s="10" t="s">
        <v>163</v>
      </c>
      <c r="C664" s="10" t="s">
        <v>99</v>
      </c>
      <c r="D664" s="10">
        <v>2024</v>
      </c>
      <c r="E664" s="8">
        <v>1754</v>
      </c>
      <c r="F664" s="8" t="s">
        <v>162</v>
      </c>
      <c r="G664" s="2">
        <v>0</v>
      </c>
      <c r="H664" s="3">
        <v>0</v>
      </c>
      <c r="I664" s="1">
        <v>2022</v>
      </c>
      <c r="J664" s="1" t="s">
        <v>8</v>
      </c>
      <c r="K664" s="1" t="s">
        <v>27</v>
      </c>
      <c r="L664" s="1" t="s">
        <v>134</v>
      </c>
    </row>
    <row r="665" spans="1:12" x14ac:dyDescent="0.3">
      <c r="A665" s="10">
        <v>383</v>
      </c>
      <c r="B665" s="10" t="s">
        <v>163</v>
      </c>
      <c r="C665" s="10" t="s">
        <v>100</v>
      </c>
      <c r="D665" s="10">
        <v>2024</v>
      </c>
      <c r="E665" s="8">
        <v>1754</v>
      </c>
      <c r="F665" s="8" t="s">
        <v>162</v>
      </c>
      <c r="G665" s="2">
        <f>8.3-6.7+1.63</f>
        <v>3.2300000000000004</v>
      </c>
      <c r="H665" s="3">
        <f>E665*G665</f>
        <v>5665.420000000001</v>
      </c>
      <c r="I665" s="1">
        <v>2022</v>
      </c>
      <c r="J665" s="1" t="s">
        <v>8</v>
      </c>
      <c r="K665" s="1" t="s">
        <v>27</v>
      </c>
      <c r="L665" s="1" t="s">
        <v>134</v>
      </c>
    </row>
    <row r="666" spans="1:12" x14ac:dyDescent="0.3">
      <c r="A666" s="12">
        <v>384</v>
      </c>
      <c r="B666" s="12" t="s">
        <v>117</v>
      </c>
      <c r="C666" s="12" t="s">
        <v>45</v>
      </c>
      <c r="D666" s="10">
        <v>2024</v>
      </c>
      <c r="E666" s="12"/>
      <c r="F666" s="8" t="s">
        <v>162</v>
      </c>
      <c r="G666" s="2">
        <v>5.93</v>
      </c>
      <c r="H666" s="3">
        <v>15392</v>
      </c>
      <c r="I666" s="1">
        <v>2023</v>
      </c>
      <c r="J666" s="1"/>
      <c r="K666" s="1"/>
      <c r="L666" s="1" t="s">
        <v>154</v>
      </c>
    </row>
    <row r="667" spans="1:12" x14ac:dyDescent="0.3">
      <c r="A667" s="12">
        <v>385</v>
      </c>
      <c r="B667" s="12" t="s">
        <v>117</v>
      </c>
      <c r="C667" s="12" t="s">
        <v>47</v>
      </c>
      <c r="D667" s="10">
        <v>2024</v>
      </c>
      <c r="E667" s="12"/>
      <c r="F667" s="8" t="s">
        <v>162</v>
      </c>
      <c r="G667" s="2">
        <v>11.29</v>
      </c>
      <c r="H667" s="3">
        <v>16707</v>
      </c>
      <c r="I667" s="1">
        <v>2023</v>
      </c>
      <c r="J667" s="1"/>
      <c r="K667" s="1"/>
      <c r="L667" s="1" t="s">
        <v>154</v>
      </c>
    </row>
    <row r="668" spans="1:12" x14ac:dyDescent="0.3">
      <c r="A668" s="10">
        <v>386</v>
      </c>
      <c r="B668" s="10" t="s">
        <v>112</v>
      </c>
      <c r="C668" s="10" t="s">
        <v>83</v>
      </c>
      <c r="D668" s="10">
        <v>2024</v>
      </c>
      <c r="E668" s="9">
        <v>1905</v>
      </c>
      <c r="F668" s="8" t="s">
        <v>162</v>
      </c>
      <c r="G668" s="2">
        <f>11.6-10.68</f>
        <v>0.91999999999999993</v>
      </c>
      <c r="H668" s="3">
        <f>E668*G668</f>
        <v>1752.6</v>
      </c>
      <c r="I668" s="1">
        <v>2023</v>
      </c>
      <c r="J668" s="1"/>
      <c r="K668" s="1"/>
      <c r="L668" s="1" t="s">
        <v>134</v>
      </c>
    </row>
    <row r="669" spans="1:12" x14ac:dyDescent="0.3">
      <c r="A669" s="10"/>
      <c r="B669" s="10" t="s">
        <v>116</v>
      </c>
      <c r="C669" s="10" t="s">
        <v>78</v>
      </c>
      <c r="D669" s="10">
        <v>2024</v>
      </c>
      <c r="E669" s="9"/>
      <c r="F669" s="8" t="s">
        <v>150</v>
      </c>
      <c r="G669" s="2">
        <v>0.13000000000000012</v>
      </c>
      <c r="H669" s="3"/>
      <c r="I669" s="1"/>
      <c r="J669" s="1"/>
      <c r="K669" s="1"/>
      <c r="L669" s="1" t="s">
        <v>137</v>
      </c>
    </row>
    <row r="670" spans="1:12" x14ac:dyDescent="0.3">
      <c r="A670" s="10"/>
      <c r="B670" s="10" t="s">
        <v>155</v>
      </c>
      <c r="C670" s="10" t="s">
        <v>78</v>
      </c>
      <c r="D670" s="10">
        <v>2024</v>
      </c>
      <c r="E670" s="9"/>
      <c r="F670" s="8" t="s">
        <v>150</v>
      </c>
      <c r="G670" s="2">
        <v>7.0000000000000062E-2</v>
      </c>
      <c r="H670" s="3"/>
      <c r="I670" s="1"/>
      <c r="J670" s="1"/>
      <c r="K670" s="1"/>
      <c r="L670" s="1" t="s">
        <v>137</v>
      </c>
    </row>
    <row r="671" spans="1:12" x14ac:dyDescent="0.3">
      <c r="A671" s="10"/>
      <c r="B671" s="10" t="s">
        <v>117</v>
      </c>
      <c r="C671" s="10" t="s">
        <v>78</v>
      </c>
      <c r="D671" s="10">
        <v>2024</v>
      </c>
      <c r="E671" s="9"/>
      <c r="F671" s="8" t="s">
        <v>150</v>
      </c>
      <c r="G671" s="2">
        <v>7.9999999999999988E-2</v>
      </c>
      <c r="H671" s="3"/>
      <c r="I671" s="1"/>
      <c r="J671" s="1"/>
      <c r="K671" s="1"/>
      <c r="L671" s="1" t="s">
        <v>137</v>
      </c>
    </row>
    <row r="672" spans="1:12" x14ac:dyDescent="0.3">
      <c r="A672" s="10"/>
      <c r="B672" s="10" t="s">
        <v>156</v>
      </c>
      <c r="C672" s="10" t="s">
        <v>78</v>
      </c>
      <c r="D672" s="10">
        <v>2024</v>
      </c>
      <c r="E672" s="9"/>
      <c r="F672" s="8" t="s">
        <v>150</v>
      </c>
      <c r="G672" s="2">
        <v>1.0000000000000009E-2</v>
      </c>
      <c r="H672" s="3"/>
      <c r="I672" s="1"/>
      <c r="J672" s="1"/>
      <c r="K672" s="1"/>
      <c r="L672" s="1" t="s">
        <v>137</v>
      </c>
    </row>
    <row r="673" spans="1:12" x14ac:dyDescent="0.3">
      <c r="A673" s="10"/>
      <c r="B673" s="10" t="s">
        <v>157</v>
      </c>
      <c r="C673" s="10" t="s">
        <v>78</v>
      </c>
      <c r="D673" s="10">
        <v>2024</v>
      </c>
      <c r="E673" s="9"/>
      <c r="F673" s="8" t="s">
        <v>150</v>
      </c>
      <c r="G673" s="2">
        <v>0</v>
      </c>
      <c r="H673" s="3"/>
      <c r="I673" s="1"/>
      <c r="J673" s="1"/>
      <c r="K673" s="1"/>
      <c r="L673" s="1" t="s">
        <v>137</v>
      </c>
    </row>
    <row r="674" spans="1:12" x14ac:dyDescent="0.3">
      <c r="A674" s="10"/>
      <c r="B674" s="10" t="s">
        <v>158</v>
      </c>
      <c r="C674" s="10" t="s">
        <v>78</v>
      </c>
      <c r="D674" s="10">
        <v>2024</v>
      </c>
      <c r="E674" s="9"/>
      <c r="F674" s="8" t="s">
        <v>150</v>
      </c>
      <c r="G674" s="2">
        <v>3.0000000000000027E-2</v>
      </c>
      <c r="H674" s="3"/>
      <c r="I674" s="1"/>
      <c r="J674" s="1"/>
      <c r="K674" s="1"/>
      <c r="L674" s="1" t="s">
        <v>137</v>
      </c>
    </row>
    <row r="675" spans="1:12" x14ac:dyDescent="0.3">
      <c r="A675" s="10"/>
      <c r="B675" s="10" t="s">
        <v>159</v>
      </c>
      <c r="C675" s="10" t="s">
        <v>78</v>
      </c>
      <c r="D675" s="10">
        <v>2024</v>
      </c>
      <c r="E675" s="9"/>
      <c r="F675" s="8" t="s">
        <v>150</v>
      </c>
      <c r="G675" s="2">
        <v>7.0000000000000007E-2</v>
      </c>
      <c r="H675" s="3"/>
      <c r="I675" s="1"/>
      <c r="J675" s="1"/>
      <c r="K675" s="1"/>
      <c r="L675" s="1" t="s">
        <v>137</v>
      </c>
    </row>
    <row r="676" spans="1:12" x14ac:dyDescent="0.3">
      <c r="A676" s="10"/>
      <c r="B676" s="10" t="s">
        <v>160</v>
      </c>
      <c r="C676" s="10" t="s">
        <v>78</v>
      </c>
      <c r="D676" s="10">
        <v>2024</v>
      </c>
      <c r="E676" s="9"/>
      <c r="F676" s="8" t="s">
        <v>150</v>
      </c>
      <c r="G676" s="2">
        <v>7.0000000000000007E-2</v>
      </c>
      <c r="H676" s="3"/>
      <c r="I676" s="1"/>
      <c r="J676" s="1"/>
      <c r="K676" s="1"/>
      <c r="L676" s="1" t="s">
        <v>137</v>
      </c>
    </row>
    <row r="677" spans="1:12" x14ac:dyDescent="0.3">
      <c r="A677" s="10">
        <v>387</v>
      </c>
      <c r="B677" s="10" t="s">
        <v>161</v>
      </c>
      <c r="C677" s="10" t="s">
        <v>78</v>
      </c>
      <c r="D677" s="10">
        <v>2024</v>
      </c>
      <c r="E677" s="4">
        <v>1905</v>
      </c>
      <c r="F677" s="8" t="s">
        <v>150</v>
      </c>
      <c r="G677" s="2">
        <v>7.0000000000000007E-2</v>
      </c>
      <c r="H677" s="3">
        <v>0</v>
      </c>
      <c r="I677" s="5">
        <v>2022</v>
      </c>
      <c r="J677" s="1" t="s">
        <v>12</v>
      </c>
      <c r="K677" s="1" t="s">
        <v>27</v>
      </c>
      <c r="L677" s="1" t="s">
        <v>137</v>
      </c>
    </row>
    <row r="678" spans="1:12" x14ac:dyDescent="0.3">
      <c r="A678" s="12">
        <v>388</v>
      </c>
      <c r="B678" s="12" t="s">
        <v>117</v>
      </c>
      <c r="C678" s="12" t="s">
        <v>101</v>
      </c>
      <c r="D678" s="10">
        <v>2024</v>
      </c>
      <c r="E678" s="12"/>
      <c r="F678" s="8" t="s">
        <v>162</v>
      </c>
      <c r="G678" s="2">
        <v>10</v>
      </c>
      <c r="H678" s="3">
        <v>19050</v>
      </c>
      <c r="I678" s="1">
        <v>2023</v>
      </c>
      <c r="J678" s="1"/>
      <c r="K678" s="1"/>
      <c r="L678" s="1" t="s">
        <v>154</v>
      </c>
    </row>
    <row r="679" spans="1:12" x14ac:dyDescent="0.3">
      <c r="A679" s="12">
        <v>389</v>
      </c>
      <c r="B679" s="12" t="s">
        <v>117</v>
      </c>
      <c r="C679" s="12" t="s">
        <v>103</v>
      </c>
      <c r="D679" s="10">
        <v>2024</v>
      </c>
      <c r="E679" s="12"/>
      <c r="F679" s="8" t="s">
        <v>162</v>
      </c>
      <c r="G679" s="2">
        <v>10</v>
      </c>
      <c r="H679" s="3">
        <v>19050</v>
      </c>
      <c r="I679" s="1">
        <v>2023</v>
      </c>
      <c r="J679" s="1"/>
      <c r="K679" s="1"/>
      <c r="L679" s="1" t="s">
        <v>154</v>
      </c>
    </row>
    <row r="680" spans="1:12" x14ac:dyDescent="0.3">
      <c r="A680" s="10">
        <v>390</v>
      </c>
      <c r="B680" s="10" t="s">
        <v>109</v>
      </c>
      <c r="C680" s="10" t="s">
        <v>59</v>
      </c>
      <c r="D680" s="10">
        <v>2024</v>
      </c>
      <c r="E680" s="4">
        <v>1905</v>
      </c>
      <c r="F680" s="8" t="s">
        <v>162</v>
      </c>
      <c r="G680" s="2">
        <v>0</v>
      </c>
      <c r="H680" s="11">
        <v>0</v>
      </c>
      <c r="I680" s="1">
        <v>2018</v>
      </c>
      <c r="J680" s="1" t="s">
        <v>8</v>
      </c>
      <c r="K680" s="1"/>
      <c r="L680" s="1" t="s">
        <v>10</v>
      </c>
    </row>
    <row r="681" spans="1:12" x14ac:dyDescent="0.3">
      <c r="A681" s="10">
        <v>391</v>
      </c>
      <c r="B681" s="10" t="s">
        <v>109</v>
      </c>
      <c r="C681" s="10" t="s">
        <v>60</v>
      </c>
      <c r="D681" s="10">
        <v>2024</v>
      </c>
      <c r="E681" s="4">
        <v>1905</v>
      </c>
      <c r="F681" s="8" t="s">
        <v>162</v>
      </c>
      <c r="G681" s="2">
        <v>0</v>
      </c>
      <c r="H681" s="11">
        <f>E681*G681</f>
        <v>0</v>
      </c>
      <c r="I681" s="1" t="s">
        <v>61</v>
      </c>
      <c r="J681" s="1" t="s">
        <v>8</v>
      </c>
      <c r="K681" s="1" t="s">
        <v>9</v>
      </c>
      <c r="L681" s="1" t="s">
        <v>10</v>
      </c>
    </row>
    <row r="682" spans="1:12" x14ac:dyDescent="0.3">
      <c r="A682" s="10">
        <v>392</v>
      </c>
      <c r="B682" s="10" t="s">
        <v>109</v>
      </c>
      <c r="C682" s="10" t="s">
        <v>130</v>
      </c>
      <c r="D682" s="10">
        <v>2024</v>
      </c>
      <c r="E682" s="4">
        <v>1780</v>
      </c>
      <c r="F682" s="8" t="s">
        <v>162</v>
      </c>
      <c r="G682" s="2">
        <v>0.09</v>
      </c>
      <c r="H682" s="11">
        <f>E682*G682</f>
        <v>160.19999999999999</v>
      </c>
      <c r="I682" s="1">
        <v>2020</v>
      </c>
      <c r="J682" s="1" t="s">
        <v>12</v>
      </c>
      <c r="K682" s="1" t="s">
        <v>27</v>
      </c>
      <c r="L682" s="1" t="s">
        <v>53</v>
      </c>
    </row>
    <row r="683" spans="1:12" x14ac:dyDescent="0.3">
      <c r="A683" s="10">
        <v>393</v>
      </c>
      <c r="B683" s="10" t="s">
        <v>109</v>
      </c>
      <c r="C683" s="10" t="s">
        <v>63</v>
      </c>
      <c r="D683" s="10">
        <v>2024</v>
      </c>
      <c r="E683" s="4">
        <v>1780</v>
      </c>
      <c r="F683" s="8" t="s">
        <v>162</v>
      </c>
      <c r="G683" s="2">
        <v>0.33</v>
      </c>
      <c r="H683" s="11">
        <f>E683*G683</f>
        <v>587.4</v>
      </c>
      <c r="I683" s="1">
        <v>2020</v>
      </c>
      <c r="J683" s="1" t="s">
        <v>12</v>
      </c>
      <c r="K683" s="1" t="s">
        <v>27</v>
      </c>
      <c r="L683" s="1" t="s">
        <v>53</v>
      </c>
    </row>
    <row r="684" spans="1:12" x14ac:dyDescent="0.3">
      <c r="A684" s="10">
        <v>394</v>
      </c>
      <c r="B684" s="10" t="s">
        <v>109</v>
      </c>
      <c r="C684" s="10" t="s">
        <v>64</v>
      </c>
      <c r="D684" s="10">
        <v>2024</v>
      </c>
      <c r="E684" s="4">
        <v>1780</v>
      </c>
      <c r="F684" s="8" t="s">
        <v>162</v>
      </c>
      <c r="G684" s="2">
        <v>7.0000000000000007E-2</v>
      </c>
      <c r="H684" s="11">
        <f>G684*E684</f>
        <v>124.60000000000001</v>
      </c>
      <c r="I684" s="1">
        <v>2020</v>
      </c>
      <c r="J684" s="1" t="s">
        <v>12</v>
      </c>
      <c r="K684" s="1" t="s">
        <v>27</v>
      </c>
      <c r="L684" s="1" t="s">
        <v>53</v>
      </c>
    </row>
    <row r="685" spans="1:12" x14ac:dyDescent="0.3">
      <c r="A685" s="10">
        <v>395</v>
      </c>
      <c r="B685" s="10" t="s">
        <v>109</v>
      </c>
      <c r="C685" s="10" t="s">
        <v>65</v>
      </c>
      <c r="D685" s="10">
        <v>2024</v>
      </c>
      <c r="E685" s="7">
        <v>1838</v>
      </c>
      <c r="F685" s="8" t="s">
        <v>162</v>
      </c>
      <c r="G685" s="2">
        <f>13.07-12.4</f>
        <v>0.66999999999999993</v>
      </c>
      <c r="H685" s="11">
        <f>E685*G685</f>
        <v>1231.4599999999998</v>
      </c>
      <c r="I685" s="1">
        <v>2021</v>
      </c>
      <c r="J685" s="1" t="s">
        <v>12</v>
      </c>
      <c r="K685" s="1" t="s">
        <v>27</v>
      </c>
      <c r="L685" s="1" t="s">
        <v>34</v>
      </c>
    </row>
    <row r="686" spans="1:12" x14ac:dyDescent="0.3">
      <c r="A686" s="10">
        <v>396</v>
      </c>
      <c r="B686" s="10" t="s">
        <v>109</v>
      </c>
      <c r="C686" s="10" t="s">
        <v>66</v>
      </c>
      <c r="D686" s="10">
        <v>2024</v>
      </c>
      <c r="E686" s="7">
        <v>1838</v>
      </c>
      <c r="F686" s="8" t="s">
        <v>162</v>
      </c>
      <c r="G686" s="2">
        <f>12.65-11.9</f>
        <v>0.75</v>
      </c>
      <c r="H686" s="11">
        <f>E686*G686</f>
        <v>1378.5</v>
      </c>
      <c r="I686" s="1">
        <v>2021</v>
      </c>
      <c r="J686" s="1" t="s">
        <v>12</v>
      </c>
      <c r="K686" s="1" t="s">
        <v>27</v>
      </c>
      <c r="L686" s="1" t="s">
        <v>34</v>
      </c>
    </row>
    <row r="687" spans="1:12" x14ac:dyDescent="0.3">
      <c r="A687" s="13">
        <v>397</v>
      </c>
      <c r="B687" s="13" t="s">
        <v>109</v>
      </c>
      <c r="C687" s="13" t="s">
        <v>104</v>
      </c>
      <c r="D687" s="10">
        <v>2024</v>
      </c>
      <c r="E687" s="13"/>
      <c r="F687" s="8" t="s">
        <v>162</v>
      </c>
      <c r="G687" s="2">
        <v>10</v>
      </c>
      <c r="H687" s="3">
        <v>19050</v>
      </c>
      <c r="I687" s="1">
        <v>2023</v>
      </c>
      <c r="J687" s="1"/>
      <c r="K687" s="1"/>
      <c r="L687" s="1" t="s">
        <v>154</v>
      </c>
    </row>
    <row r="688" spans="1:12" x14ac:dyDescent="0.3">
      <c r="A688" s="13">
        <v>398</v>
      </c>
      <c r="B688" s="13" t="s">
        <v>109</v>
      </c>
      <c r="C688" s="13" t="s">
        <v>102</v>
      </c>
      <c r="D688" s="10">
        <v>2024</v>
      </c>
      <c r="E688" s="13"/>
      <c r="F688" s="8" t="s">
        <v>162</v>
      </c>
      <c r="G688" s="2">
        <v>10</v>
      </c>
      <c r="H688" s="3">
        <v>19050</v>
      </c>
      <c r="I688" s="1">
        <v>2023</v>
      </c>
      <c r="J688" s="1"/>
      <c r="K688" s="1"/>
      <c r="L688" s="1" t="s">
        <v>154</v>
      </c>
    </row>
    <row r="689" spans="1:12" x14ac:dyDescent="0.3">
      <c r="A689" s="12">
        <v>399</v>
      </c>
      <c r="B689" s="12" t="s">
        <v>167</v>
      </c>
      <c r="C689" s="12" t="s">
        <v>48</v>
      </c>
      <c r="D689" s="10">
        <v>2024</v>
      </c>
      <c r="E689" s="12"/>
      <c r="F689" s="8" t="s">
        <v>162</v>
      </c>
      <c r="G689" s="2">
        <v>17.79</v>
      </c>
      <c r="H689" s="3">
        <v>30251</v>
      </c>
      <c r="I689" s="1">
        <v>2023</v>
      </c>
      <c r="J689" s="1"/>
      <c r="K689" s="1"/>
      <c r="L689" s="1" t="s">
        <v>154</v>
      </c>
    </row>
    <row r="690" spans="1:12" x14ac:dyDescent="0.3">
      <c r="A690" s="12">
        <v>400</v>
      </c>
      <c r="B690" s="12" t="s">
        <v>167</v>
      </c>
      <c r="C690" s="12" t="s">
        <v>50</v>
      </c>
      <c r="D690" s="10">
        <v>2024</v>
      </c>
      <c r="E690" s="12"/>
      <c r="F690" s="8" t="s">
        <v>162</v>
      </c>
      <c r="G690" s="2">
        <v>19.899999999999999</v>
      </c>
      <c r="H690" s="3">
        <v>34919</v>
      </c>
      <c r="I690" s="1">
        <v>2023</v>
      </c>
      <c r="J690" s="1"/>
      <c r="K690" s="1"/>
      <c r="L690" s="1" t="s">
        <v>154</v>
      </c>
    </row>
    <row r="691" spans="1:12" x14ac:dyDescent="0.3">
      <c r="A691" s="10">
        <v>401</v>
      </c>
      <c r="B691" s="10" t="s">
        <v>167</v>
      </c>
      <c r="C691" s="10" t="s">
        <v>67</v>
      </c>
      <c r="D691" s="10">
        <v>2024</v>
      </c>
      <c r="E691" s="4">
        <v>1684</v>
      </c>
      <c r="F691" s="8" t="s">
        <v>162</v>
      </c>
      <c r="G691" s="2">
        <v>0</v>
      </c>
      <c r="H691" s="11">
        <v>0</v>
      </c>
      <c r="I691" s="5">
        <v>2018</v>
      </c>
      <c r="J691" s="1" t="s">
        <v>12</v>
      </c>
      <c r="K691" s="1"/>
      <c r="L691" s="1" t="s">
        <v>49</v>
      </c>
    </row>
    <row r="692" spans="1:12" x14ac:dyDescent="0.3">
      <c r="A692" s="10">
        <v>402</v>
      </c>
      <c r="B692" s="10" t="s">
        <v>167</v>
      </c>
      <c r="C692" s="10" t="s">
        <v>68</v>
      </c>
      <c r="D692" s="10">
        <v>2024</v>
      </c>
      <c r="E692" s="4">
        <v>1684</v>
      </c>
      <c r="F692" s="8" t="s">
        <v>162</v>
      </c>
      <c r="G692" s="2">
        <v>0</v>
      </c>
      <c r="H692" s="11">
        <v>0</v>
      </c>
      <c r="I692" s="5">
        <v>2018</v>
      </c>
      <c r="J692" s="1" t="s">
        <v>12</v>
      </c>
      <c r="K692" s="1"/>
      <c r="L692" s="1" t="s">
        <v>49</v>
      </c>
    </row>
    <row r="693" spans="1:12" x14ac:dyDescent="0.3">
      <c r="A693" s="10">
        <v>403</v>
      </c>
      <c r="B693" s="10" t="s">
        <v>167</v>
      </c>
      <c r="C693" s="10" t="s">
        <v>69</v>
      </c>
      <c r="D693" s="10">
        <v>2024</v>
      </c>
      <c r="E693" s="4">
        <v>1684</v>
      </c>
      <c r="F693" s="8" t="s">
        <v>162</v>
      </c>
      <c r="G693" s="2">
        <v>0</v>
      </c>
      <c r="H693" s="11">
        <v>0</v>
      </c>
      <c r="I693" s="5">
        <v>2018</v>
      </c>
      <c r="J693" s="1" t="s">
        <v>12</v>
      </c>
      <c r="K693" s="1"/>
      <c r="L693" s="1" t="s">
        <v>49</v>
      </c>
    </row>
    <row r="694" spans="1:12" x14ac:dyDescent="0.3">
      <c r="A694" s="10">
        <v>404</v>
      </c>
      <c r="B694" s="10" t="s">
        <v>167</v>
      </c>
      <c r="C694" s="10" t="s">
        <v>70</v>
      </c>
      <c r="D694" s="10">
        <v>2024</v>
      </c>
      <c r="E694" s="4">
        <v>1262</v>
      </c>
      <c r="F694" s="8" t="s">
        <v>162</v>
      </c>
      <c r="G694" s="2">
        <v>0</v>
      </c>
      <c r="H694" s="11">
        <v>0</v>
      </c>
      <c r="I694" s="5">
        <v>2018</v>
      </c>
      <c r="J694" s="1" t="s">
        <v>12</v>
      </c>
      <c r="K694" s="1"/>
      <c r="L694" s="1" t="s">
        <v>49</v>
      </c>
    </row>
    <row r="695" spans="1:12" x14ac:dyDescent="0.3">
      <c r="A695" s="10">
        <v>405</v>
      </c>
      <c r="B695" s="10" t="s">
        <v>167</v>
      </c>
      <c r="C695" s="10" t="s">
        <v>71</v>
      </c>
      <c r="D695" s="10">
        <v>2024</v>
      </c>
      <c r="E695" s="4">
        <v>1780.2</v>
      </c>
      <c r="F695" s="8" t="s">
        <v>162</v>
      </c>
      <c r="G695" s="2">
        <v>0</v>
      </c>
      <c r="H695" s="11">
        <v>0</v>
      </c>
      <c r="I695" s="5">
        <v>2020</v>
      </c>
      <c r="J695" s="1" t="s">
        <v>12</v>
      </c>
      <c r="K695" s="1"/>
      <c r="L695" s="1" t="s">
        <v>46</v>
      </c>
    </row>
    <row r="696" spans="1:12" x14ac:dyDescent="0.3">
      <c r="A696" s="10">
        <v>406</v>
      </c>
      <c r="B696" s="10" t="s">
        <v>167</v>
      </c>
      <c r="C696" s="10" t="s">
        <v>72</v>
      </c>
      <c r="D696" s="10">
        <v>2024</v>
      </c>
      <c r="E696" s="4">
        <v>1780.2</v>
      </c>
      <c r="F696" s="8" t="s">
        <v>162</v>
      </c>
      <c r="G696" s="2">
        <v>0</v>
      </c>
      <c r="H696" s="11">
        <v>0</v>
      </c>
      <c r="I696" s="5">
        <v>2020</v>
      </c>
      <c r="J696" s="1" t="s">
        <v>12</v>
      </c>
      <c r="K696" s="1"/>
      <c r="L696" s="1" t="s">
        <v>46</v>
      </c>
    </row>
    <row r="697" spans="1:12" x14ac:dyDescent="0.3">
      <c r="A697" s="10">
        <v>407</v>
      </c>
      <c r="B697" s="10" t="s">
        <v>167</v>
      </c>
      <c r="C697" s="10" t="s">
        <v>73</v>
      </c>
      <c r="D697" s="10">
        <v>2024</v>
      </c>
      <c r="E697" s="4">
        <v>1779.3333333333333</v>
      </c>
      <c r="F697" s="8" t="s">
        <v>162</v>
      </c>
      <c r="G697" s="2">
        <v>0.52</v>
      </c>
      <c r="H697" s="11">
        <v>925.25333333333333</v>
      </c>
      <c r="I697" s="5">
        <v>2020</v>
      </c>
      <c r="J697" s="1" t="s">
        <v>12</v>
      </c>
      <c r="K697" s="1"/>
      <c r="L697" s="1" t="s">
        <v>46</v>
      </c>
    </row>
    <row r="698" spans="1:12" x14ac:dyDescent="0.3">
      <c r="A698" s="10">
        <v>408</v>
      </c>
      <c r="B698" s="10" t="s">
        <v>167</v>
      </c>
      <c r="C698" s="10" t="s">
        <v>74</v>
      </c>
      <c r="D698" s="10">
        <v>2024</v>
      </c>
      <c r="E698" s="8">
        <v>1894</v>
      </c>
      <c r="F698" s="8" t="s">
        <v>162</v>
      </c>
      <c r="G698" s="2">
        <v>0</v>
      </c>
      <c r="H698" s="11">
        <v>0</v>
      </c>
      <c r="I698" s="5">
        <v>2021</v>
      </c>
      <c r="J698" s="1" t="s">
        <v>12</v>
      </c>
      <c r="K698" s="1"/>
      <c r="L698" s="1" t="s">
        <v>49</v>
      </c>
    </row>
    <row r="699" spans="1:12" x14ac:dyDescent="0.3">
      <c r="A699" s="10">
        <v>409</v>
      </c>
      <c r="B699" s="10" t="s">
        <v>167</v>
      </c>
      <c r="C699" s="10" t="s">
        <v>75</v>
      </c>
      <c r="D699" s="10">
        <v>2024</v>
      </c>
      <c r="E699" s="8">
        <v>1894</v>
      </c>
      <c r="F699" s="8" t="s">
        <v>162</v>
      </c>
      <c r="G699" s="2">
        <v>0</v>
      </c>
      <c r="H699" s="11">
        <v>0</v>
      </c>
      <c r="I699" s="5">
        <v>2021</v>
      </c>
      <c r="J699" s="1" t="s">
        <v>12</v>
      </c>
      <c r="K699" s="1"/>
      <c r="L699" s="1" t="s">
        <v>49</v>
      </c>
    </row>
    <row r="700" spans="1:12" x14ac:dyDescent="0.3">
      <c r="A700" s="10">
        <v>410</v>
      </c>
      <c r="B700" s="10" t="s">
        <v>167</v>
      </c>
      <c r="C700" s="10" t="s">
        <v>76</v>
      </c>
      <c r="D700" s="10">
        <v>2024</v>
      </c>
      <c r="E700" s="8">
        <v>1894</v>
      </c>
      <c r="F700" s="8" t="s">
        <v>162</v>
      </c>
      <c r="G700" s="2">
        <v>0</v>
      </c>
      <c r="H700" s="11">
        <v>0</v>
      </c>
      <c r="I700" s="5">
        <v>2021</v>
      </c>
      <c r="J700" s="1" t="s">
        <v>12</v>
      </c>
      <c r="K700" s="1"/>
      <c r="L700" s="1" t="s">
        <v>49</v>
      </c>
    </row>
    <row r="701" spans="1:12" x14ac:dyDescent="0.3">
      <c r="A701" s="10">
        <v>411</v>
      </c>
      <c r="B701" s="10" t="s">
        <v>167</v>
      </c>
      <c r="C701" s="10" t="s">
        <v>77</v>
      </c>
      <c r="D701" s="10">
        <v>2024</v>
      </c>
      <c r="E701" s="8">
        <v>1905</v>
      </c>
      <c r="F701" s="8" t="s">
        <v>162</v>
      </c>
      <c r="G701" s="2">
        <v>0</v>
      </c>
      <c r="H701" s="11">
        <v>0</v>
      </c>
      <c r="I701" s="5">
        <v>2021</v>
      </c>
      <c r="J701" s="1" t="s">
        <v>12</v>
      </c>
      <c r="K701" s="1"/>
      <c r="L701" s="1" t="s">
        <v>49</v>
      </c>
    </row>
    <row r="702" spans="1:12" x14ac:dyDescent="0.3">
      <c r="A702" s="10">
        <v>412</v>
      </c>
      <c r="B702" s="10" t="s">
        <v>135</v>
      </c>
      <c r="C702" s="10" t="s">
        <v>80</v>
      </c>
      <c r="D702" s="10">
        <v>2024</v>
      </c>
      <c r="E702" s="4">
        <v>1780</v>
      </c>
      <c r="F702" s="8" t="s">
        <v>162</v>
      </c>
      <c r="G702" s="2">
        <v>0.56000000000000005</v>
      </c>
      <c r="H702" s="3">
        <f>G702*E702</f>
        <v>996.80000000000007</v>
      </c>
      <c r="I702" s="5">
        <v>2021</v>
      </c>
      <c r="J702" s="1" t="s">
        <v>12</v>
      </c>
      <c r="K702" s="1" t="s">
        <v>27</v>
      </c>
      <c r="L702" s="1" t="s">
        <v>53</v>
      </c>
    </row>
    <row r="703" spans="1:12" x14ac:dyDescent="0.3">
      <c r="A703" s="10">
        <v>413</v>
      </c>
      <c r="B703" s="10" t="s">
        <v>112</v>
      </c>
      <c r="C703" s="10" t="s">
        <v>81</v>
      </c>
      <c r="D703" s="10">
        <v>2024</v>
      </c>
      <c r="E703" s="4">
        <v>1780</v>
      </c>
      <c r="F703" s="8" t="s">
        <v>162</v>
      </c>
      <c r="G703" s="2">
        <v>0</v>
      </c>
      <c r="H703" s="6">
        <v>0</v>
      </c>
      <c r="I703" s="1">
        <v>2020</v>
      </c>
      <c r="J703" s="1" t="s">
        <v>12</v>
      </c>
      <c r="K703" s="1"/>
      <c r="L703" s="1" t="s">
        <v>46</v>
      </c>
    </row>
    <row r="704" spans="1:12" x14ac:dyDescent="0.3">
      <c r="A704" s="10">
        <v>414</v>
      </c>
      <c r="B704" s="10" t="s">
        <v>112</v>
      </c>
      <c r="C704" s="10" t="s">
        <v>82</v>
      </c>
      <c r="D704" s="10">
        <v>2024</v>
      </c>
      <c r="E704" s="4">
        <v>1780</v>
      </c>
      <c r="F704" s="8" t="s">
        <v>162</v>
      </c>
      <c r="G704" s="2">
        <v>0</v>
      </c>
      <c r="H704" s="6">
        <v>0</v>
      </c>
      <c r="I704" s="1">
        <v>2020</v>
      </c>
      <c r="J704" s="1" t="s">
        <v>12</v>
      </c>
      <c r="K704" s="1"/>
      <c r="L704" s="1" t="s">
        <v>46</v>
      </c>
    </row>
    <row r="705" spans="1:12" x14ac:dyDescent="0.3">
      <c r="A705" s="10">
        <v>415</v>
      </c>
      <c r="B705" s="10" t="s">
        <v>112</v>
      </c>
      <c r="C705" s="10" t="s">
        <v>51</v>
      </c>
      <c r="D705" s="10">
        <v>2024</v>
      </c>
      <c r="E705" s="4">
        <v>1780</v>
      </c>
      <c r="F705" s="8" t="s">
        <v>162</v>
      </c>
      <c r="G705" s="2">
        <v>0.5</v>
      </c>
      <c r="H705" s="6">
        <v>890</v>
      </c>
      <c r="I705" s="1">
        <v>2021</v>
      </c>
      <c r="J705" s="1" t="s">
        <v>12</v>
      </c>
      <c r="K705" s="1" t="s">
        <v>9</v>
      </c>
      <c r="L705" s="1" t="s">
        <v>46</v>
      </c>
    </row>
    <row r="706" spans="1:12" x14ac:dyDescent="0.3">
      <c r="A706" s="10">
        <v>416</v>
      </c>
      <c r="B706" s="10" t="s">
        <v>112</v>
      </c>
      <c r="C706" s="10" t="s">
        <v>84</v>
      </c>
      <c r="D706" s="10">
        <v>2024</v>
      </c>
      <c r="E706" s="4">
        <v>1632</v>
      </c>
      <c r="F706" s="8" t="s">
        <v>162</v>
      </c>
      <c r="G706" s="2">
        <f>14.15-13.68</f>
        <v>0.47000000000000064</v>
      </c>
      <c r="H706" s="6">
        <f>E706*G706</f>
        <v>767.0400000000011</v>
      </c>
      <c r="I706" s="1">
        <v>2016</v>
      </c>
      <c r="J706" s="1" t="s">
        <v>12</v>
      </c>
      <c r="K706" s="1" t="s">
        <v>27</v>
      </c>
      <c r="L706" s="1" t="s">
        <v>134</v>
      </c>
    </row>
    <row r="707" spans="1:12" x14ac:dyDescent="0.3">
      <c r="A707" s="10">
        <v>417</v>
      </c>
      <c r="B707" s="10" t="s">
        <v>112</v>
      </c>
      <c r="C707" s="10" t="s">
        <v>85</v>
      </c>
      <c r="D707" s="10">
        <v>2024</v>
      </c>
      <c r="E707" s="4">
        <v>1632</v>
      </c>
      <c r="F707" s="8" t="s">
        <v>162</v>
      </c>
      <c r="G707" s="2">
        <f>14.64-14.05</f>
        <v>0.58999999999999986</v>
      </c>
      <c r="H707" s="6">
        <f>E707*G707</f>
        <v>962.87999999999977</v>
      </c>
      <c r="I707" s="1">
        <v>2016</v>
      </c>
      <c r="J707" s="1" t="s">
        <v>12</v>
      </c>
      <c r="K707" s="1" t="s">
        <v>27</v>
      </c>
      <c r="L707" s="1" t="s">
        <v>134</v>
      </c>
    </row>
    <row r="708" spans="1:12" x14ac:dyDescent="0.3">
      <c r="A708" s="10">
        <v>418</v>
      </c>
      <c r="B708" s="10" t="s">
        <v>112</v>
      </c>
      <c r="C708" s="10" t="s">
        <v>86</v>
      </c>
      <c r="D708" s="10">
        <v>2024</v>
      </c>
      <c r="E708" s="4">
        <v>1632</v>
      </c>
      <c r="F708" s="8" t="s">
        <v>162</v>
      </c>
      <c r="G708" s="2">
        <f>13.51-13.37</f>
        <v>0.14000000000000057</v>
      </c>
      <c r="H708" s="6">
        <f>E708*G708</f>
        <v>228.48000000000093</v>
      </c>
      <c r="I708" s="1">
        <v>2016</v>
      </c>
      <c r="J708" s="1" t="s">
        <v>12</v>
      </c>
      <c r="K708" s="1" t="s">
        <v>27</v>
      </c>
      <c r="L708" s="1" t="s">
        <v>134</v>
      </c>
    </row>
    <row r="709" spans="1:12" x14ac:dyDescent="0.3">
      <c r="A709" s="10">
        <v>419</v>
      </c>
      <c r="B709" s="10" t="s">
        <v>112</v>
      </c>
      <c r="C709" s="10" t="s">
        <v>87</v>
      </c>
      <c r="D709" s="10">
        <v>2024</v>
      </c>
      <c r="E709" s="4">
        <v>1587</v>
      </c>
      <c r="F709" s="8" t="s">
        <v>162</v>
      </c>
      <c r="G709" s="2">
        <f>6.29-6.13</f>
        <v>0.16000000000000014</v>
      </c>
      <c r="H709" s="6">
        <f>G709*E709</f>
        <v>253.92000000000021</v>
      </c>
      <c r="I709" s="1">
        <v>2019</v>
      </c>
      <c r="J709" s="1" t="s">
        <v>12</v>
      </c>
      <c r="K709" s="1" t="s">
        <v>27</v>
      </c>
      <c r="L709" s="1" t="s">
        <v>134</v>
      </c>
    </row>
    <row r="710" spans="1:12" x14ac:dyDescent="0.3">
      <c r="A710" s="10">
        <v>421</v>
      </c>
      <c r="B710" s="10" t="s">
        <v>105</v>
      </c>
      <c r="C710" s="10" t="s">
        <v>14</v>
      </c>
      <c r="D710" s="10">
        <v>2024</v>
      </c>
      <c r="E710" s="4">
        <v>2132</v>
      </c>
      <c r="F710" s="8" t="s">
        <v>150</v>
      </c>
      <c r="G710" s="2">
        <v>1.9999999999999574E-2</v>
      </c>
      <c r="H710" s="11">
        <v>52</v>
      </c>
      <c r="I710" s="5">
        <v>2016</v>
      </c>
      <c r="J710" s="1" t="s">
        <v>12</v>
      </c>
      <c r="K710" s="1" t="s">
        <v>9</v>
      </c>
      <c r="L710" s="1" t="s">
        <v>10</v>
      </c>
    </row>
    <row r="711" spans="1:12" x14ac:dyDescent="0.3">
      <c r="A711" s="10">
        <v>422</v>
      </c>
      <c r="B711" s="10" t="s">
        <v>105</v>
      </c>
      <c r="C711" s="10" t="s">
        <v>15</v>
      </c>
      <c r="D711" s="10">
        <v>2024</v>
      </c>
      <c r="E711" s="4">
        <v>2132</v>
      </c>
      <c r="F711" s="8" t="s">
        <v>150</v>
      </c>
      <c r="G711" s="2">
        <v>1.9999999999999574E-2</v>
      </c>
      <c r="H711" s="11">
        <v>33</v>
      </c>
      <c r="I711" s="5">
        <v>2017</v>
      </c>
      <c r="J711" s="1" t="s">
        <v>12</v>
      </c>
      <c r="K711" s="1" t="s">
        <v>9</v>
      </c>
      <c r="L711" s="1" t="s">
        <v>10</v>
      </c>
    </row>
    <row r="712" spans="1:12" x14ac:dyDescent="0.3">
      <c r="A712" s="10">
        <v>423</v>
      </c>
      <c r="B712" s="10" t="s">
        <v>105</v>
      </c>
      <c r="C712" s="10" t="s">
        <v>16</v>
      </c>
      <c r="D712" s="10">
        <v>2024</v>
      </c>
      <c r="E712" s="4">
        <v>2070</v>
      </c>
      <c r="F712" s="8" t="s">
        <v>150</v>
      </c>
      <c r="G712" s="2">
        <v>0.02</v>
      </c>
      <c r="H712" s="11">
        <f>E712*G712</f>
        <v>41.4</v>
      </c>
      <c r="I712" s="5">
        <v>2017</v>
      </c>
      <c r="J712" s="1" t="s">
        <v>12</v>
      </c>
      <c r="K712" s="1" t="s">
        <v>9</v>
      </c>
      <c r="L712" s="1" t="s">
        <v>10</v>
      </c>
    </row>
    <row r="713" spans="1:12" x14ac:dyDescent="0.3">
      <c r="A713" s="10">
        <v>424</v>
      </c>
      <c r="B713" s="10" t="s">
        <v>105</v>
      </c>
      <c r="C713" s="10" t="s">
        <v>18</v>
      </c>
      <c r="D713" s="10">
        <v>2024</v>
      </c>
      <c r="E713" s="4">
        <v>2070</v>
      </c>
      <c r="F713" s="8" t="s">
        <v>150</v>
      </c>
      <c r="G713" s="2">
        <v>0.02</v>
      </c>
      <c r="H713" s="11">
        <f>E713*G713</f>
        <v>41.4</v>
      </c>
      <c r="I713" s="5">
        <v>2017</v>
      </c>
      <c r="J713" s="1" t="s">
        <v>12</v>
      </c>
      <c r="K713" s="1" t="s">
        <v>9</v>
      </c>
      <c r="L713" s="1" t="s">
        <v>10</v>
      </c>
    </row>
    <row r="714" spans="1:12" x14ac:dyDescent="0.3">
      <c r="A714" s="10">
        <v>425</v>
      </c>
      <c r="B714" s="10" t="s">
        <v>105</v>
      </c>
      <c r="C714" s="10" t="s">
        <v>19</v>
      </c>
      <c r="D714" s="10">
        <v>2024</v>
      </c>
      <c r="E714" s="4">
        <v>2070</v>
      </c>
      <c r="F714" s="8" t="s">
        <v>150</v>
      </c>
      <c r="G714" s="2">
        <v>2.9999999999999361E-2</v>
      </c>
      <c r="H714" s="11">
        <v>51</v>
      </c>
      <c r="I714" s="5">
        <v>2017</v>
      </c>
      <c r="J714" s="1" t="s">
        <v>12</v>
      </c>
      <c r="K714" s="1" t="s">
        <v>9</v>
      </c>
      <c r="L714" s="1" t="s">
        <v>10</v>
      </c>
    </row>
    <row r="715" spans="1:12" x14ac:dyDescent="0.3">
      <c r="A715" s="10">
        <v>426</v>
      </c>
      <c r="B715" s="10" t="s">
        <v>105</v>
      </c>
      <c r="C715" s="10" t="s">
        <v>20</v>
      </c>
      <c r="D715" s="10">
        <v>2024</v>
      </c>
      <c r="E715" s="4">
        <v>2132</v>
      </c>
      <c r="F715" s="8" t="s">
        <v>150</v>
      </c>
      <c r="G715" s="2">
        <v>0</v>
      </c>
      <c r="H715" s="11">
        <v>6</v>
      </c>
      <c r="I715" s="5">
        <v>2015</v>
      </c>
      <c r="J715" s="1" t="s">
        <v>12</v>
      </c>
      <c r="K715" s="1" t="s">
        <v>9</v>
      </c>
      <c r="L715" s="1" t="s">
        <v>153</v>
      </c>
    </row>
    <row r="716" spans="1:12" x14ac:dyDescent="0.3">
      <c r="A716" s="10">
        <v>427</v>
      </c>
      <c r="B716" s="10" t="s">
        <v>105</v>
      </c>
      <c r="C716" s="10" t="s">
        <v>21</v>
      </c>
      <c r="D716" s="10">
        <v>2024</v>
      </c>
      <c r="E716" s="4">
        <v>2132</v>
      </c>
      <c r="F716" s="8" t="s">
        <v>150</v>
      </c>
      <c r="G716" s="2">
        <v>9.9999999999980105E-3</v>
      </c>
      <c r="H716" s="11">
        <v>9</v>
      </c>
      <c r="I716" s="5">
        <v>2015</v>
      </c>
      <c r="J716" s="1" t="s">
        <v>12</v>
      </c>
      <c r="K716" s="1" t="s">
        <v>9</v>
      </c>
      <c r="L716" s="1" t="s">
        <v>153</v>
      </c>
    </row>
    <row r="717" spans="1:12" x14ac:dyDescent="0.3">
      <c r="A717" s="10">
        <v>428</v>
      </c>
      <c r="B717" s="10" t="s">
        <v>105</v>
      </c>
      <c r="C717" s="10" t="s">
        <v>22</v>
      </c>
      <c r="D717" s="10">
        <v>2024</v>
      </c>
      <c r="E717" s="4">
        <v>2132</v>
      </c>
      <c r="F717" s="8" t="s">
        <v>150</v>
      </c>
      <c r="G717" s="2">
        <v>0.06</v>
      </c>
      <c r="H717" s="11">
        <f>E717*G717</f>
        <v>127.92</v>
      </c>
      <c r="I717" s="5">
        <v>2015</v>
      </c>
      <c r="J717" s="1" t="s">
        <v>12</v>
      </c>
      <c r="K717" s="1" t="s">
        <v>9</v>
      </c>
      <c r="L717" s="1" t="s">
        <v>153</v>
      </c>
    </row>
    <row r="718" spans="1:12" x14ac:dyDescent="0.3">
      <c r="A718" s="10">
        <v>429</v>
      </c>
      <c r="B718" s="10" t="s">
        <v>105</v>
      </c>
      <c r="C718" s="10" t="s">
        <v>23</v>
      </c>
      <c r="D718" s="10">
        <v>2024</v>
      </c>
      <c r="E718" s="4">
        <v>2070</v>
      </c>
      <c r="F718" s="8" t="s">
        <v>150</v>
      </c>
      <c r="G718" s="2">
        <v>0</v>
      </c>
      <c r="H718" s="11">
        <v>0</v>
      </c>
      <c r="I718" s="5">
        <v>2016</v>
      </c>
      <c r="J718" s="1" t="s">
        <v>12</v>
      </c>
      <c r="K718" s="1" t="s">
        <v>9</v>
      </c>
      <c r="L718" s="1" t="s">
        <v>132</v>
      </c>
    </row>
    <row r="719" spans="1:12" x14ac:dyDescent="0.3">
      <c r="A719" s="10">
        <v>430</v>
      </c>
      <c r="B719" s="10" t="s">
        <v>105</v>
      </c>
      <c r="C719" s="10" t="s">
        <v>24</v>
      </c>
      <c r="D719" s="10">
        <v>2024</v>
      </c>
      <c r="E719" s="4">
        <v>2070</v>
      </c>
      <c r="F719" s="8" t="s">
        <v>150</v>
      </c>
      <c r="G719" s="2">
        <v>0</v>
      </c>
      <c r="H719" s="11">
        <v>6</v>
      </c>
      <c r="I719" s="5">
        <v>2017</v>
      </c>
      <c r="J719" s="1" t="s">
        <v>12</v>
      </c>
      <c r="K719" s="1" t="s">
        <v>9</v>
      </c>
      <c r="L719" s="1" t="s">
        <v>132</v>
      </c>
    </row>
    <row r="720" spans="1:12" x14ac:dyDescent="0.3">
      <c r="A720" s="10">
        <v>431</v>
      </c>
      <c r="B720" s="10" t="s">
        <v>105</v>
      </c>
      <c r="C720" s="10" t="s">
        <v>25</v>
      </c>
      <c r="D720" s="10">
        <v>2024</v>
      </c>
      <c r="E720" s="4">
        <v>2070</v>
      </c>
      <c r="F720" s="8" t="s">
        <v>150</v>
      </c>
      <c r="G720" s="2">
        <v>1.9999999999999574E-2</v>
      </c>
      <c r="H720" s="11">
        <v>42</v>
      </c>
      <c r="I720" s="5">
        <v>2016</v>
      </c>
      <c r="J720" s="1" t="s">
        <v>12</v>
      </c>
      <c r="K720" s="1" t="s">
        <v>9</v>
      </c>
      <c r="L720" s="1" t="s">
        <v>132</v>
      </c>
    </row>
    <row r="721" spans="1:12" x14ac:dyDescent="0.3">
      <c r="A721" s="10">
        <v>432</v>
      </c>
      <c r="B721" s="10" t="s">
        <v>105</v>
      </c>
      <c r="C721" s="10" t="s">
        <v>26</v>
      </c>
      <c r="D721" s="10">
        <v>2024</v>
      </c>
      <c r="E721" s="4">
        <v>1905</v>
      </c>
      <c r="F721" s="8" t="s">
        <v>150</v>
      </c>
      <c r="G721" s="2">
        <v>0.24000000000000199</v>
      </c>
      <c r="H721" s="11">
        <v>447</v>
      </c>
      <c r="I721" s="5">
        <v>2015</v>
      </c>
      <c r="J721" s="1" t="s">
        <v>8</v>
      </c>
      <c r="K721" s="1" t="s">
        <v>27</v>
      </c>
      <c r="L721" s="1" t="s">
        <v>28</v>
      </c>
    </row>
    <row r="722" spans="1:12" x14ac:dyDescent="0.3">
      <c r="A722" s="10">
        <v>433</v>
      </c>
      <c r="B722" s="10" t="s">
        <v>105</v>
      </c>
      <c r="C722" s="10" t="s">
        <v>29</v>
      </c>
      <c r="D722" s="10">
        <v>2024</v>
      </c>
      <c r="E722" s="4">
        <v>1905</v>
      </c>
      <c r="F722" s="8" t="s">
        <v>150</v>
      </c>
      <c r="G722" s="2">
        <v>0.82000000000000028</v>
      </c>
      <c r="H722" s="11">
        <v>1549</v>
      </c>
      <c r="I722" s="5">
        <v>2017</v>
      </c>
      <c r="J722" s="1" t="s">
        <v>12</v>
      </c>
      <c r="K722" s="1" t="s">
        <v>27</v>
      </c>
      <c r="L722" s="1" t="s">
        <v>28</v>
      </c>
    </row>
    <row r="723" spans="1:12" x14ac:dyDescent="0.3">
      <c r="A723" s="10">
        <v>434</v>
      </c>
      <c r="B723" s="10" t="s">
        <v>105</v>
      </c>
      <c r="C723" s="10" t="s">
        <v>30</v>
      </c>
      <c r="D723" s="10">
        <v>2024</v>
      </c>
      <c r="E723" s="4">
        <v>1953</v>
      </c>
      <c r="F723" s="8" t="s">
        <v>150</v>
      </c>
      <c r="G723" s="2">
        <v>3.9999999999999147E-2</v>
      </c>
      <c r="H723" s="11">
        <v>92</v>
      </c>
      <c r="I723" s="5">
        <v>2018</v>
      </c>
      <c r="J723" s="1" t="s">
        <v>8</v>
      </c>
      <c r="K723" s="1" t="s">
        <v>27</v>
      </c>
      <c r="L723" s="1" t="s">
        <v>28</v>
      </c>
    </row>
    <row r="724" spans="1:12" x14ac:dyDescent="0.3">
      <c r="A724" s="10">
        <v>435</v>
      </c>
      <c r="B724" s="10" t="s">
        <v>105</v>
      </c>
      <c r="C724" s="10" t="s">
        <v>31</v>
      </c>
      <c r="D724" s="10">
        <v>2024</v>
      </c>
      <c r="E724" s="4">
        <v>1905.1398337112623</v>
      </c>
      <c r="F724" s="8" t="s">
        <v>150</v>
      </c>
      <c r="G724" s="2">
        <v>6.0000000000000497E-2</v>
      </c>
      <c r="H724" s="11">
        <v>109</v>
      </c>
      <c r="I724" s="5">
        <v>2016</v>
      </c>
      <c r="J724" s="1" t="s">
        <v>8</v>
      </c>
      <c r="K724" s="1" t="s">
        <v>27</v>
      </c>
      <c r="L724" s="1" t="s">
        <v>28</v>
      </c>
    </row>
    <row r="725" spans="1:12" x14ac:dyDescent="0.3">
      <c r="A725" s="10">
        <v>436</v>
      </c>
      <c r="B725" s="10" t="s">
        <v>105</v>
      </c>
      <c r="C725" s="10" t="s">
        <v>32</v>
      </c>
      <c r="D725" s="10">
        <v>2024</v>
      </c>
      <c r="E725" s="4">
        <v>1953</v>
      </c>
      <c r="F725" s="8" t="s">
        <v>150</v>
      </c>
      <c r="G725" s="2">
        <v>0</v>
      </c>
      <c r="H725" s="11">
        <v>3</v>
      </c>
      <c r="I725" s="5">
        <v>2014</v>
      </c>
      <c r="J725" s="1" t="s">
        <v>8</v>
      </c>
      <c r="K725" s="1" t="s">
        <v>27</v>
      </c>
      <c r="L725" s="1" t="s">
        <v>28</v>
      </c>
    </row>
    <row r="726" spans="1:12" x14ac:dyDescent="0.3">
      <c r="A726" s="10">
        <v>437</v>
      </c>
      <c r="B726" s="10" t="s">
        <v>105</v>
      </c>
      <c r="C726" s="10" t="s">
        <v>33</v>
      </c>
      <c r="D726" s="10">
        <v>2024</v>
      </c>
      <c r="E726" s="4">
        <v>1953</v>
      </c>
      <c r="F726" s="8" t="s">
        <v>150</v>
      </c>
      <c r="G726" s="2">
        <v>2.000000000000135E-2</v>
      </c>
      <c r="H726" s="11">
        <v>39.060000000002638</v>
      </c>
      <c r="I726" s="5">
        <v>2019</v>
      </c>
      <c r="J726" s="1" t="s">
        <v>12</v>
      </c>
      <c r="K726" s="1" t="s">
        <v>9</v>
      </c>
      <c r="L726" s="1" t="s">
        <v>132</v>
      </c>
    </row>
    <row r="727" spans="1:12" x14ac:dyDescent="0.3">
      <c r="A727" s="10">
        <v>438</v>
      </c>
      <c r="B727" s="10" t="s">
        <v>105</v>
      </c>
      <c r="C727" s="10" t="s">
        <v>35</v>
      </c>
      <c r="D727" s="10">
        <v>2024</v>
      </c>
      <c r="E727" s="4">
        <v>1953</v>
      </c>
      <c r="F727" s="8" t="s">
        <v>150</v>
      </c>
      <c r="G727" s="2">
        <v>9.9999999999997868E-3</v>
      </c>
      <c r="H727" s="11">
        <v>15</v>
      </c>
      <c r="I727" s="5">
        <v>2019</v>
      </c>
      <c r="J727" s="1" t="s">
        <v>12</v>
      </c>
      <c r="K727" s="1" t="s">
        <v>9</v>
      </c>
      <c r="L727" s="1" t="s">
        <v>132</v>
      </c>
    </row>
    <row r="728" spans="1:12" x14ac:dyDescent="0.3">
      <c r="A728" s="10">
        <v>439</v>
      </c>
      <c r="B728" s="10" t="s">
        <v>105</v>
      </c>
      <c r="C728" s="10" t="s">
        <v>36</v>
      </c>
      <c r="D728" s="10">
        <v>2024</v>
      </c>
      <c r="E728" s="4">
        <v>1953</v>
      </c>
      <c r="F728" s="8" t="s">
        <v>150</v>
      </c>
      <c r="G728" s="2">
        <v>9.9999999999997868E-3</v>
      </c>
      <c r="H728" s="11">
        <v>19.529999999999582</v>
      </c>
      <c r="I728" s="5">
        <v>2019</v>
      </c>
      <c r="J728" s="1" t="s">
        <v>12</v>
      </c>
      <c r="K728" s="1" t="s">
        <v>9</v>
      </c>
      <c r="L728" s="1" t="s">
        <v>132</v>
      </c>
    </row>
    <row r="729" spans="1:12" x14ac:dyDescent="0.3">
      <c r="A729" s="10">
        <v>440</v>
      </c>
      <c r="B729" s="10" t="s">
        <v>105</v>
      </c>
      <c r="C729" s="10" t="s">
        <v>37</v>
      </c>
      <c r="D729" s="10">
        <v>2024</v>
      </c>
      <c r="E729" s="4">
        <v>1780</v>
      </c>
      <c r="F729" s="8" t="s">
        <v>150</v>
      </c>
      <c r="G729" s="2">
        <v>0.19999999999999929</v>
      </c>
      <c r="H729" s="11">
        <v>356</v>
      </c>
      <c r="I729" s="5">
        <v>2020</v>
      </c>
      <c r="J729" s="1" t="s">
        <v>12</v>
      </c>
      <c r="K729" s="1" t="s">
        <v>9</v>
      </c>
      <c r="L729" s="1" t="s">
        <v>132</v>
      </c>
    </row>
    <row r="730" spans="1:12" x14ac:dyDescent="0.3">
      <c r="A730" s="10">
        <v>441</v>
      </c>
      <c r="B730" s="10" t="s">
        <v>105</v>
      </c>
      <c r="C730" s="10" t="s">
        <v>38</v>
      </c>
      <c r="D730" s="10">
        <v>2024</v>
      </c>
      <c r="E730" s="4">
        <v>1780</v>
      </c>
      <c r="F730" s="8" t="s">
        <v>150</v>
      </c>
      <c r="G730" s="2">
        <v>5.0000000000000711E-2</v>
      </c>
      <c r="H730" s="11">
        <v>84</v>
      </c>
      <c r="I730" s="5">
        <v>2020</v>
      </c>
      <c r="J730" s="1" t="s">
        <v>12</v>
      </c>
      <c r="K730" s="1" t="s">
        <v>9</v>
      </c>
      <c r="L730" s="1" t="s">
        <v>132</v>
      </c>
    </row>
    <row r="731" spans="1:12" x14ac:dyDescent="0.3">
      <c r="A731" s="10">
        <v>442</v>
      </c>
      <c r="B731" s="10" t="s">
        <v>105</v>
      </c>
      <c r="C731" s="10" t="s">
        <v>39</v>
      </c>
      <c r="D731" s="10">
        <v>2024</v>
      </c>
      <c r="E731" s="4">
        <v>1780</v>
      </c>
      <c r="F731" s="8" t="s">
        <v>150</v>
      </c>
      <c r="G731" s="2">
        <v>6.0000000000000497E-2</v>
      </c>
      <c r="H731" s="11">
        <v>106.80000000000089</v>
      </c>
      <c r="I731" s="5">
        <v>2020</v>
      </c>
      <c r="J731" s="1" t="s">
        <v>12</v>
      </c>
      <c r="K731" s="1" t="s">
        <v>9</v>
      </c>
      <c r="L731" s="1" t="s">
        <v>132</v>
      </c>
    </row>
    <row r="732" spans="1:12" x14ac:dyDescent="0.3">
      <c r="A732" s="10">
        <v>443</v>
      </c>
      <c r="B732" s="10" t="s">
        <v>105</v>
      </c>
      <c r="C732" s="10" t="s">
        <v>40</v>
      </c>
      <c r="D732" s="10">
        <v>2024</v>
      </c>
      <c r="E732" s="4">
        <v>1780</v>
      </c>
      <c r="F732" s="8" t="s">
        <v>150</v>
      </c>
      <c r="G732" s="2">
        <v>7.0000000000000284E-2</v>
      </c>
      <c r="H732" s="11">
        <v>111</v>
      </c>
      <c r="I732" s="5">
        <v>2020</v>
      </c>
      <c r="J732" s="1" t="s">
        <v>12</v>
      </c>
      <c r="K732" s="1" t="s">
        <v>27</v>
      </c>
      <c r="L732" s="1" t="s">
        <v>34</v>
      </c>
    </row>
    <row r="733" spans="1:12" x14ac:dyDescent="0.3">
      <c r="A733" s="10">
        <v>444</v>
      </c>
      <c r="B733" s="10" t="s">
        <v>105</v>
      </c>
      <c r="C733" s="10" t="s">
        <v>41</v>
      </c>
      <c r="D733" s="10">
        <v>2024</v>
      </c>
      <c r="E733" s="4">
        <v>1780</v>
      </c>
      <c r="F733" s="8" t="s">
        <v>150</v>
      </c>
      <c r="G733" s="2">
        <v>8.9999999999998082E-2</v>
      </c>
      <c r="H733" s="11">
        <v>165</v>
      </c>
      <c r="I733" s="5">
        <v>2020</v>
      </c>
      <c r="J733" s="1" t="s">
        <v>12</v>
      </c>
      <c r="K733" s="1" t="s">
        <v>27</v>
      </c>
      <c r="L733" s="1" t="s">
        <v>34</v>
      </c>
    </row>
    <row r="734" spans="1:12" x14ac:dyDescent="0.3">
      <c r="A734" s="10">
        <v>445</v>
      </c>
      <c r="B734" s="10" t="s">
        <v>105</v>
      </c>
      <c r="C734" s="10" t="s">
        <v>42</v>
      </c>
      <c r="D734" s="10">
        <v>2024</v>
      </c>
      <c r="E734" s="4">
        <v>1780</v>
      </c>
      <c r="F734" s="8" t="s">
        <v>150</v>
      </c>
      <c r="G734" s="2">
        <v>0.16999999999999993</v>
      </c>
      <c r="H734" s="11">
        <v>311</v>
      </c>
      <c r="I734" s="5">
        <v>2020</v>
      </c>
      <c r="J734" s="1" t="s">
        <v>12</v>
      </c>
      <c r="K734" s="1" t="s">
        <v>27</v>
      </c>
      <c r="L734" s="1" t="s">
        <v>34</v>
      </c>
    </row>
    <row r="735" spans="1:12" x14ac:dyDescent="0.3">
      <c r="A735" s="10">
        <v>446</v>
      </c>
      <c r="B735" s="10" t="s">
        <v>105</v>
      </c>
      <c r="C735" s="10" t="s">
        <v>43</v>
      </c>
      <c r="D735" s="10">
        <v>2024</v>
      </c>
      <c r="E735" s="4">
        <v>1780</v>
      </c>
      <c r="F735" s="8" t="s">
        <v>150</v>
      </c>
      <c r="G735" s="2">
        <v>0.25999999999999979</v>
      </c>
      <c r="H735" s="11">
        <v>451</v>
      </c>
      <c r="I735" s="5">
        <v>2020</v>
      </c>
      <c r="J735" s="1" t="s">
        <v>12</v>
      </c>
      <c r="K735" s="1" t="s">
        <v>27</v>
      </c>
      <c r="L735" s="1" t="s">
        <v>34</v>
      </c>
    </row>
    <row r="736" spans="1:12" x14ac:dyDescent="0.3">
      <c r="A736" s="10">
        <v>447</v>
      </c>
      <c r="B736" s="10" t="s">
        <v>105</v>
      </c>
      <c r="C736" s="10" t="s">
        <v>44</v>
      </c>
      <c r="D736" s="10">
        <v>2024</v>
      </c>
      <c r="E736" s="4">
        <v>1780</v>
      </c>
      <c r="F736" s="8" t="s">
        <v>150</v>
      </c>
      <c r="G736" s="2">
        <v>0</v>
      </c>
      <c r="H736" s="11">
        <v>0</v>
      </c>
      <c r="I736" s="5">
        <v>2022</v>
      </c>
      <c r="J736" s="1" t="s">
        <v>12</v>
      </c>
      <c r="K736" s="1" t="s">
        <v>9</v>
      </c>
      <c r="L736" s="1" t="s">
        <v>10</v>
      </c>
    </row>
    <row r="737" spans="1:12" x14ac:dyDescent="0.3">
      <c r="A737" s="10">
        <v>448</v>
      </c>
      <c r="B737" s="10" t="s">
        <v>108</v>
      </c>
      <c r="C737" s="10" t="s">
        <v>51</v>
      </c>
      <c r="D737" s="10">
        <v>2024</v>
      </c>
      <c r="E737" s="4">
        <v>1780</v>
      </c>
      <c r="F737" s="8" t="s">
        <v>150</v>
      </c>
      <c r="G737" s="2">
        <v>0</v>
      </c>
      <c r="H737" s="3">
        <v>0</v>
      </c>
      <c r="I737" s="1">
        <v>2018</v>
      </c>
      <c r="J737" s="1" t="s">
        <v>12</v>
      </c>
      <c r="K737" s="1" t="s">
        <v>9</v>
      </c>
      <c r="L737" s="1" t="s">
        <v>46</v>
      </c>
    </row>
    <row r="738" spans="1:12" x14ac:dyDescent="0.3">
      <c r="A738" s="10">
        <v>449</v>
      </c>
      <c r="B738" s="10" t="s">
        <v>108</v>
      </c>
      <c r="C738" s="10" t="s">
        <v>52</v>
      </c>
      <c r="D738" s="10">
        <v>2024</v>
      </c>
      <c r="E738" s="4">
        <v>1905</v>
      </c>
      <c r="F738" s="8" t="s">
        <v>150</v>
      </c>
      <c r="G738" s="2">
        <v>0</v>
      </c>
      <c r="H738" s="3">
        <v>4</v>
      </c>
      <c r="I738" s="1">
        <v>2018</v>
      </c>
      <c r="J738" s="1" t="s">
        <v>8</v>
      </c>
      <c r="K738" s="1" t="s">
        <v>27</v>
      </c>
      <c r="L738" s="1" t="s">
        <v>53</v>
      </c>
    </row>
    <row r="739" spans="1:12" x14ac:dyDescent="0.3">
      <c r="A739" s="10">
        <v>450</v>
      </c>
      <c r="B739" s="10" t="s">
        <v>108</v>
      </c>
      <c r="C739" s="10" t="s">
        <v>54</v>
      </c>
      <c r="D739" s="10">
        <v>2024</v>
      </c>
      <c r="E739" s="4">
        <v>1905</v>
      </c>
      <c r="F739" s="8" t="s">
        <v>150</v>
      </c>
      <c r="G739" s="2">
        <v>0</v>
      </c>
      <c r="H739" s="3">
        <v>19</v>
      </c>
      <c r="I739" s="1">
        <v>2017</v>
      </c>
      <c r="J739" s="1" t="s">
        <v>8</v>
      </c>
      <c r="K739" s="1" t="s">
        <v>27</v>
      </c>
      <c r="L739" s="1" t="s">
        <v>53</v>
      </c>
    </row>
    <row r="740" spans="1:12" x14ac:dyDescent="0.3">
      <c r="A740" s="10">
        <v>451</v>
      </c>
      <c r="B740" s="10" t="s">
        <v>108</v>
      </c>
      <c r="C740" s="10" t="s">
        <v>55</v>
      </c>
      <c r="D740" s="10">
        <v>2024</v>
      </c>
      <c r="E740" s="4">
        <v>1905</v>
      </c>
      <c r="F740" s="8" t="s">
        <v>150</v>
      </c>
      <c r="G740" s="2">
        <v>0</v>
      </c>
      <c r="H740" s="3">
        <v>0</v>
      </c>
      <c r="I740" s="1">
        <v>2017</v>
      </c>
      <c r="J740" s="1" t="s">
        <v>8</v>
      </c>
      <c r="K740" s="1" t="s">
        <v>27</v>
      </c>
      <c r="L740" s="1" t="s">
        <v>53</v>
      </c>
    </row>
    <row r="741" spans="1:12" x14ac:dyDescent="0.3">
      <c r="A741" s="10">
        <v>452</v>
      </c>
      <c r="B741" s="10" t="s">
        <v>108</v>
      </c>
      <c r="C741" s="10" t="s">
        <v>56</v>
      </c>
      <c r="D741" s="10">
        <v>2024</v>
      </c>
      <c r="E741" s="4">
        <v>1905</v>
      </c>
      <c r="F741" s="8" t="s">
        <v>150</v>
      </c>
      <c r="G741" s="2">
        <v>5.0000000000000711E-2</v>
      </c>
      <c r="H741" s="3">
        <v>77</v>
      </c>
      <c r="I741" s="1">
        <v>2016</v>
      </c>
      <c r="J741" s="1" t="s">
        <v>8</v>
      </c>
      <c r="K741" s="1" t="s">
        <v>27</v>
      </c>
      <c r="L741" s="1" t="s">
        <v>53</v>
      </c>
    </row>
    <row r="742" spans="1:12" x14ac:dyDescent="0.3">
      <c r="A742" s="10">
        <v>453</v>
      </c>
      <c r="B742" s="10" t="s">
        <v>108</v>
      </c>
      <c r="C742" s="10" t="s">
        <v>57</v>
      </c>
      <c r="D742" s="10">
        <v>2024</v>
      </c>
      <c r="E742" s="4">
        <v>1905</v>
      </c>
      <c r="F742" s="8" t="s">
        <v>150</v>
      </c>
      <c r="G742" s="2">
        <v>6.9999999999998508E-2</v>
      </c>
      <c r="H742" s="3">
        <v>115</v>
      </c>
      <c r="I742" s="1">
        <v>2016</v>
      </c>
      <c r="J742" s="1" t="s">
        <v>8</v>
      </c>
      <c r="K742" s="1" t="s">
        <v>27</v>
      </c>
      <c r="L742" s="1" t="s">
        <v>53</v>
      </c>
    </row>
    <row r="743" spans="1:12" x14ac:dyDescent="0.3">
      <c r="A743" s="10">
        <v>454</v>
      </c>
      <c r="B743" s="10" t="s">
        <v>108</v>
      </c>
      <c r="C743" s="10" t="s">
        <v>58</v>
      </c>
      <c r="D743" s="10">
        <v>2024</v>
      </c>
      <c r="E743" s="4">
        <v>1905</v>
      </c>
      <c r="F743" s="8" t="s">
        <v>150</v>
      </c>
      <c r="G743" s="2">
        <v>9.9999999999988987E-3</v>
      </c>
      <c r="H743" s="3">
        <v>23</v>
      </c>
      <c r="I743" s="1">
        <v>2016</v>
      </c>
      <c r="J743" s="1" t="s">
        <v>8</v>
      </c>
      <c r="K743" s="1" t="s">
        <v>27</v>
      </c>
      <c r="L743" s="1" t="s">
        <v>53</v>
      </c>
    </row>
    <row r="744" spans="1:12" x14ac:dyDescent="0.3">
      <c r="A744" s="9">
        <v>455</v>
      </c>
      <c r="B744" s="10" t="s">
        <v>105</v>
      </c>
      <c r="C744" s="10" t="s">
        <v>6</v>
      </c>
      <c r="D744" s="10">
        <v>2024</v>
      </c>
      <c r="E744" s="14"/>
      <c r="F744" s="8" t="s">
        <v>150</v>
      </c>
      <c r="G744" s="2">
        <f>15.06-14.97</f>
        <v>8.9999999999999858E-2</v>
      </c>
      <c r="H744" s="3">
        <v>0</v>
      </c>
      <c r="I744" s="1">
        <v>2023</v>
      </c>
      <c r="J744" s="1"/>
      <c r="K744" s="1"/>
      <c r="L744" s="1" t="s">
        <v>10</v>
      </c>
    </row>
    <row r="745" spans="1:12" x14ac:dyDescent="0.3">
      <c r="A745" s="9">
        <v>456</v>
      </c>
      <c r="B745" s="10" t="s">
        <v>105</v>
      </c>
      <c r="C745" s="10" t="s">
        <v>11</v>
      </c>
      <c r="D745" s="10">
        <v>2024</v>
      </c>
      <c r="E745" s="14"/>
      <c r="F745" s="8" t="s">
        <v>150</v>
      </c>
      <c r="G745" s="2">
        <v>0</v>
      </c>
      <c r="H745" s="3">
        <v>0</v>
      </c>
      <c r="I745" s="1">
        <v>2023</v>
      </c>
      <c r="J745" s="4" t="s">
        <v>12</v>
      </c>
      <c r="K745" s="4" t="s">
        <v>9</v>
      </c>
      <c r="L745" s="1" t="s">
        <v>10</v>
      </c>
    </row>
    <row r="746" spans="1:12" x14ac:dyDescent="0.3">
      <c r="A746" s="9">
        <v>457</v>
      </c>
      <c r="B746" s="10" t="s">
        <v>105</v>
      </c>
      <c r="C746" s="10" t="s">
        <v>13</v>
      </c>
      <c r="D746" s="10">
        <v>2024</v>
      </c>
      <c r="E746" s="14"/>
      <c r="F746" s="8" t="s">
        <v>150</v>
      </c>
      <c r="G746" s="2">
        <v>0</v>
      </c>
      <c r="H746" s="3">
        <v>0</v>
      </c>
      <c r="I746" s="1">
        <v>2023</v>
      </c>
      <c r="J746" s="1"/>
      <c r="K746" s="1"/>
      <c r="L746" s="1" t="s">
        <v>10</v>
      </c>
    </row>
    <row r="747" spans="1:12" x14ac:dyDescent="0.3">
      <c r="A747" s="10">
        <v>458</v>
      </c>
      <c r="B747" s="10" t="s">
        <v>163</v>
      </c>
      <c r="C747" s="10" t="s">
        <v>88</v>
      </c>
      <c r="D747" s="10">
        <v>2024</v>
      </c>
      <c r="E747" s="4">
        <v>1838</v>
      </c>
      <c r="F747" s="8" t="s">
        <v>150</v>
      </c>
      <c r="G747" s="2">
        <v>0.25000000000000178</v>
      </c>
      <c r="H747" s="3">
        <f>E747*G747</f>
        <v>459.50000000000324</v>
      </c>
      <c r="I747" s="1">
        <v>2021</v>
      </c>
      <c r="J747" s="1" t="s">
        <v>8</v>
      </c>
      <c r="K747" s="1" t="s">
        <v>27</v>
      </c>
      <c r="L747" s="1" t="s">
        <v>34</v>
      </c>
    </row>
    <row r="748" spans="1:12" x14ac:dyDescent="0.3">
      <c r="A748" s="10">
        <v>459</v>
      </c>
      <c r="B748" s="10" t="s">
        <v>163</v>
      </c>
      <c r="C748" s="10" t="s">
        <v>89</v>
      </c>
      <c r="D748" s="10">
        <v>2024</v>
      </c>
      <c r="E748" s="4">
        <v>1838</v>
      </c>
      <c r="F748" s="8" t="s">
        <v>150</v>
      </c>
      <c r="G748" s="2">
        <v>0.20000000000000107</v>
      </c>
      <c r="H748" s="3">
        <f>E748*G748</f>
        <v>367.60000000000196</v>
      </c>
      <c r="I748" s="1">
        <v>2021</v>
      </c>
      <c r="J748" s="1" t="s">
        <v>8</v>
      </c>
      <c r="K748" s="1" t="s">
        <v>27</v>
      </c>
      <c r="L748" s="1" t="s">
        <v>34</v>
      </c>
    </row>
    <row r="749" spans="1:12" x14ac:dyDescent="0.3">
      <c r="A749" s="10">
        <v>460</v>
      </c>
      <c r="B749" s="10" t="s">
        <v>163</v>
      </c>
      <c r="C749" s="10" t="s">
        <v>90</v>
      </c>
      <c r="D749" s="10">
        <v>2024</v>
      </c>
      <c r="E749" s="7">
        <v>1905</v>
      </c>
      <c r="F749" s="8" t="s">
        <v>150</v>
      </c>
      <c r="G749" s="2">
        <v>0</v>
      </c>
      <c r="H749" s="3">
        <v>0</v>
      </c>
      <c r="I749" s="1">
        <v>2022</v>
      </c>
      <c r="J749" s="1" t="s">
        <v>8</v>
      </c>
      <c r="K749" s="1" t="s">
        <v>27</v>
      </c>
      <c r="L749" s="1" t="s">
        <v>53</v>
      </c>
    </row>
    <row r="750" spans="1:12" x14ac:dyDescent="0.3">
      <c r="A750" s="10">
        <v>461</v>
      </c>
      <c r="B750" s="10" t="s">
        <v>163</v>
      </c>
      <c r="C750" s="10" t="s">
        <v>92</v>
      </c>
      <c r="D750" s="10">
        <v>2024</v>
      </c>
      <c r="E750" s="7">
        <v>1905</v>
      </c>
      <c r="F750" s="8" t="s">
        <v>150</v>
      </c>
      <c r="G750" s="2">
        <v>0</v>
      </c>
      <c r="H750" s="3">
        <v>0</v>
      </c>
      <c r="I750" s="1">
        <v>2022</v>
      </c>
      <c r="J750" s="1" t="s">
        <v>8</v>
      </c>
      <c r="K750" s="1" t="s">
        <v>27</v>
      </c>
      <c r="L750" s="1" t="s">
        <v>53</v>
      </c>
    </row>
    <row r="751" spans="1:12" x14ac:dyDescent="0.3">
      <c r="A751" s="10">
        <v>462</v>
      </c>
      <c r="B751" s="10" t="s">
        <v>163</v>
      </c>
      <c r="C751" s="10" t="s">
        <v>80</v>
      </c>
      <c r="D751" s="10">
        <v>2024</v>
      </c>
      <c r="E751" s="7">
        <v>1905</v>
      </c>
      <c r="F751" s="8" t="s">
        <v>150</v>
      </c>
      <c r="G751" s="2">
        <v>0</v>
      </c>
      <c r="H751" s="3">
        <v>0</v>
      </c>
      <c r="I751" s="1">
        <v>2022</v>
      </c>
      <c r="J751" s="1" t="s">
        <v>8</v>
      </c>
      <c r="K751" s="1" t="s">
        <v>27</v>
      </c>
      <c r="L751" s="1" t="s">
        <v>53</v>
      </c>
    </row>
    <row r="752" spans="1:12" x14ac:dyDescent="0.3">
      <c r="A752" s="10">
        <v>463</v>
      </c>
      <c r="B752" s="10" t="s">
        <v>163</v>
      </c>
      <c r="C752" s="10" t="s">
        <v>93</v>
      </c>
      <c r="D752" s="10">
        <v>2024</v>
      </c>
      <c r="E752" s="7">
        <v>1905</v>
      </c>
      <c r="F752" s="8" t="s">
        <v>150</v>
      </c>
      <c r="G752" s="2">
        <v>0</v>
      </c>
      <c r="H752" s="3">
        <v>0</v>
      </c>
      <c r="I752" s="1">
        <v>2022</v>
      </c>
      <c r="J752" s="1" t="s">
        <v>8</v>
      </c>
      <c r="K752" s="1" t="s">
        <v>27</v>
      </c>
      <c r="L752" s="1" t="s">
        <v>153</v>
      </c>
    </row>
    <row r="753" spans="1:12" x14ac:dyDescent="0.3">
      <c r="A753" s="10">
        <v>464</v>
      </c>
      <c r="B753" s="10" t="s">
        <v>163</v>
      </c>
      <c r="C753" s="10" t="s">
        <v>94</v>
      </c>
      <c r="D753" s="10">
        <v>2024</v>
      </c>
      <c r="E753" s="7">
        <v>1905</v>
      </c>
      <c r="F753" s="8" t="s">
        <v>150</v>
      </c>
      <c r="G753" s="2">
        <v>0</v>
      </c>
      <c r="H753" s="3">
        <v>0</v>
      </c>
      <c r="I753" s="1">
        <v>2022</v>
      </c>
      <c r="J753" s="1" t="s">
        <v>8</v>
      </c>
      <c r="K753" s="1" t="s">
        <v>27</v>
      </c>
      <c r="L753" s="1" t="s">
        <v>153</v>
      </c>
    </row>
    <row r="754" spans="1:12" x14ac:dyDescent="0.3">
      <c r="A754" s="10">
        <v>465</v>
      </c>
      <c r="B754" s="10" t="s">
        <v>163</v>
      </c>
      <c r="C754" s="10" t="s">
        <v>95</v>
      </c>
      <c r="D754" s="10">
        <v>2024</v>
      </c>
      <c r="E754" s="7">
        <v>1905</v>
      </c>
      <c r="F754" s="8" t="s">
        <v>150</v>
      </c>
      <c r="G754" s="2">
        <v>0</v>
      </c>
      <c r="H754" s="3">
        <v>0</v>
      </c>
      <c r="I754" s="1">
        <v>2022</v>
      </c>
      <c r="J754" s="1" t="s">
        <v>8</v>
      </c>
      <c r="K754" s="1" t="s">
        <v>27</v>
      </c>
      <c r="L754" s="1" t="s">
        <v>153</v>
      </c>
    </row>
    <row r="755" spans="1:12" x14ac:dyDescent="0.3">
      <c r="A755" s="10">
        <v>466</v>
      </c>
      <c r="B755" s="10" t="s">
        <v>163</v>
      </c>
      <c r="C755" s="10" t="s">
        <v>96</v>
      </c>
      <c r="D755" s="10">
        <v>2024</v>
      </c>
      <c r="E755" s="7">
        <v>1905</v>
      </c>
      <c r="F755" s="8" t="s">
        <v>150</v>
      </c>
      <c r="G755" s="2">
        <v>0</v>
      </c>
      <c r="H755" s="3">
        <v>0</v>
      </c>
      <c r="I755" s="1">
        <v>2022</v>
      </c>
      <c r="J755" s="1" t="s">
        <v>12</v>
      </c>
      <c r="K755" s="1" t="s">
        <v>27</v>
      </c>
      <c r="L755" s="1" t="s">
        <v>136</v>
      </c>
    </row>
    <row r="756" spans="1:12" x14ac:dyDescent="0.3">
      <c r="A756" s="10">
        <v>467</v>
      </c>
      <c r="B756" s="10" t="s">
        <v>163</v>
      </c>
      <c r="C756" s="10" t="s">
        <v>97</v>
      </c>
      <c r="D756" s="10">
        <v>2024</v>
      </c>
      <c r="E756" s="7">
        <v>1905</v>
      </c>
      <c r="F756" s="8" t="s">
        <v>150</v>
      </c>
      <c r="G756" s="2">
        <v>0</v>
      </c>
      <c r="H756" s="3">
        <v>0</v>
      </c>
      <c r="I756" s="1">
        <v>2022</v>
      </c>
      <c r="J756" s="1" t="s">
        <v>12</v>
      </c>
      <c r="K756" s="1" t="s">
        <v>27</v>
      </c>
      <c r="L756" s="1" t="s">
        <v>136</v>
      </c>
    </row>
    <row r="757" spans="1:12" x14ac:dyDescent="0.3">
      <c r="A757" s="10">
        <v>468</v>
      </c>
      <c r="B757" s="10" t="s">
        <v>163</v>
      </c>
      <c r="C757" s="10" t="s">
        <v>98</v>
      </c>
      <c r="D757" s="10">
        <v>2024</v>
      </c>
      <c r="E757" s="7">
        <v>1905</v>
      </c>
      <c r="F757" s="8" t="s">
        <v>150</v>
      </c>
      <c r="G757" s="2">
        <v>0</v>
      </c>
      <c r="H757" s="3">
        <v>0</v>
      </c>
      <c r="I757" s="1">
        <v>2022</v>
      </c>
      <c r="J757" s="1" t="s">
        <v>12</v>
      </c>
      <c r="K757" s="1" t="s">
        <v>27</v>
      </c>
      <c r="L757" s="1" t="s">
        <v>136</v>
      </c>
    </row>
    <row r="758" spans="1:12" x14ac:dyDescent="0.3">
      <c r="A758" s="10">
        <v>469</v>
      </c>
      <c r="B758" s="10" t="s">
        <v>163</v>
      </c>
      <c r="C758" s="10" t="s">
        <v>99</v>
      </c>
      <c r="D758" s="10">
        <v>2024</v>
      </c>
      <c r="E758" s="8">
        <v>1754</v>
      </c>
      <c r="F758" s="8" t="s">
        <v>150</v>
      </c>
      <c r="G758" s="2">
        <v>0</v>
      </c>
      <c r="H758" s="3">
        <v>0</v>
      </c>
      <c r="I758" s="1">
        <v>2022</v>
      </c>
      <c r="J758" s="1" t="s">
        <v>8</v>
      </c>
      <c r="K758" s="1" t="s">
        <v>27</v>
      </c>
      <c r="L758" s="1" t="s">
        <v>134</v>
      </c>
    </row>
    <row r="759" spans="1:12" x14ac:dyDescent="0.3">
      <c r="A759" s="10">
        <v>470</v>
      </c>
      <c r="B759" s="10" t="s">
        <v>163</v>
      </c>
      <c r="C759" s="10" t="s">
        <v>100</v>
      </c>
      <c r="D759" s="10">
        <v>2024</v>
      </c>
      <c r="E759" s="8">
        <v>1754</v>
      </c>
      <c r="F759" s="8" t="s">
        <v>150</v>
      </c>
      <c r="G759" s="2">
        <v>0</v>
      </c>
      <c r="H759" s="3">
        <v>0</v>
      </c>
      <c r="I759" s="1">
        <v>2022</v>
      </c>
      <c r="J759" s="1" t="s">
        <v>8</v>
      </c>
      <c r="K759" s="1" t="s">
        <v>27</v>
      </c>
      <c r="L759" s="1" t="s">
        <v>134</v>
      </c>
    </row>
    <row r="760" spans="1:12" x14ac:dyDescent="0.3">
      <c r="A760" s="12">
        <v>471</v>
      </c>
      <c r="B760" s="12" t="s">
        <v>117</v>
      </c>
      <c r="C760" s="12" t="s">
        <v>45</v>
      </c>
      <c r="D760" s="10">
        <v>2024</v>
      </c>
      <c r="E760" s="12"/>
      <c r="F760" s="8" t="s">
        <v>150</v>
      </c>
      <c r="G760" s="2">
        <v>0</v>
      </c>
      <c r="H760" s="3">
        <v>0</v>
      </c>
      <c r="I760" s="1">
        <v>2023</v>
      </c>
      <c r="J760" s="1"/>
      <c r="K760" s="1"/>
      <c r="L760" s="1" t="s">
        <v>154</v>
      </c>
    </row>
    <row r="761" spans="1:12" x14ac:dyDescent="0.3">
      <c r="A761" s="12">
        <v>472</v>
      </c>
      <c r="B761" s="12" t="s">
        <v>117</v>
      </c>
      <c r="C761" s="12" t="s">
        <v>47</v>
      </c>
      <c r="D761" s="10">
        <v>2024</v>
      </c>
      <c r="E761" s="12"/>
      <c r="F761" s="8" t="s">
        <v>150</v>
      </c>
      <c r="G761" s="2">
        <v>0</v>
      </c>
      <c r="H761" s="3">
        <v>0</v>
      </c>
      <c r="I761" s="1">
        <v>2023</v>
      </c>
      <c r="J761" s="1"/>
      <c r="K761" s="1"/>
      <c r="L761" s="1" t="s">
        <v>154</v>
      </c>
    </row>
    <row r="762" spans="1:12" x14ac:dyDescent="0.3">
      <c r="A762" s="10">
        <v>473</v>
      </c>
      <c r="B762" s="10" t="s">
        <v>112</v>
      </c>
      <c r="C762" s="10" t="s">
        <v>83</v>
      </c>
      <c r="D762" s="10">
        <v>2024</v>
      </c>
      <c r="E762" s="12"/>
      <c r="F762" s="8" t="s">
        <v>150</v>
      </c>
      <c r="G762" s="2">
        <v>0</v>
      </c>
      <c r="H762" s="3">
        <v>0</v>
      </c>
      <c r="I762" s="1">
        <v>2023</v>
      </c>
      <c r="J762" s="1"/>
      <c r="K762" s="1"/>
      <c r="L762" s="1" t="s">
        <v>134</v>
      </c>
    </row>
    <row r="763" spans="1:12" x14ac:dyDescent="0.3">
      <c r="A763" s="12">
        <v>475</v>
      </c>
      <c r="B763" s="12" t="s">
        <v>117</v>
      </c>
      <c r="C763" s="12" t="s">
        <v>101</v>
      </c>
      <c r="D763" s="10">
        <v>2024</v>
      </c>
      <c r="E763" s="12"/>
      <c r="F763" s="8" t="s">
        <v>150</v>
      </c>
      <c r="G763" s="2">
        <v>0</v>
      </c>
      <c r="H763" s="3">
        <v>0</v>
      </c>
      <c r="I763" s="1">
        <v>2023</v>
      </c>
      <c r="J763" s="1"/>
      <c r="K763" s="1"/>
      <c r="L763" s="1" t="s">
        <v>154</v>
      </c>
    </row>
    <row r="764" spans="1:12" x14ac:dyDescent="0.3">
      <c r="A764" s="12">
        <v>476</v>
      </c>
      <c r="B764" s="12" t="s">
        <v>117</v>
      </c>
      <c r="C764" s="12" t="s">
        <v>103</v>
      </c>
      <c r="D764" s="10">
        <v>2024</v>
      </c>
      <c r="E764" s="12"/>
      <c r="F764" s="8" t="s">
        <v>150</v>
      </c>
      <c r="G764" s="2">
        <v>0</v>
      </c>
      <c r="H764" s="3">
        <v>0</v>
      </c>
      <c r="I764" s="1">
        <v>2023</v>
      </c>
      <c r="J764" s="1"/>
      <c r="K764" s="1"/>
      <c r="L764" s="1" t="s">
        <v>154</v>
      </c>
    </row>
    <row r="765" spans="1:12" x14ac:dyDescent="0.3">
      <c r="A765" s="10">
        <v>477</v>
      </c>
      <c r="B765" s="10" t="s">
        <v>109</v>
      </c>
      <c r="C765" s="10" t="s">
        <v>59</v>
      </c>
      <c r="D765" s="10">
        <v>2024</v>
      </c>
      <c r="E765" s="4">
        <v>1905</v>
      </c>
      <c r="F765" s="8" t="s">
        <v>150</v>
      </c>
      <c r="G765" s="2">
        <v>0.29999999999999982</v>
      </c>
      <c r="H765" s="11">
        <v>576</v>
      </c>
      <c r="I765" s="1">
        <v>2018</v>
      </c>
      <c r="J765" s="1" t="s">
        <v>8</v>
      </c>
      <c r="K765" s="1"/>
      <c r="L765" s="1" t="s">
        <v>10</v>
      </c>
    </row>
    <row r="766" spans="1:12" x14ac:dyDescent="0.3">
      <c r="A766" s="10">
        <v>478</v>
      </c>
      <c r="B766" s="10" t="s">
        <v>109</v>
      </c>
      <c r="C766" s="10" t="s">
        <v>60</v>
      </c>
      <c r="D766" s="10">
        <v>2024</v>
      </c>
      <c r="E766" s="4">
        <v>1905</v>
      </c>
      <c r="F766" s="8" t="s">
        <v>150</v>
      </c>
      <c r="G766" s="2">
        <v>0.12</v>
      </c>
      <c r="H766" s="11">
        <v>233</v>
      </c>
      <c r="I766" s="1" t="s">
        <v>61</v>
      </c>
      <c r="J766" s="1" t="s">
        <v>8</v>
      </c>
      <c r="K766" s="1" t="s">
        <v>9</v>
      </c>
      <c r="L766" s="1" t="s">
        <v>10</v>
      </c>
    </row>
    <row r="767" spans="1:12" x14ac:dyDescent="0.3">
      <c r="A767" s="10">
        <v>479</v>
      </c>
      <c r="B767" s="10" t="s">
        <v>109</v>
      </c>
      <c r="C767" s="10" t="s">
        <v>130</v>
      </c>
      <c r="D767" s="10">
        <v>2024</v>
      </c>
      <c r="E767" s="4">
        <v>1780</v>
      </c>
      <c r="F767" s="8" t="s">
        <v>150</v>
      </c>
      <c r="G767" s="2">
        <v>0.14000000000000057</v>
      </c>
      <c r="H767" s="11">
        <v>254</v>
      </c>
      <c r="I767" s="1">
        <v>2020</v>
      </c>
      <c r="J767" s="1" t="s">
        <v>12</v>
      </c>
      <c r="K767" s="1" t="s">
        <v>27</v>
      </c>
      <c r="L767" s="1" t="s">
        <v>53</v>
      </c>
    </row>
    <row r="768" spans="1:12" x14ac:dyDescent="0.3">
      <c r="A768" s="10">
        <v>480</v>
      </c>
      <c r="B768" s="10" t="s">
        <v>109</v>
      </c>
      <c r="C768" s="10" t="s">
        <v>63</v>
      </c>
      <c r="D768" s="10">
        <v>2024</v>
      </c>
      <c r="E768" s="4">
        <v>1780</v>
      </c>
      <c r="F768" s="8" t="s">
        <v>150</v>
      </c>
      <c r="G768" s="2">
        <v>0.16999999999999993</v>
      </c>
      <c r="H768" s="11">
        <v>298</v>
      </c>
      <c r="I768" s="1">
        <v>2020</v>
      </c>
      <c r="J768" s="1" t="s">
        <v>12</v>
      </c>
      <c r="K768" s="1" t="s">
        <v>27</v>
      </c>
      <c r="L768" s="1" t="s">
        <v>53</v>
      </c>
    </row>
    <row r="769" spans="1:12" x14ac:dyDescent="0.3">
      <c r="A769" s="10">
        <v>481</v>
      </c>
      <c r="B769" s="10" t="s">
        <v>109</v>
      </c>
      <c r="C769" s="10" t="s">
        <v>64</v>
      </c>
      <c r="D769" s="10">
        <v>2024</v>
      </c>
      <c r="E769" s="4">
        <v>1780</v>
      </c>
      <c r="F769" s="8" t="s">
        <v>150</v>
      </c>
      <c r="G769" s="2">
        <v>0</v>
      </c>
      <c r="H769" s="11">
        <v>12</v>
      </c>
      <c r="I769" s="1">
        <v>2020</v>
      </c>
      <c r="J769" s="1" t="s">
        <v>12</v>
      </c>
      <c r="K769" s="1" t="s">
        <v>27</v>
      </c>
      <c r="L769" s="1" t="s">
        <v>53</v>
      </c>
    </row>
    <row r="770" spans="1:12" x14ac:dyDescent="0.3">
      <c r="A770" s="10">
        <v>482</v>
      </c>
      <c r="B770" s="10" t="s">
        <v>109</v>
      </c>
      <c r="C770" s="10" t="s">
        <v>65</v>
      </c>
      <c r="D770" s="10">
        <v>2024</v>
      </c>
      <c r="E770" s="7">
        <v>1838</v>
      </c>
      <c r="F770" s="8" t="s">
        <v>150</v>
      </c>
      <c r="G770" s="2">
        <v>4.9999999999998934E-2</v>
      </c>
      <c r="H770" s="11">
        <v>92</v>
      </c>
      <c r="I770" s="1">
        <v>2021</v>
      </c>
      <c r="J770" s="1" t="s">
        <v>12</v>
      </c>
      <c r="K770" s="1" t="s">
        <v>27</v>
      </c>
      <c r="L770" s="1" t="s">
        <v>34</v>
      </c>
    </row>
    <row r="771" spans="1:12" x14ac:dyDescent="0.3">
      <c r="A771" s="10">
        <v>483</v>
      </c>
      <c r="B771" s="10" t="s">
        <v>109</v>
      </c>
      <c r="C771" s="10" t="s">
        <v>66</v>
      </c>
      <c r="D771" s="10">
        <v>2024</v>
      </c>
      <c r="E771" s="7">
        <v>1838</v>
      </c>
      <c r="F771" s="8" t="s">
        <v>150</v>
      </c>
      <c r="G771" s="2">
        <v>6.0000000000002274E-2</v>
      </c>
      <c r="H771" s="11">
        <f>E771*G771</f>
        <v>110.28000000000418</v>
      </c>
      <c r="I771" s="1">
        <v>2021</v>
      </c>
      <c r="J771" s="1" t="s">
        <v>12</v>
      </c>
      <c r="K771" s="1" t="s">
        <v>27</v>
      </c>
      <c r="L771" s="1" t="s">
        <v>34</v>
      </c>
    </row>
    <row r="772" spans="1:12" x14ac:dyDescent="0.3">
      <c r="A772" s="13">
        <v>484</v>
      </c>
      <c r="B772" s="13" t="s">
        <v>109</v>
      </c>
      <c r="C772" s="13" t="s">
        <v>104</v>
      </c>
      <c r="D772" s="10">
        <v>2024</v>
      </c>
      <c r="E772" s="13"/>
      <c r="F772" s="8" t="s">
        <v>150</v>
      </c>
      <c r="G772" s="2">
        <v>0</v>
      </c>
      <c r="H772" s="3">
        <v>0</v>
      </c>
      <c r="I772" s="1">
        <v>2023</v>
      </c>
      <c r="J772" s="1"/>
      <c r="K772" s="1"/>
      <c r="L772" s="1" t="s">
        <v>154</v>
      </c>
    </row>
    <row r="773" spans="1:12" x14ac:dyDescent="0.3">
      <c r="A773" s="13">
        <v>485</v>
      </c>
      <c r="B773" s="13" t="s">
        <v>109</v>
      </c>
      <c r="C773" s="13" t="s">
        <v>102</v>
      </c>
      <c r="D773" s="10">
        <v>2024</v>
      </c>
      <c r="E773" s="13"/>
      <c r="F773" s="8" t="s">
        <v>150</v>
      </c>
      <c r="G773" s="2">
        <v>0</v>
      </c>
      <c r="H773" s="3">
        <v>0</v>
      </c>
      <c r="I773" s="1">
        <v>2023</v>
      </c>
      <c r="J773" s="1"/>
      <c r="K773" s="1"/>
      <c r="L773" s="1" t="s">
        <v>154</v>
      </c>
    </row>
    <row r="774" spans="1:12" x14ac:dyDescent="0.3">
      <c r="A774" s="12">
        <v>486</v>
      </c>
      <c r="B774" s="12" t="s">
        <v>167</v>
      </c>
      <c r="C774" s="12" t="s">
        <v>48</v>
      </c>
      <c r="D774" s="10">
        <v>2024</v>
      </c>
      <c r="E774" s="12"/>
      <c r="F774" s="8" t="s">
        <v>150</v>
      </c>
      <c r="G774" s="2">
        <v>0</v>
      </c>
      <c r="H774" s="3">
        <v>0</v>
      </c>
      <c r="I774" s="1">
        <v>2023</v>
      </c>
      <c r="J774" s="1"/>
      <c r="K774" s="1"/>
      <c r="L774" s="1" t="s">
        <v>154</v>
      </c>
    </row>
    <row r="775" spans="1:12" x14ac:dyDescent="0.3">
      <c r="A775" s="12">
        <v>487</v>
      </c>
      <c r="B775" s="12" t="s">
        <v>167</v>
      </c>
      <c r="C775" s="12" t="s">
        <v>50</v>
      </c>
      <c r="D775" s="10">
        <v>2024</v>
      </c>
      <c r="E775" s="12"/>
      <c r="F775" s="8" t="s">
        <v>150</v>
      </c>
      <c r="G775" s="2">
        <v>0</v>
      </c>
      <c r="H775" s="3">
        <v>0</v>
      </c>
      <c r="I775" s="1">
        <v>2023</v>
      </c>
      <c r="J775" s="1"/>
      <c r="K775" s="1"/>
      <c r="L775" s="1" t="s">
        <v>154</v>
      </c>
    </row>
    <row r="776" spans="1:12" x14ac:dyDescent="0.3">
      <c r="A776" s="10">
        <v>488</v>
      </c>
      <c r="B776" s="10" t="s">
        <v>167</v>
      </c>
      <c r="C776" s="10" t="s">
        <v>67</v>
      </c>
      <c r="D776" s="10">
        <v>2024</v>
      </c>
      <c r="E776" s="4">
        <v>1684</v>
      </c>
      <c r="F776" s="8" t="s">
        <v>150</v>
      </c>
      <c r="G776" s="2">
        <v>0.24</v>
      </c>
      <c r="H776" s="11">
        <v>404.15999999999997</v>
      </c>
      <c r="I776" s="5">
        <v>2018</v>
      </c>
      <c r="J776" s="1" t="s">
        <v>12</v>
      </c>
      <c r="K776" s="1"/>
      <c r="L776" s="1" t="s">
        <v>49</v>
      </c>
    </row>
    <row r="777" spans="1:12" x14ac:dyDescent="0.3">
      <c r="A777" s="10">
        <v>489</v>
      </c>
      <c r="B777" s="10" t="s">
        <v>167</v>
      </c>
      <c r="C777" s="10" t="s">
        <v>68</v>
      </c>
      <c r="D777" s="10">
        <v>2024</v>
      </c>
      <c r="E777" s="4">
        <v>1684</v>
      </c>
      <c r="F777" s="8" t="s">
        <v>150</v>
      </c>
      <c r="G777" s="2">
        <v>0.27</v>
      </c>
      <c r="H777" s="11">
        <v>454.68</v>
      </c>
      <c r="I777" s="5">
        <v>2018</v>
      </c>
      <c r="J777" s="1" t="s">
        <v>12</v>
      </c>
      <c r="K777" s="1"/>
      <c r="L777" s="1" t="s">
        <v>49</v>
      </c>
    </row>
    <row r="778" spans="1:12" x14ac:dyDescent="0.3">
      <c r="A778" s="10">
        <v>490</v>
      </c>
      <c r="B778" s="10" t="s">
        <v>167</v>
      </c>
      <c r="C778" s="10" t="s">
        <v>69</v>
      </c>
      <c r="D778" s="10">
        <v>2024</v>
      </c>
      <c r="E778" s="4">
        <v>1684</v>
      </c>
      <c r="F778" s="8" t="s">
        <v>150</v>
      </c>
      <c r="G778" s="2">
        <v>0.27000000000000135</v>
      </c>
      <c r="H778" s="11">
        <v>454.68000000000228</v>
      </c>
      <c r="I778" s="5">
        <v>2018</v>
      </c>
      <c r="J778" s="1" t="s">
        <v>12</v>
      </c>
      <c r="K778" s="1"/>
      <c r="L778" s="1" t="s">
        <v>49</v>
      </c>
    </row>
    <row r="779" spans="1:12" x14ac:dyDescent="0.3">
      <c r="A779" s="10">
        <v>491</v>
      </c>
      <c r="B779" s="10" t="s">
        <v>167</v>
      </c>
      <c r="C779" s="10" t="s">
        <v>70</v>
      </c>
      <c r="D779" s="10">
        <v>2024</v>
      </c>
      <c r="E779" s="4">
        <v>1262</v>
      </c>
      <c r="F779" s="8" t="s">
        <v>150</v>
      </c>
      <c r="G779" s="2">
        <v>0.36999999999999922</v>
      </c>
      <c r="H779" s="11">
        <v>466.93999999999903</v>
      </c>
      <c r="I779" s="5">
        <v>2018</v>
      </c>
      <c r="J779" s="1" t="s">
        <v>12</v>
      </c>
      <c r="K779" s="1"/>
      <c r="L779" s="1" t="s">
        <v>49</v>
      </c>
    </row>
    <row r="780" spans="1:12" x14ac:dyDescent="0.3">
      <c r="A780" s="10">
        <v>492</v>
      </c>
      <c r="B780" s="10" t="s">
        <v>167</v>
      </c>
      <c r="C780" s="10" t="s">
        <v>71</v>
      </c>
      <c r="D780" s="10">
        <v>2024</v>
      </c>
      <c r="E780" s="4">
        <v>1780.2</v>
      </c>
      <c r="F780" s="8" t="s">
        <v>150</v>
      </c>
      <c r="G780" s="2">
        <v>0.1899999999999995</v>
      </c>
      <c r="H780" s="11">
        <v>339</v>
      </c>
      <c r="I780" s="5">
        <v>2020</v>
      </c>
      <c r="J780" s="1" t="s">
        <v>12</v>
      </c>
      <c r="K780" s="1"/>
      <c r="L780" s="1" t="s">
        <v>46</v>
      </c>
    </row>
    <row r="781" spans="1:12" x14ac:dyDescent="0.3">
      <c r="A781" s="10">
        <v>493</v>
      </c>
      <c r="B781" s="10" t="s">
        <v>167</v>
      </c>
      <c r="C781" s="10" t="s">
        <v>72</v>
      </c>
      <c r="D781" s="10">
        <v>2024</v>
      </c>
      <c r="E781" s="4">
        <v>1780.2</v>
      </c>
      <c r="F781" s="8" t="s">
        <v>150</v>
      </c>
      <c r="G781" s="2">
        <v>0.17999999999999972</v>
      </c>
      <c r="H781" s="11">
        <v>320</v>
      </c>
      <c r="I781" s="5">
        <v>2020</v>
      </c>
      <c r="J781" s="1" t="s">
        <v>12</v>
      </c>
      <c r="K781" s="1"/>
      <c r="L781" s="1" t="s">
        <v>46</v>
      </c>
    </row>
    <row r="782" spans="1:12" x14ac:dyDescent="0.3">
      <c r="A782" s="10">
        <v>494</v>
      </c>
      <c r="B782" s="10" t="s">
        <v>167</v>
      </c>
      <c r="C782" s="10" t="s">
        <v>73</v>
      </c>
      <c r="D782" s="10">
        <v>2024</v>
      </c>
      <c r="E782" s="4">
        <v>1779.3333333333333</v>
      </c>
      <c r="F782" s="8" t="s">
        <v>150</v>
      </c>
      <c r="G782" s="2">
        <v>0.41000000000000003</v>
      </c>
      <c r="H782" s="11">
        <v>729.52666666666664</v>
      </c>
      <c r="I782" s="5">
        <v>2020</v>
      </c>
      <c r="J782" s="1" t="s">
        <v>12</v>
      </c>
      <c r="K782" s="1"/>
      <c r="L782" s="1" t="s">
        <v>46</v>
      </c>
    </row>
    <row r="783" spans="1:12" x14ac:dyDescent="0.3">
      <c r="A783" s="10">
        <v>495</v>
      </c>
      <c r="B783" s="10" t="s">
        <v>167</v>
      </c>
      <c r="C783" s="10" t="s">
        <v>74</v>
      </c>
      <c r="D783" s="10">
        <v>2024</v>
      </c>
      <c r="E783" s="8">
        <v>1894</v>
      </c>
      <c r="F783" s="8" t="s">
        <v>150</v>
      </c>
      <c r="G783" s="2">
        <v>0.90999999999999992</v>
      </c>
      <c r="H783" s="11">
        <v>1723.5399999999997</v>
      </c>
      <c r="I783" s="5">
        <v>2021</v>
      </c>
      <c r="J783" s="1" t="s">
        <v>12</v>
      </c>
      <c r="K783" s="1"/>
      <c r="L783" s="1" t="s">
        <v>49</v>
      </c>
    </row>
    <row r="784" spans="1:12" x14ac:dyDescent="0.3">
      <c r="A784" s="10">
        <v>496</v>
      </c>
      <c r="B784" s="10" t="s">
        <v>167</v>
      </c>
      <c r="C784" s="10" t="s">
        <v>75</v>
      </c>
      <c r="D784" s="10">
        <v>2024</v>
      </c>
      <c r="E784" s="8">
        <v>1894</v>
      </c>
      <c r="F784" s="8" t="s">
        <v>150</v>
      </c>
      <c r="G784" s="2">
        <v>0.19</v>
      </c>
      <c r="H784" s="11">
        <v>359.86</v>
      </c>
      <c r="I784" s="5">
        <v>2021</v>
      </c>
      <c r="J784" s="1" t="s">
        <v>12</v>
      </c>
      <c r="K784" s="1"/>
      <c r="L784" s="1" t="s">
        <v>49</v>
      </c>
    </row>
    <row r="785" spans="1:12" x14ac:dyDescent="0.3">
      <c r="A785" s="10">
        <v>497</v>
      </c>
      <c r="B785" s="10" t="s">
        <v>167</v>
      </c>
      <c r="C785" s="10" t="s">
        <v>76</v>
      </c>
      <c r="D785" s="10">
        <v>2024</v>
      </c>
      <c r="E785" s="8">
        <v>1894</v>
      </c>
      <c r="F785" s="8" t="s">
        <v>150</v>
      </c>
      <c r="G785" s="2">
        <v>0.28000000000000003</v>
      </c>
      <c r="H785" s="11">
        <v>530.32000000000005</v>
      </c>
      <c r="I785" s="5">
        <v>2021</v>
      </c>
      <c r="J785" s="1" t="s">
        <v>12</v>
      </c>
      <c r="K785" s="1"/>
      <c r="L785" s="1" t="s">
        <v>49</v>
      </c>
    </row>
    <row r="786" spans="1:12" x14ac:dyDescent="0.3">
      <c r="A786" s="10">
        <v>498</v>
      </c>
      <c r="B786" s="10" t="s">
        <v>167</v>
      </c>
      <c r="C786" s="10" t="s">
        <v>77</v>
      </c>
      <c r="D786" s="10">
        <v>2024</v>
      </c>
      <c r="E786" s="8">
        <v>1905</v>
      </c>
      <c r="F786" s="8" t="s">
        <v>150</v>
      </c>
      <c r="G786" s="2">
        <v>1.32</v>
      </c>
      <c r="H786" s="11">
        <v>849</v>
      </c>
      <c r="I786" s="5">
        <v>2021</v>
      </c>
      <c r="J786" s="1" t="s">
        <v>12</v>
      </c>
      <c r="K786" s="1"/>
      <c r="L786" s="1" t="s">
        <v>49</v>
      </c>
    </row>
    <row r="787" spans="1:12" x14ac:dyDescent="0.3">
      <c r="A787" s="10">
        <v>499</v>
      </c>
      <c r="B787" s="10" t="s">
        <v>135</v>
      </c>
      <c r="C787" s="10" t="s">
        <v>80</v>
      </c>
      <c r="D787" s="10">
        <v>2024</v>
      </c>
      <c r="E787" s="4">
        <v>1780</v>
      </c>
      <c r="F787" s="8" t="s">
        <v>150</v>
      </c>
      <c r="G787" s="2">
        <v>0</v>
      </c>
      <c r="H787" s="3">
        <v>0</v>
      </c>
      <c r="I787" s="5">
        <v>2021</v>
      </c>
      <c r="J787" s="1" t="s">
        <v>12</v>
      </c>
      <c r="K787" s="1" t="s">
        <v>27</v>
      </c>
      <c r="L787" s="1" t="s">
        <v>53</v>
      </c>
    </row>
    <row r="788" spans="1:12" x14ac:dyDescent="0.3">
      <c r="A788" s="10">
        <v>500</v>
      </c>
      <c r="B788" s="10" t="s">
        <v>112</v>
      </c>
      <c r="C788" s="10" t="s">
        <v>81</v>
      </c>
      <c r="D788" s="10">
        <v>2024</v>
      </c>
      <c r="E788" s="4">
        <v>1780</v>
      </c>
      <c r="F788" s="8" t="s">
        <v>150</v>
      </c>
      <c r="G788" s="2">
        <v>0.1899999999999995</v>
      </c>
      <c r="H788" s="6">
        <v>342</v>
      </c>
      <c r="I788" s="1">
        <v>2020</v>
      </c>
      <c r="J788" s="1" t="s">
        <v>12</v>
      </c>
      <c r="K788" s="1"/>
      <c r="L788" s="1" t="s">
        <v>46</v>
      </c>
    </row>
    <row r="789" spans="1:12" x14ac:dyDescent="0.3">
      <c r="A789" s="10">
        <v>501</v>
      </c>
      <c r="B789" s="10" t="s">
        <v>112</v>
      </c>
      <c r="C789" s="10" t="s">
        <v>82</v>
      </c>
      <c r="D789" s="10">
        <v>2024</v>
      </c>
      <c r="E789" s="4">
        <v>1780</v>
      </c>
      <c r="F789" s="8" t="s">
        <v>150</v>
      </c>
      <c r="G789" s="2">
        <v>1.9999999999999574E-2</v>
      </c>
      <c r="H789" s="6">
        <v>38</v>
      </c>
      <c r="I789" s="1">
        <v>2020</v>
      </c>
      <c r="J789" s="1" t="s">
        <v>12</v>
      </c>
      <c r="K789" s="1"/>
      <c r="L789" s="1" t="s">
        <v>46</v>
      </c>
    </row>
    <row r="790" spans="1:12" x14ac:dyDescent="0.3">
      <c r="A790" s="10">
        <v>502</v>
      </c>
      <c r="B790" s="10" t="s">
        <v>112</v>
      </c>
      <c r="C790" s="10" t="s">
        <v>51</v>
      </c>
      <c r="D790" s="10">
        <v>2024</v>
      </c>
      <c r="E790" s="4">
        <v>1780</v>
      </c>
      <c r="F790" s="8" t="s">
        <v>150</v>
      </c>
      <c r="G790" s="2">
        <v>5.9999999999999609E-2</v>
      </c>
      <c r="H790" s="6">
        <v>111</v>
      </c>
      <c r="I790" s="1">
        <v>2021</v>
      </c>
      <c r="J790" s="1" t="s">
        <v>12</v>
      </c>
      <c r="K790" s="1" t="s">
        <v>9</v>
      </c>
      <c r="L790" s="1" t="s">
        <v>46</v>
      </c>
    </row>
    <row r="791" spans="1:12" x14ac:dyDescent="0.3">
      <c r="A791" s="10">
        <v>503</v>
      </c>
      <c r="B791" s="10" t="s">
        <v>112</v>
      </c>
      <c r="C791" s="10" t="s">
        <v>84</v>
      </c>
      <c r="D791" s="10">
        <v>2024</v>
      </c>
      <c r="E791" s="4">
        <v>1632</v>
      </c>
      <c r="F791" s="8" t="s">
        <v>150</v>
      </c>
      <c r="G791" s="2">
        <v>1.0899999999999999</v>
      </c>
      <c r="H791" s="6">
        <v>235</v>
      </c>
      <c r="I791" s="1">
        <v>2016</v>
      </c>
      <c r="J791" s="1" t="s">
        <v>12</v>
      </c>
      <c r="K791" s="1" t="s">
        <v>27</v>
      </c>
      <c r="L791" s="1" t="s">
        <v>134</v>
      </c>
    </row>
    <row r="792" spans="1:12" x14ac:dyDescent="0.3">
      <c r="A792" s="10">
        <v>504</v>
      </c>
      <c r="B792" s="10" t="s">
        <v>112</v>
      </c>
      <c r="C792" s="10" t="s">
        <v>85</v>
      </c>
      <c r="D792" s="10">
        <v>2024</v>
      </c>
      <c r="E792" s="4">
        <v>1632</v>
      </c>
      <c r="F792" s="8" t="s">
        <v>150</v>
      </c>
      <c r="G792" s="2">
        <v>0.52999999999999936</v>
      </c>
      <c r="H792" s="6">
        <v>364</v>
      </c>
      <c r="I792" s="1">
        <v>2016</v>
      </c>
      <c r="J792" s="1" t="s">
        <v>12</v>
      </c>
      <c r="K792" s="1" t="s">
        <v>27</v>
      </c>
      <c r="L792" s="1" t="s">
        <v>134</v>
      </c>
    </row>
    <row r="793" spans="1:12" x14ac:dyDescent="0.3">
      <c r="A793" s="10">
        <v>505</v>
      </c>
      <c r="B793" s="10" t="s">
        <v>112</v>
      </c>
      <c r="C793" s="10" t="s">
        <v>86</v>
      </c>
      <c r="D793" s="10">
        <v>2024</v>
      </c>
      <c r="E793" s="4">
        <v>1632</v>
      </c>
      <c r="F793" s="8" t="s">
        <v>150</v>
      </c>
      <c r="G793" s="2">
        <v>0.18999999999999773</v>
      </c>
      <c r="H793" s="6">
        <v>152</v>
      </c>
      <c r="I793" s="1">
        <v>2016</v>
      </c>
      <c r="J793" s="1" t="s">
        <v>12</v>
      </c>
      <c r="K793" s="1" t="s">
        <v>27</v>
      </c>
      <c r="L793" s="1" t="s">
        <v>134</v>
      </c>
    </row>
    <row r="794" spans="1:12" x14ac:dyDescent="0.3">
      <c r="A794" s="10">
        <v>506</v>
      </c>
      <c r="B794" s="10" t="s">
        <v>112</v>
      </c>
      <c r="C794" s="10" t="s">
        <v>87</v>
      </c>
      <c r="D794" s="10">
        <v>2024</v>
      </c>
      <c r="E794" s="4">
        <v>1587</v>
      </c>
      <c r="F794" s="8" t="s">
        <v>150</v>
      </c>
      <c r="G794" s="2">
        <v>0.11000000000000032</v>
      </c>
      <c r="H794" s="6">
        <v>34</v>
      </c>
      <c r="I794" s="1">
        <v>2019</v>
      </c>
      <c r="J794" s="1" t="s">
        <v>12</v>
      </c>
      <c r="K794" s="1" t="s">
        <v>27</v>
      </c>
      <c r="L794" s="1" t="s">
        <v>134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Hoja38"/>
  <dimension ref="A1:F84"/>
  <sheetViews>
    <sheetView workbookViewId="0"/>
  </sheetViews>
  <sheetFormatPr baseColWidth="10" defaultRowHeight="14.4" x14ac:dyDescent="0.3"/>
  <sheetData>
    <row r="1" spans="1:6" x14ac:dyDescent="0.3">
      <c r="A1" s="59" t="s">
        <v>114</v>
      </c>
      <c r="B1" s="59" t="s">
        <v>164</v>
      </c>
      <c r="C1" s="60" t="s">
        <v>165</v>
      </c>
      <c r="D1" s="60" t="s">
        <v>166</v>
      </c>
      <c r="E1" s="60" t="s">
        <v>162</v>
      </c>
      <c r="F1" s="64" t="s">
        <v>168</v>
      </c>
    </row>
    <row r="2" spans="1:6" ht="15.6" x14ac:dyDescent="0.3">
      <c r="A2" s="48" t="s">
        <v>105</v>
      </c>
      <c r="B2" s="32" t="s">
        <v>6</v>
      </c>
      <c r="C2" s="28">
        <v>15.06</v>
      </c>
      <c r="D2" s="28">
        <v>15.03</v>
      </c>
      <c r="E2" s="28">
        <v>0.03</v>
      </c>
      <c r="F2" s="65">
        <f>C2-D2-E2</f>
        <v>1.1379786002407855E-15</v>
      </c>
    </row>
    <row r="3" spans="1:6" ht="15.6" x14ac:dyDescent="0.3">
      <c r="A3" s="49" t="s">
        <v>105</v>
      </c>
      <c r="B3" s="33" t="s">
        <v>11</v>
      </c>
      <c r="C3" s="29">
        <v>14.99</v>
      </c>
      <c r="D3" s="29">
        <v>14.86</v>
      </c>
      <c r="E3" s="29">
        <v>0.13</v>
      </c>
      <c r="F3" s="65">
        <f t="shared" ref="F3:F66" si="0">C3-D3-E3</f>
        <v>7.7715611723760958E-16</v>
      </c>
    </row>
    <row r="4" spans="1:6" ht="15.6" x14ac:dyDescent="0.3">
      <c r="A4" s="49" t="s">
        <v>105</v>
      </c>
      <c r="B4" s="33" t="s">
        <v>13</v>
      </c>
      <c r="C4" s="29">
        <v>14.28</v>
      </c>
      <c r="D4" s="29">
        <v>14.03</v>
      </c>
      <c r="E4" s="29">
        <v>0.25</v>
      </c>
      <c r="F4" s="65">
        <f t="shared" si="0"/>
        <v>0</v>
      </c>
    </row>
    <row r="5" spans="1:6" ht="15.6" x14ac:dyDescent="0.3">
      <c r="A5" s="49" t="s">
        <v>105</v>
      </c>
      <c r="B5" s="33" t="s">
        <v>14</v>
      </c>
      <c r="C5" s="29">
        <v>14.76</v>
      </c>
      <c r="D5" s="29">
        <v>14.67</v>
      </c>
      <c r="E5" s="29">
        <v>7.0000000000000007E-2</v>
      </c>
      <c r="F5" s="65">
        <f t="shared" si="0"/>
        <v>1.9999999999999851E-2</v>
      </c>
    </row>
    <row r="6" spans="1:6" ht="15.6" x14ac:dyDescent="0.3">
      <c r="A6" s="49" t="s">
        <v>105</v>
      </c>
      <c r="B6" s="33" t="s">
        <v>15</v>
      </c>
      <c r="C6" s="29">
        <v>14.85</v>
      </c>
      <c r="D6" s="29">
        <v>14.73</v>
      </c>
      <c r="E6" s="29">
        <v>0.1</v>
      </c>
      <c r="F6" s="65">
        <f t="shared" si="0"/>
        <v>1.9999999999999213E-2</v>
      </c>
    </row>
    <row r="7" spans="1:6" ht="15.6" x14ac:dyDescent="0.3">
      <c r="A7" s="49" t="s">
        <v>105</v>
      </c>
      <c r="B7" s="33" t="s">
        <v>16</v>
      </c>
      <c r="C7" s="29">
        <v>14.99</v>
      </c>
      <c r="D7" s="29">
        <v>14.97</v>
      </c>
      <c r="E7" s="29">
        <v>0.01</v>
      </c>
      <c r="F7" s="65">
        <f t="shared" si="0"/>
        <v>9.9999999999995735E-3</v>
      </c>
    </row>
    <row r="8" spans="1:6" ht="15.6" x14ac:dyDescent="0.3">
      <c r="A8" s="49" t="s">
        <v>105</v>
      </c>
      <c r="B8" s="33" t="s">
        <v>18</v>
      </c>
      <c r="C8" s="30">
        <v>14.99</v>
      </c>
      <c r="D8" s="29">
        <v>14.98</v>
      </c>
      <c r="E8" s="29">
        <v>0.01</v>
      </c>
      <c r="F8" s="65">
        <f t="shared" si="0"/>
        <v>-2.1337098754514727E-16</v>
      </c>
    </row>
    <row r="9" spans="1:6" ht="15.6" x14ac:dyDescent="0.3">
      <c r="A9" s="49" t="s">
        <v>105</v>
      </c>
      <c r="B9" s="33" t="s">
        <v>19</v>
      </c>
      <c r="C9" s="30">
        <v>12.8</v>
      </c>
      <c r="D9" s="29">
        <v>12.71</v>
      </c>
      <c r="E9" s="29">
        <v>0.06</v>
      </c>
      <c r="F9" s="65">
        <f t="shared" si="0"/>
        <v>2.999999999999986E-2</v>
      </c>
    </row>
    <row r="10" spans="1:6" ht="15.6" x14ac:dyDescent="0.3">
      <c r="A10" s="49" t="s">
        <v>105</v>
      </c>
      <c r="B10" s="33" t="s">
        <v>20</v>
      </c>
      <c r="C10" s="30">
        <v>14.4</v>
      </c>
      <c r="D10" s="29">
        <v>14.35</v>
      </c>
      <c r="E10" s="29">
        <v>0.05</v>
      </c>
      <c r="F10" s="65">
        <f t="shared" si="0"/>
        <v>7.0776717819853729E-16</v>
      </c>
    </row>
    <row r="11" spans="1:6" ht="15.6" x14ac:dyDescent="0.3">
      <c r="A11" s="49" t="s">
        <v>105</v>
      </c>
      <c r="B11" s="33" t="s">
        <v>21</v>
      </c>
      <c r="C11" s="30">
        <v>11.04</v>
      </c>
      <c r="D11" s="29">
        <v>10.89</v>
      </c>
      <c r="E11" s="29">
        <v>0.14000000000000001</v>
      </c>
      <c r="F11" s="65">
        <f t="shared" si="0"/>
        <v>9.9999999999985656E-3</v>
      </c>
    </row>
    <row r="12" spans="1:6" ht="15.6" x14ac:dyDescent="0.3">
      <c r="A12" s="49" t="s">
        <v>105</v>
      </c>
      <c r="B12" s="33" t="s">
        <v>22</v>
      </c>
      <c r="C12" s="30">
        <v>14.87</v>
      </c>
      <c r="D12" s="29">
        <v>14.54</v>
      </c>
      <c r="E12" s="29">
        <v>0.12</v>
      </c>
      <c r="F12" s="65">
        <f t="shared" si="0"/>
        <v>0.21000000000000008</v>
      </c>
    </row>
    <row r="13" spans="1:6" ht="15.6" x14ac:dyDescent="0.3">
      <c r="A13" s="49" t="s">
        <v>105</v>
      </c>
      <c r="B13" s="33" t="s">
        <v>23</v>
      </c>
      <c r="C13" s="30">
        <v>14.03</v>
      </c>
      <c r="D13" s="29">
        <v>14</v>
      </c>
      <c r="E13" s="29">
        <v>0.03</v>
      </c>
      <c r="F13" s="65">
        <f t="shared" si="0"/>
        <v>-6.3837823915946501E-16</v>
      </c>
    </row>
    <row r="14" spans="1:6" ht="15.6" x14ac:dyDescent="0.3">
      <c r="A14" s="49" t="s">
        <v>105</v>
      </c>
      <c r="B14" s="33" t="s">
        <v>24</v>
      </c>
      <c r="C14" s="30">
        <v>13.17</v>
      </c>
      <c r="D14" s="29">
        <v>13.1</v>
      </c>
      <c r="E14" s="29">
        <v>7.0000000000000007E-2</v>
      </c>
      <c r="F14" s="65">
        <f t="shared" si="0"/>
        <v>2.7755575615628914E-16</v>
      </c>
    </row>
    <row r="15" spans="1:6" ht="15.6" x14ac:dyDescent="0.3">
      <c r="A15" s="49" t="s">
        <v>105</v>
      </c>
      <c r="B15" s="33" t="s">
        <v>25</v>
      </c>
      <c r="C15" s="30">
        <v>14.88</v>
      </c>
      <c r="D15" s="29">
        <v>14.81</v>
      </c>
      <c r="E15" s="29">
        <v>0.05</v>
      </c>
      <c r="F15" s="65">
        <f t="shared" si="0"/>
        <v>2.0000000000000281E-2</v>
      </c>
    </row>
    <row r="16" spans="1:6" ht="15.6" x14ac:dyDescent="0.3">
      <c r="A16" s="49" t="s">
        <v>105</v>
      </c>
      <c r="B16" s="33" t="s">
        <v>26</v>
      </c>
      <c r="C16" s="30">
        <v>12.63</v>
      </c>
      <c r="D16" s="29">
        <v>12.36</v>
      </c>
      <c r="E16" s="29">
        <v>0.03</v>
      </c>
      <c r="F16" s="65">
        <f t="shared" si="0"/>
        <v>0.24000000000000135</v>
      </c>
    </row>
    <row r="17" spans="1:6" ht="15.6" x14ac:dyDescent="0.3">
      <c r="A17" s="49" t="s">
        <v>105</v>
      </c>
      <c r="B17" s="33" t="s">
        <v>29</v>
      </c>
      <c r="C17" s="30">
        <v>11.78</v>
      </c>
      <c r="D17" s="29">
        <v>10.79</v>
      </c>
      <c r="E17" s="29">
        <v>0.17</v>
      </c>
      <c r="F17" s="65">
        <f t="shared" si="0"/>
        <v>0.82000000000000017</v>
      </c>
    </row>
    <row r="18" spans="1:6" ht="15.6" x14ac:dyDescent="0.3">
      <c r="A18" s="49" t="s">
        <v>105</v>
      </c>
      <c r="B18" s="33" t="s">
        <v>30</v>
      </c>
      <c r="C18" s="29">
        <v>16.3</v>
      </c>
      <c r="D18" s="29">
        <v>16.190000000000001</v>
      </c>
      <c r="E18" s="29">
        <v>7.0000000000000007E-2</v>
      </c>
      <c r="F18" s="65">
        <f t="shared" si="0"/>
        <v>3.9999999999999425E-2</v>
      </c>
    </row>
    <row r="19" spans="1:6" ht="15.6" x14ac:dyDescent="0.3">
      <c r="A19" s="49" t="s">
        <v>105</v>
      </c>
      <c r="B19" s="33" t="s">
        <v>31</v>
      </c>
      <c r="C19" s="29">
        <v>13.23</v>
      </c>
      <c r="D19" s="29">
        <v>13.13</v>
      </c>
      <c r="E19" s="29">
        <v>0.04</v>
      </c>
      <c r="F19" s="65">
        <f t="shared" si="0"/>
        <v>5.9999999999999644E-2</v>
      </c>
    </row>
    <row r="20" spans="1:6" ht="15.6" x14ac:dyDescent="0.3">
      <c r="A20" s="49" t="s">
        <v>105</v>
      </c>
      <c r="B20" s="33" t="s">
        <v>32</v>
      </c>
      <c r="C20" s="29">
        <v>13.99</v>
      </c>
      <c r="D20" s="29">
        <v>13.99</v>
      </c>
      <c r="E20" s="29">
        <v>0</v>
      </c>
      <c r="F20" s="65">
        <f t="shared" si="0"/>
        <v>0</v>
      </c>
    </row>
    <row r="21" spans="1:6" ht="15.6" x14ac:dyDescent="0.3">
      <c r="A21" s="49" t="s">
        <v>105</v>
      </c>
      <c r="B21" s="33" t="s">
        <v>33</v>
      </c>
      <c r="C21" s="29">
        <v>14.41</v>
      </c>
      <c r="D21" s="29">
        <v>14.37</v>
      </c>
      <c r="E21" s="29">
        <v>0.02</v>
      </c>
      <c r="F21" s="65">
        <f t="shared" si="0"/>
        <v>2.0000000000000923E-2</v>
      </c>
    </row>
    <row r="22" spans="1:6" ht="15.6" x14ac:dyDescent="0.3">
      <c r="A22" s="49" t="s">
        <v>105</v>
      </c>
      <c r="B22" s="33" t="s">
        <v>35</v>
      </c>
      <c r="C22" s="29">
        <v>14.27</v>
      </c>
      <c r="D22" s="29">
        <v>14.26</v>
      </c>
      <c r="E22" s="29">
        <v>0</v>
      </c>
      <c r="F22" s="65">
        <f t="shared" si="0"/>
        <v>9.9999999999997868E-3</v>
      </c>
    </row>
    <row r="23" spans="1:6" ht="15.6" x14ac:dyDescent="0.3">
      <c r="A23" s="49" t="s">
        <v>105</v>
      </c>
      <c r="B23" s="33" t="s">
        <v>36</v>
      </c>
      <c r="C23" s="29">
        <v>14.65</v>
      </c>
      <c r="D23" s="29">
        <v>14.63</v>
      </c>
      <c r="E23" s="29">
        <v>0.01</v>
      </c>
      <c r="F23" s="65">
        <f t="shared" si="0"/>
        <v>9.9999999999995735E-3</v>
      </c>
    </row>
    <row r="24" spans="1:6" ht="15.6" x14ac:dyDescent="0.3">
      <c r="A24" s="49" t="s">
        <v>105</v>
      </c>
      <c r="B24" s="33" t="s">
        <v>37</v>
      </c>
      <c r="C24" s="29">
        <v>14.87</v>
      </c>
      <c r="D24" s="29">
        <v>14.58</v>
      </c>
      <c r="E24" s="29">
        <v>0.09</v>
      </c>
      <c r="F24" s="65">
        <f t="shared" si="0"/>
        <v>0.19999999999999915</v>
      </c>
    </row>
    <row r="25" spans="1:6" ht="15.6" x14ac:dyDescent="0.3">
      <c r="A25" s="49" t="s">
        <v>105</v>
      </c>
      <c r="B25" s="33" t="s">
        <v>38</v>
      </c>
      <c r="C25" s="29">
        <v>14.74</v>
      </c>
      <c r="D25" s="29">
        <v>14.67</v>
      </c>
      <c r="E25" s="29">
        <v>0.02</v>
      </c>
      <c r="F25" s="65">
        <f t="shared" si="0"/>
        <v>5.000000000000028E-2</v>
      </c>
    </row>
    <row r="26" spans="1:6" ht="15.6" x14ac:dyDescent="0.3">
      <c r="A26" s="49" t="s">
        <v>105</v>
      </c>
      <c r="B26" s="33" t="s">
        <v>39</v>
      </c>
      <c r="C26" s="29">
        <v>14.96</v>
      </c>
      <c r="D26" s="29">
        <v>14.88</v>
      </c>
      <c r="E26" s="29">
        <v>0.02</v>
      </c>
      <c r="F26" s="65">
        <f t="shared" si="0"/>
        <v>6.0000000000000067E-2</v>
      </c>
    </row>
    <row r="27" spans="1:6" ht="15.6" x14ac:dyDescent="0.3">
      <c r="A27" s="49" t="s">
        <v>105</v>
      </c>
      <c r="B27" s="33" t="s">
        <v>40</v>
      </c>
      <c r="C27" s="29">
        <v>13.73</v>
      </c>
      <c r="D27" s="29">
        <v>13.55</v>
      </c>
      <c r="E27" s="29">
        <v>0.11</v>
      </c>
      <c r="F27" s="65">
        <f t="shared" si="0"/>
        <v>6.9999999999999715E-2</v>
      </c>
    </row>
    <row r="28" spans="1:6" ht="15.6" x14ac:dyDescent="0.3">
      <c r="A28" s="49" t="s">
        <v>105</v>
      </c>
      <c r="B28" s="33" t="s">
        <v>41</v>
      </c>
      <c r="C28" s="29">
        <v>12.29</v>
      </c>
      <c r="D28" s="29">
        <v>12.14</v>
      </c>
      <c r="E28" s="29">
        <v>0.06</v>
      </c>
      <c r="F28" s="65">
        <f t="shared" si="0"/>
        <v>8.9999999999998581E-2</v>
      </c>
    </row>
    <row r="29" spans="1:6" ht="15.6" x14ac:dyDescent="0.3">
      <c r="A29" s="49" t="s">
        <v>105</v>
      </c>
      <c r="B29" s="33" t="s">
        <v>42</v>
      </c>
      <c r="C29" s="29">
        <v>15</v>
      </c>
      <c r="D29" s="29">
        <v>14.78</v>
      </c>
      <c r="E29" s="29">
        <v>0.05</v>
      </c>
      <c r="F29" s="65">
        <f t="shared" si="0"/>
        <v>0.17000000000000065</v>
      </c>
    </row>
    <row r="30" spans="1:6" ht="15.6" x14ac:dyDescent="0.3">
      <c r="A30" s="49" t="s">
        <v>105</v>
      </c>
      <c r="B30" s="33" t="s">
        <v>43</v>
      </c>
      <c r="C30" s="29">
        <v>15</v>
      </c>
      <c r="D30" s="29">
        <v>14.67</v>
      </c>
      <c r="E30" s="29">
        <v>7.0000000000000007E-2</v>
      </c>
      <c r="F30" s="65">
        <f t="shared" si="0"/>
        <v>0.26000000000000006</v>
      </c>
    </row>
    <row r="31" spans="1:6" ht="15.6" x14ac:dyDescent="0.3">
      <c r="A31" s="50" t="s">
        <v>105</v>
      </c>
      <c r="B31" s="34" t="s">
        <v>44</v>
      </c>
      <c r="C31" s="61">
        <v>14.77</v>
      </c>
      <c r="D31" s="31"/>
      <c r="E31" s="31">
        <v>14.77</v>
      </c>
      <c r="F31" s="65">
        <f t="shared" si="0"/>
        <v>0</v>
      </c>
    </row>
    <row r="32" spans="1:6" ht="15.6" x14ac:dyDescent="0.3">
      <c r="A32" s="51" t="s">
        <v>106</v>
      </c>
      <c r="B32" s="32" t="s">
        <v>45</v>
      </c>
      <c r="C32" s="28">
        <v>8.08</v>
      </c>
      <c r="D32" s="28">
        <v>7.93</v>
      </c>
      <c r="E32" s="28">
        <v>0</v>
      </c>
      <c r="F32" s="65">
        <f t="shared" si="0"/>
        <v>0.15000000000000036</v>
      </c>
    </row>
    <row r="33" spans="1:6" ht="15.6" x14ac:dyDescent="0.3">
      <c r="A33" s="52" t="s">
        <v>106</v>
      </c>
      <c r="B33" s="35" t="s">
        <v>47</v>
      </c>
      <c r="C33" s="31">
        <v>8.77</v>
      </c>
      <c r="D33" s="29">
        <v>8.68</v>
      </c>
      <c r="E33" s="29">
        <v>0</v>
      </c>
      <c r="F33" s="65">
        <f t="shared" si="0"/>
        <v>8.9999999999999858E-2</v>
      </c>
    </row>
    <row r="34" spans="1:6" ht="15.6" x14ac:dyDescent="0.3">
      <c r="A34" s="51" t="s">
        <v>107</v>
      </c>
      <c r="B34" s="25" t="s">
        <v>48</v>
      </c>
      <c r="C34" s="62">
        <v>17.79</v>
      </c>
      <c r="D34" s="28">
        <v>14.96</v>
      </c>
      <c r="E34" s="28">
        <v>0.11</v>
      </c>
      <c r="F34" s="65">
        <f t="shared" si="0"/>
        <v>2.7199999999999984</v>
      </c>
    </row>
    <row r="35" spans="1:6" ht="15.6" x14ac:dyDescent="0.3">
      <c r="A35" s="52" t="s">
        <v>107</v>
      </c>
      <c r="B35" s="27" t="s">
        <v>50</v>
      </c>
      <c r="C35" s="63">
        <v>19.899999999999999</v>
      </c>
      <c r="D35" s="29">
        <v>17.25</v>
      </c>
      <c r="E35" s="29">
        <v>0.28000000000000003</v>
      </c>
      <c r="F35" s="65">
        <f t="shared" si="0"/>
        <v>2.3699999999999983</v>
      </c>
    </row>
    <row r="36" spans="1:6" ht="15.6" x14ac:dyDescent="0.3">
      <c r="A36" s="51" t="s">
        <v>108</v>
      </c>
      <c r="B36" s="25" t="s">
        <v>51</v>
      </c>
      <c r="C36" s="28">
        <v>7.44</v>
      </c>
      <c r="D36" s="28">
        <v>7.39</v>
      </c>
      <c r="E36" s="28">
        <v>0.05</v>
      </c>
      <c r="F36" s="65">
        <f t="shared" si="0"/>
        <v>7.0776717819853729E-16</v>
      </c>
    </row>
    <row r="37" spans="1:6" ht="15.6" x14ac:dyDescent="0.3">
      <c r="A37" s="53" t="s">
        <v>108</v>
      </c>
      <c r="B37" s="26" t="s">
        <v>52</v>
      </c>
      <c r="C37" s="29">
        <v>2.29</v>
      </c>
      <c r="D37" s="29">
        <v>2.25</v>
      </c>
      <c r="E37" s="29">
        <v>0.04</v>
      </c>
      <c r="F37" s="65">
        <f t="shared" si="0"/>
        <v>0</v>
      </c>
    </row>
    <row r="38" spans="1:6" ht="15.6" x14ac:dyDescent="0.3">
      <c r="A38" s="53" t="s">
        <v>108</v>
      </c>
      <c r="B38" s="26" t="s">
        <v>54</v>
      </c>
      <c r="C38" s="29">
        <v>13.61</v>
      </c>
      <c r="D38" s="29">
        <v>13.27</v>
      </c>
      <c r="E38" s="29">
        <v>0.33999999999999986</v>
      </c>
      <c r="F38" s="65">
        <f t="shared" si="0"/>
        <v>0</v>
      </c>
    </row>
    <row r="39" spans="1:6" ht="15.6" x14ac:dyDescent="0.3">
      <c r="A39" s="53" t="s">
        <v>108</v>
      </c>
      <c r="B39" s="26" t="s">
        <v>55</v>
      </c>
      <c r="C39" s="30">
        <v>11.9</v>
      </c>
      <c r="D39" s="29">
        <v>11.34</v>
      </c>
      <c r="E39" s="29">
        <v>0.56000000000000005</v>
      </c>
      <c r="F39" s="65">
        <f t="shared" si="0"/>
        <v>0</v>
      </c>
    </row>
    <row r="40" spans="1:6" ht="15.6" x14ac:dyDescent="0.3">
      <c r="A40" s="53" t="s">
        <v>108</v>
      </c>
      <c r="B40" s="26" t="s">
        <v>56</v>
      </c>
      <c r="C40" s="29">
        <v>13.82</v>
      </c>
      <c r="D40" s="29">
        <v>13.7</v>
      </c>
      <c r="E40" s="29">
        <v>7.0000000000000007E-2</v>
      </c>
      <c r="F40" s="65">
        <f t="shared" si="0"/>
        <v>5.0000000000000988E-2</v>
      </c>
    </row>
    <row r="41" spans="1:6" ht="15.6" x14ac:dyDescent="0.3">
      <c r="A41" s="53" t="s">
        <v>108</v>
      </c>
      <c r="B41" s="26" t="s">
        <v>57</v>
      </c>
      <c r="C41" s="29">
        <v>14.16</v>
      </c>
      <c r="D41" s="29">
        <v>13.96</v>
      </c>
      <c r="E41" s="29">
        <v>0.13</v>
      </c>
      <c r="F41" s="65">
        <f t="shared" si="0"/>
        <v>6.9999999999999285E-2</v>
      </c>
    </row>
    <row r="42" spans="1:6" ht="15.6" x14ac:dyDescent="0.3">
      <c r="A42" s="52" t="s">
        <v>108</v>
      </c>
      <c r="B42" s="27" t="s">
        <v>58</v>
      </c>
      <c r="C42" s="31">
        <v>7.22</v>
      </c>
      <c r="D42" s="31">
        <v>6.94</v>
      </c>
      <c r="E42" s="31">
        <v>0.27</v>
      </c>
      <c r="F42" s="65">
        <f t="shared" si="0"/>
        <v>9.9999999999993427E-3</v>
      </c>
    </row>
    <row r="43" spans="1:6" ht="15.6" x14ac:dyDescent="0.3">
      <c r="A43" s="54" t="s">
        <v>109</v>
      </c>
      <c r="B43" s="36" t="s">
        <v>59</v>
      </c>
      <c r="C43" s="28">
        <v>7.21</v>
      </c>
      <c r="D43" s="28">
        <v>6.91</v>
      </c>
      <c r="E43" s="28">
        <v>0</v>
      </c>
      <c r="F43" s="65">
        <f t="shared" si="0"/>
        <v>0.29999999999999982</v>
      </c>
    </row>
    <row r="44" spans="1:6" ht="15.6" x14ac:dyDescent="0.3">
      <c r="A44" s="54" t="s">
        <v>109</v>
      </c>
      <c r="B44" s="37" t="s">
        <v>60</v>
      </c>
      <c r="C44" s="29">
        <v>3.77</v>
      </c>
      <c r="D44" s="29">
        <v>3.3</v>
      </c>
      <c r="E44" s="29">
        <v>0.34</v>
      </c>
      <c r="F44" s="65">
        <f t="shared" si="0"/>
        <v>0.13000000000000017</v>
      </c>
    </row>
    <row r="45" spans="1:6" ht="15.6" x14ac:dyDescent="0.3">
      <c r="A45" s="54" t="s">
        <v>109</v>
      </c>
      <c r="B45" s="26" t="s">
        <v>130</v>
      </c>
      <c r="C45" s="29">
        <v>10.67</v>
      </c>
      <c r="D45" s="29">
        <v>10.44</v>
      </c>
      <c r="E45" s="29">
        <v>0.09</v>
      </c>
      <c r="F45" s="65">
        <f t="shared" si="0"/>
        <v>0.14000000000000043</v>
      </c>
    </row>
    <row r="46" spans="1:6" ht="15.6" x14ac:dyDescent="0.3">
      <c r="A46" s="54" t="s">
        <v>109</v>
      </c>
      <c r="B46" s="26" t="s">
        <v>63</v>
      </c>
      <c r="C46" s="29">
        <v>14.68</v>
      </c>
      <c r="D46" s="29">
        <v>14.18</v>
      </c>
      <c r="E46" s="29">
        <v>0.33</v>
      </c>
      <c r="F46" s="65">
        <f t="shared" si="0"/>
        <v>0.16999999999999998</v>
      </c>
    </row>
    <row r="47" spans="1:6" ht="15.6" x14ac:dyDescent="0.3">
      <c r="A47" s="54" t="s">
        <v>109</v>
      </c>
      <c r="B47" s="26" t="s">
        <v>64</v>
      </c>
      <c r="C47" s="29">
        <v>13.64</v>
      </c>
      <c r="D47" s="29">
        <v>13.57</v>
      </c>
      <c r="E47" s="29">
        <v>7.0000000000000007E-2</v>
      </c>
      <c r="F47" s="65">
        <f t="shared" si="0"/>
        <v>2.7755575615628914E-16</v>
      </c>
    </row>
    <row r="48" spans="1:6" ht="15.6" x14ac:dyDescent="0.3">
      <c r="A48" s="54" t="s">
        <v>109</v>
      </c>
      <c r="B48" s="26" t="s">
        <v>65</v>
      </c>
      <c r="C48" s="30">
        <v>13.12</v>
      </c>
      <c r="D48" s="30">
        <v>12.43</v>
      </c>
      <c r="E48" s="30">
        <v>0.64</v>
      </c>
      <c r="F48" s="65">
        <f t="shared" si="0"/>
        <v>4.9999999999999489E-2</v>
      </c>
    </row>
    <row r="49" spans="1:6" ht="15.6" x14ac:dyDescent="0.3">
      <c r="A49" s="54" t="s">
        <v>109</v>
      </c>
      <c r="B49" s="27" t="s">
        <v>66</v>
      </c>
      <c r="C49" s="30">
        <v>12.71</v>
      </c>
      <c r="D49" s="30">
        <v>11.94</v>
      </c>
      <c r="E49" s="30">
        <v>0.71</v>
      </c>
      <c r="F49" s="65">
        <f t="shared" si="0"/>
        <v>6.0000000000001386E-2</v>
      </c>
    </row>
    <row r="50" spans="1:6" ht="31.2" x14ac:dyDescent="0.3">
      <c r="A50" s="55" t="s">
        <v>167</v>
      </c>
      <c r="B50" s="25" t="s">
        <v>67</v>
      </c>
      <c r="C50" s="28">
        <v>10.24</v>
      </c>
      <c r="D50" s="62">
        <v>9.99</v>
      </c>
      <c r="E50" s="28">
        <v>0.16</v>
      </c>
      <c r="F50" s="65">
        <f t="shared" si="0"/>
        <v>0.09</v>
      </c>
    </row>
    <row r="51" spans="1:6" ht="31.2" x14ac:dyDescent="0.3">
      <c r="A51" s="55" t="s">
        <v>167</v>
      </c>
      <c r="B51" s="26" t="s">
        <v>68</v>
      </c>
      <c r="C51" s="29">
        <v>13.54</v>
      </c>
      <c r="D51" s="29">
        <v>13.27</v>
      </c>
      <c r="E51" s="29">
        <v>0.13</v>
      </c>
      <c r="F51" s="65">
        <f t="shared" si="0"/>
        <v>0.13999999999999957</v>
      </c>
    </row>
    <row r="52" spans="1:6" ht="31.2" x14ac:dyDescent="0.3">
      <c r="A52" s="55" t="s">
        <v>167</v>
      </c>
      <c r="B52" s="26" t="s">
        <v>69</v>
      </c>
      <c r="C52" s="29">
        <v>14.81</v>
      </c>
      <c r="D52" s="29">
        <v>14.54</v>
      </c>
      <c r="E52" s="29">
        <v>7.0000000000000007E-2</v>
      </c>
      <c r="F52" s="65">
        <f t="shared" si="0"/>
        <v>0.20000000000000134</v>
      </c>
    </row>
    <row r="53" spans="1:6" ht="31.2" x14ac:dyDescent="0.3">
      <c r="A53" s="55" t="s">
        <v>167</v>
      </c>
      <c r="B53" s="26" t="s">
        <v>70</v>
      </c>
      <c r="C53" s="29">
        <v>12.26</v>
      </c>
      <c r="D53" s="29">
        <v>11.89</v>
      </c>
      <c r="E53" s="29">
        <v>0.12</v>
      </c>
      <c r="F53" s="65">
        <f t="shared" si="0"/>
        <v>0.24999999999999922</v>
      </c>
    </row>
    <row r="54" spans="1:6" ht="31.2" x14ac:dyDescent="0.3">
      <c r="A54" s="55" t="s">
        <v>167</v>
      </c>
      <c r="B54" s="37" t="s">
        <v>71</v>
      </c>
      <c r="C54" s="29">
        <v>15</v>
      </c>
      <c r="D54" s="63">
        <v>14.81</v>
      </c>
      <c r="E54" s="29"/>
      <c r="F54" s="65">
        <f t="shared" si="0"/>
        <v>0.1899999999999995</v>
      </c>
    </row>
    <row r="55" spans="1:6" ht="31.2" x14ac:dyDescent="0.3">
      <c r="A55" s="55" t="s">
        <v>167</v>
      </c>
      <c r="B55" s="37" t="s">
        <v>72</v>
      </c>
      <c r="C55" s="29">
        <v>14.99</v>
      </c>
      <c r="D55" s="63">
        <v>14.81</v>
      </c>
      <c r="E55" s="29"/>
      <c r="F55" s="65">
        <f t="shared" si="0"/>
        <v>0.17999999999999972</v>
      </c>
    </row>
    <row r="56" spans="1:6" ht="31.2" x14ac:dyDescent="0.3">
      <c r="A56" s="55" t="s">
        <v>167</v>
      </c>
      <c r="B56" s="37" t="s">
        <v>73</v>
      </c>
      <c r="C56" s="29">
        <v>14.99</v>
      </c>
      <c r="D56" s="63">
        <v>13.54</v>
      </c>
      <c r="E56" s="29">
        <v>0.52</v>
      </c>
      <c r="F56" s="65">
        <f t="shared" si="0"/>
        <v>0.93000000000000105</v>
      </c>
    </row>
    <row r="57" spans="1:6" ht="31.2" x14ac:dyDescent="0.3">
      <c r="A57" s="55" t="s">
        <v>167</v>
      </c>
      <c r="B57" s="26" t="s">
        <v>74</v>
      </c>
      <c r="C57" s="30">
        <v>14.96</v>
      </c>
      <c r="D57" s="30">
        <v>14.05</v>
      </c>
      <c r="E57" s="30">
        <v>0.73</v>
      </c>
      <c r="F57" s="65">
        <f t="shared" si="0"/>
        <v>0.18000000000000016</v>
      </c>
    </row>
    <row r="58" spans="1:6" ht="31.2" x14ac:dyDescent="0.3">
      <c r="A58" s="55" t="s">
        <v>167</v>
      </c>
      <c r="B58" s="26" t="s">
        <v>75</v>
      </c>
      <c r="C58" s="30">
        <v>4.3600000000000003</v>
      </c>
      <c r="D58" s="30">
        <v>4.17</v>
      </c>
      <c r="E58" s="30">
        <v>0.12</v>
      </c>
      <c r="F58" s="65">
        <f t="shared" si="0"/>
        <v>7.0000000000000395E-2</v>
      </c>
    </row>
    <row r="59" spans="1:6" ht="31.2" x14ac:dyDescent="0.3">
      <c r="A59" s="55" t="s">
        <v>167</v>
      </c>
      <c r="B59" s="26" t="s">
        <v>76</v>
      </c>
      <c r="C59" s="30">
        <v>7.85</v>
      </c>
      <c r="D59" s="30">
        <v>7.57</v>
      </c>
      <c r="E59" s="30">
        <v>0.24</v>
      </c>
      <c r="F59" s="65">
        <f t="shared" si="0"/>
        <v>3.9999999999999369E-2</v>
      </c>
    </row>
    <row r="60" spans="1:6" ht="31.2" x14ac:dyDescent="0.3">
      <c r="A60" s="55" t="s">
        <v>167</v>
      </c>
      <c r="B60" s="27" t="s">
        <v>77</v>
      </c>
      <c r="C60" s="38">
        <v>13.08</v>
      </c>
      <c r="D60" s="38">
        <v>11.76</v>
      </c>
      <c r="E60" s="38">
        <v>0.88</v>
      </c>
      <c r="F60" s="65">
        <f t="shared" si="0"/>
        <v>0.44000000000000028</v>
      </c>
    </row>
    <row r="61" spans="1:6" ht="15.6" x14ac:dyDescent="0.3">
      <c r="A61" s="46" t="s">
        <v>111</v>
      </c>
      <c r="B61" s="39" t="s">
        <v>78</v>
      </c>
      <c r="C61" s="40">
        <v>2.81</v>
      </c>
      <c r="D61" s="40">
        <v>2.63</v>
      </c>
      <c r="E61" s="40">
        <v>0</v>
      </c>
      <c r="F61" s="65">
        <f t="shared" si="0"/>
        <v>0.18000000000000016</v>
      </c>
    </row>
    <row r="62" spans="1:6" ht="15.6" x14ac:dyDescent="0.3">
      <c r="A62" s="47" t="s">
        <v>116</v>
      </c>
      <c r="B62" s="39" t="s">
        <v>78</v>
      </c>
      <c r="C62" s="41">
        <v>1.58</v>
      </c>
      <c r="D62" s="41">
        <v>0</v>
      </c>
      <c r="E62" s="41">
        <v>1.58</v>
      </c>
      <c r="F62" s="65">
        <f t="shared" si="0"/>
        <v>0</v>
      </c>
    </row>
    <row r="63" spans="1:6" ht="15.6" x14ac:dyDescent="0.3">
      <c r="A63" s="47" t="s">
        <v>135</v>
      </c>
      <c r="B63" s="39" t="s">
        <v>80</v>
      </c>
      <c r="C63" s="41">
        <v>2.56</v>
      </c>
      <c r="D63" s="41"/>
      <c r="E63" s="41">
        <v>2.1800000000000002</v>
      </c>
      <c r="F63" s="65">
        <f t="shared" si="0"/>
        <v>0.37999999999999989</v>
      </c>
    </row>
    <row r="64" spans="1:6" ht="15.6" x14ac:dyDescent="0.3">
      <c r="A64" s="51" t="s">
        <v>112</v>
      </c>
      <c r="B64" s="25" t="s">
        <v>81</v>
      </c>
      <c r="C64" s="42">
        <v>14.77</v>
      </c>
      <c r="D64" s="42">
        <v>14.51</v>
      </c>
      <c r="E64" s="42">
        <v>7.0000000000000007E-2</v>
      </c>
      <c r="F64" s="65">
        <f t="shared" si="0"/>
        <v>0.18999999999999978</v>
      </c>
    </row>
    <row r="65" spans="1:6" ht="15.6" x14ac:dyDescent="0.3">
      <c r="A65" s="53" t="s">
        <v>112</v>
      </c>
      <c r="B65" s="26" t="s">
        <v>82</v>
      </c>
      <c r="C65" s="43">
        <v>14.77</v>
      </c>
      <c r="D65" s="43">
        <v>14.53</v>
      </c>
      <c r="E65" s="43">
        <v>0.22</v>
      </c>
      <c r="F65" s="65">
        <f t="shared" si="0"/>
        <v>2.0000000000000212E-2</v>
      </c>
    </row>
    <row r="66" spans="1:6" ht="15.6" x14ac:dyDescent="0.3">
      <c r="A66" s="53" t="s">
        <v>112</v>
      </c>
      <c r="B66" s="26" t="s">
        <v>51</v>
      </c>
      <c r="C66" s="43">
        <v>7.3</v>
      </c>
      <c r="D66" s="43">
        <v>6.74</v>
      </c>
      <c r="E66" s="43">
        <v>0.5</v>
      </c>
      <c r="F66" s="65">
        <f t="shared" si="0"/>
        <v>5.9999999999999609E-2</v>
      </c>
    </row>
    <row r="67" spans="1:6" ht="15.6" x14ac:dyDescent="0.3">
      <c r="A67" s="53" t="s">
        <v>112</v>
      </c>
      <c r="B67" s="26" t="s">
        <v>83</v>
      </c>
      <c r="C67" s="43">
        <v>11.6</v>
      </c>
      <c r="D67" s="43">
        <v>10.680000000000005</v>
      </c>
      <c r="E67" s="43">
        <v>0.5</v>
      </c>
      <c r="F67" s="65">
        <f t="shared" ref="F67:F84" si="1">C67-D67-E67</f>
        <v>0.4199999999999946</v>
      </c>
    </row>
    <row r="68" spans="1:6" ht="15.6" x14ac:dyDescent="0.3">
      <c r="A68" s="53" t="s">
        <v>112</v>
      </c>
      <c r="B68" s="26" t="s">
        <v>84</v>
      </c>
      <c r="C68" s="43">
        <v>15.24</v>
      </c>
      <c r="D68" s="43">
        <v>13.67999999999998</v>
      </c>
      <c r="E68" s="43">
        <v>0.35</v>
      </c>
      <c r="F68" s="65">
        <f t="shared" si="1"/>
        <v>1.2100000000000199</v>
      </c>
    </row>
    <row r="69" spans="1:6" ht="15.6" x14ac:dyDescent="0.3">
      <c r="A69" s="53" t="s">
        <v>112</v>
      </c>
      <c r="B69" s="26" t="s">
        <v>85</v>
      </c>
      <c r="C69" s="43">
        <v>15.17</v>
      </c>
      <c r="D69" s="43">
        <v>14.049999999999988</v>
      </c>
      <c r="E69" s="43">
        <v>0.39</v>
      </c>
      <c r="F69" s="65">
        <f t="shared" si="1"/>
        <v>0.73000000000001164</v>
      </c>
    </row>
    <row r="70" spans="1:6" ht="15.6" x14ac:dyDescent="0.3">
      <c r="A70" s="53" t="s">
        <v>112</v>
      </c>
      <c r="B70" s="26" t="s">
        <v>86</v>
      </c>
      <c r="C70" s="43">
        <v>13.7</v>
      </c>
      <c r="D70" s="43">
        <v>13.370000000000003</v>
      </c>
      <c r="E70" s="43">
        <v>0.33</v>
      </c>
      <c r="F70" s="65">
        <f t="shared" si="1"/>
        <v>-3.4972025275692431E-15</v>
      </c>
    </row>
    <row r="71" spans="1:6" ht="15.6" x14ac:dyDescent="0.3">
      <c r="A71" s="52" t="s">
        <v>112</v>
      </c>
      <c r="B71" s="27" t="s">
        <v>87</v>
      </c>
      <c r="C71" s="43">
        <v>6.4</v>
      </c>
      <c r="D71" s="43">
        <v>6.1299999999999972</v>
      </c>
      <c r="E71" s="43">
        <v>0.14000000000000001</v>
      </c>
      <c r="F71" s="65">
        <f t="shared" si="1"/>
        <v>0.13000000000000311</v>
      </c>
    </row>
    <row r="72" spans="1:6" ht="15.6" x14ac:dyDescent="0.3">
      <c r="A72" s="56" t="s">
        <v>163</v>
      </c>
      <c r="B72" s="25" t="s">
        <v>88</v>
      </c>
      <c r="C72" s="28">
        <v>15.46</v>
      </c>
      <c r="D72" s="28">
        <v>13.18</v>
      </c>
      <c r="E72" s="28">
        <v>2.0299999999999998</v>
      </c>
      <c r="F72" s="65">
        <f t="shared" si="1"/>
        <v>0.25000000000000133</v>
      </c>
    </row>
    <row r="73" spans="1:6" ht="15.6" x14ac:dyDescent="0.3">
      <c r="A73" s="57" t="s">
        <v>163</v>
      </c>
      <c r="B73" s="26" t="s">
        <v>89</v>
      </c>
      <c r="C73" s="29">
        <v>11.38</v>
      </c>
      <c r="D73" s="29">
        <v>9.33</v>
      </c>
      <c r="E73" s="29">
        <v>1.85</v>
      </c>
      <c r="F73" s="65">
        <f t="shared" si="1"/>
        <v>0.20000000000000062</v>
      </c>
    </row>
    <row r="74" spans="1:6" ht="15.6" x14ac:dyDescent="0.3">
      <c r="A74" s="57" t="s">
        <v>163</v>
      </c>
      <c r="B74" s="26" t="s">
        <v>90</v>
      </c>
      <c r="C74" s="30">
        <v>11.87</v>
      </c>
      <c r="D74" s="30">
        <v>0</v>
      </c>
      <c r="E74" s="30">
        <v>11.87</v>
      </c>
      <c r="F74" s="65">
        <f t="shared" si="1"/>
        <v>0</v>
      </c>
    </row>
    <row r="75" spans="1:6" ht="15.6" x14ac:dyDescent="0.3">
      <c r="A75" s="57" t="s">
        <v>163</v>
      </c>
      <c r="B75" s="26" t="s">
        <v>92</v>
      </c>
      <c r="C75" s="30">
        <v>15</v>
      </c>
      <c r="D75" s="30">
        <v>0</v>
      </c>
      <c r="E75" s="30">
        <v>15</v>
      </c>
      <c r="F75" s="65">
        <f t="shared" si="1"/>
        <v>0</v>
      </c>
    </row>
    <row r="76" spans="1:6" ht="15.6" x14ac:dyDescent="0.3">
      <c r="A76" s="57" t="s">
        <v>163</v>
      </c>
      <c r="B76" s="26" t="s">
        <v>80</v>
      </c>
      <c r="C76" s="30">
        <v>10.34</v>
      </c>
      <c r="D76" s="30">
        <v>0</v>
      </c>
      <c r="E76" s="30">
        <v>10.34</v>
      </c>
      <c r="F76" s="65">
        <f t="shared" si="1"/>
        <v>0</v>
      </c>
    </row>
    <row r="77" spans="1:6" ht="15.6" x14ac:dyDescent="0.3">
      <c r="A77" s="57" t="s">
        <v>163</v>
      </c>
      <c r="B77" s="26" t="s">
        <v>93</v>
      </c>
      <c r="C77" s="30">
        <v>15</v>
      </c>
      <c r="D77" s="30">
        <v>0</v>
      </c>
      <c r="E77" s="30">
        <v>15</v>
      </c>
      <c r="F77" s="65">
        <f t="shared" si="1"/>
        <v>0</v>
      </c>
    </row>
    <row r="78" spans="1:6" ht="15.6" x14ac:dyDescent="0.3">
      <c r="A78" s="57" t="s">
        <v>163</v>
      </c>
      <c r="B78" s="26" t="s">
        <v>94</v>
      </c>
      <c r="C78" s="30">
        <v>15</v>
      </c>
      <c r="D78" s="30">
        <v>0</v>
      </c>
      <c r="E78" s="30">
        <v>15</v>
      </c>
      <c r="F78" s="65">
        <f t="shared" si="1"/>
        <v>0</v>
      </c>
    </row>
    <row r="79" spans="1:6" ht="15.6" x14ac:dyDescent="0.3">
      <c r="A79" s="57" t="s">
        <v>163</v>
      </c>
      <c r="B79" s="26" t="s">
        <v>95</v>
      </c>
      <c r="C79" s="30">
        <v>15</v>
      </c>
      <c r="D79" s="30">
        <v>0</v>
      </c>
      <c r="E79" s="30">
        <v>15</v>
      </c>
      <c r="F79" s="65">
        <f t="shared" si="1"/>
        <v>0</v>
      </c>
    </row>
    <row r="80" spans="1:6" ht="15.6" x14ac:dyDescent="0.3">
      <c r="A80" s="57" t="s">
        <v>163</v>
      </c>
      <c r="B80" s="26" t="s">
        <v>96</v>
      </c>
      <c r="C80" s="30">
        <v>12.04</v>
      </c>
      <c r="D80" s="30">
        <v>0</v>
      </c>
      <c r="E80" s="30">
        <v>12.04</v>
      </c>
      <c r="F80" s="65">
        <f t="shared" si="1"/>
        <v>0</v>
      </c>
    </row>
    <row r="81" spans="1:6" ht="15.6" x14ac:dyDescent="0.3">
      <c r="A81" s="57" t="s">
        <v>163</v>
      </c>
      <c r="B81" s="26" t="s">
        <v>97</v>
      </c>
      <c r="C81" s="30">
        <v>16.8</v>
      </c>
      <c r="D81" s="30">
        <v>0</v>
      </c>
      <c r="E81" s="30">
        <v>16.8</v>
      </c>
      <c r="F81" s="65">
        <f t="shared" si="1"/>
        <v>0</v>
      </c>
    </row>
    <row r="82" spans="1:6" ht="15.6" x14ac:dyDescent="0.3">
      <c r="A82" s="57" t="s">
        <v>163</v>
      </c>
      <c r="B82" s="26" t="s">
        <v>98</v>
      </c>
      <c r="C82" s="30">
        <v>7.5</v>
      </c>
      <c r="D82" s="30">
        <v>0</v>
      </c>
      <c r="E82" s="30">
        <v>7.5</v>
      </c>
      <c r="F82" s="65">
        <f t="shared" si="1"/>
        <v>0</v>
      </c>
    </row>
    <row r="83" spans="1:6" ht="15.6" x14ac:dyDescent="0.3">
      <c r="A83" s="57" t="s">
        <v>163</v>
      </c>
      <c r="B83" s="26" t="s">
        <v>99</v>
      </c>
      <c r="C83" s="44">
        <v>18.510000000000002</v>
      </c>
      <c r="D83" s="44"/>
      <c r="E83" s="44">
        <v>18.510000000000002</v>
      </c>
      <c r="F83" s="65">
        <f t="shared" si="1"/>
        <v>0</v>
      </c>
    </row>
    <row r="84" spans="1:6" ht="15.6" x14ac:dyDescent="0.3">
      <c r="A84" s="58" t="s">
        <v>163</v>
      </c>
      <c r="B84" s="27" t="s">
        <v>100</v>
      </c>
      <c r="C84" s="45">
        <v>8.33</v>
      </c>
      <c r="D84" s="45"/>
      <c r="E84" s="44">
        <v>8.33</v>
      </c>
      <c r="F84" s="65">
        <f t="shared" si="1"/>
        <v>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Hoja40"/>
  <dimension ref="A3:H32"/>
  <sheetViews>
    <sheetView workbookViewId="0"/>
  </sheetViews>
  <sheetFormatPr baseColWidth="10" defaultRowHeight="14.4" x14ac:dyDescent="0.3"/>
  <sheetData>
    <row r="3" spans="1:8" x14ac:dyDescent="0.3">
      <c r="A3" s="19" t="s">
        <v>151</v>
      </c>
      <c r="C3" s="19" t="s">
        <v>146</v>
      </c>
    </row>
    <row r="4" spans="1:8" x14ac:dyDescent="0.3">
      <c r="C4">
        <v>2022</v>
      </c>
      <c r="F4">
        <v>2023</v>
      </c>
    </row>
    <row r="5" spans="1:8" x14ac:dyDescent="0.3">
      <c r="A5" s="19" t="s">
        <v>138</v>
      </c>
      <c r="B5" s="19" t="s">
        <v>115</v>
      </c>
      <c r="C5" t="s">
        <v>7</v>
      </c>
      <c r="D5" t="s">
        <v>162</v>
      </c>
      <c r="E5" t="s">
        <v>150</v>
      </c>
      <c r="F5" t="s">
        <v>7</v>
      </c>
      <c r="G5" t="s">
        <v>162</v>
      </c>
      <c r="H5" t="s">
        <v>150</v>
      </c>
    </row>
    <row r="6" spans="1:8" x14ac:dyDescent="0.3">
      <c r="A6" s="20" t="s">
        <v>108</v>
      </c>
      <c r="B6" s="20" t="s">
        <v>51</v>
      </c>
      <c r="C6" s="21">
        <v>7.39</v>
      </c>
      <c r="D6" s="21">
        <v>0.05</v>
      </c>
      <c r="E6" s="21"/>
      <c r="F6" s="21">
        <v>7.39</v>
      </c>
      <c r="G6" s="21">
        <v>0.05</v>
      </c>
      <c r="H6" s="21">
        <v>0</v>
      </c>
    </row>
    <row r="7" spans="1:8" x14ac:dyDescent="0.3">
      <c r="A7" s="20" t="s">
        <v>108</v>
      </c>
      <c r="B7" s="20" t="s">
        <v>131</v>
      </c>
      <c r="C7" s="21"/>
      <c r="D7" s="21"/>
      <c r="E7" s="21">
        <v>0</v>
      </c>
      <c r="F7" s="21"/>
      <c r="G7" s="21"/>
      <c r="H7" s="21"/>
    </row>
    <row r="8" spans="1:8" x14ac:dyDescent="0.3">
      <c r="A8" s="20" t="s">
        <v>108</v>
      </c>
      <c r="B8" s="20" t="s">
        <v>52</v>
      </c>
      <c r="C8" s="21">
        <v>2.25</v>
      </c>
      <c r="D8" s="21">
        <v>0.04</v>
      </c>
      <c r="E8" s="21">
        <v>0</v>
      </c>
      <c r="F8" s="21">
        <v>1.98</v>
      </c>
      <c r="G8" s="21">
        <v>0.62000000000000011</v>
      </c>
      <c r="H8" s="21">
        <v>0</v>
      </c>
    </row>
    <row r="9" spans="1:8" x14ac:dyDescent="0.3">
      <c r="A9" s="20" t="s">
        <v>108</v>
      </c>
      <c r="B9" s="20" t="s">
        <v>54</v>
      </c>
      <c r="C9" s="21">
        <v>13.27</v>
      </c>
      <c r="D9" s="21">
        <v>0.33999999999999986</v>
      </c>
      <c r="E9" s="21">
        <v>0</v>
      </c>
      <c r="F9" s="21">
        <v>12.45</v>
      </c>
      <c r="G9" s="21">
        <v>2.3200000000000003</v>
      </c>
      <c r="H9" s="21">
        <v>0</v>
      </c>
    </row>
    <row r="10" spans="1:8" x14ac:dyDescent="0.3">
      <c r="A10" s="20" t="s">
        <v>108</v>
      </c>
      <c r="B10" s="20" t="s">
        <v>55</v>
      </c>
      <c r="C10" s="21">
        <v>11.34</v>
      </c>
      <c r="D10" s="21">
        <v>0.56000000000000005</v>
      </c>
      <c r="E10" s="21">
        <v>0</v>
      </c>
      <c r="F10" s="21">
        <v>10.7</v>
      </c>
      <c r="G10" s="21">
        <v>1.2000000000000011</v>
      </c>
      <c r="H10" s="21">
        <v>0</v>
      </c>
    </row>
    <row r="11" spans="1:8" x14ac:dyDescent="0.3">
      <c r="A11" s="20" t="s">
        <v>108</v>
      </c>
      <c r="B11" s="20" t="s">
        <v>56</v>
      </c>
      <c r="C11" s="21">
        <v>13.7</v>
      </c>
      <c r="D11" s="21">
        <v>7.0000000000000007E-2</v>
      </c>
      <c r="E11" s="21">
        <v>5.0000000000000988E-2</v>
      </c>
      <c r="F11" s="21">
        <v>9.39</v>
      </c>
      <c r="G11" s="21">
        <v>4.379999999999999</v>
      </c>
      <c r="H11" s="21">
        <v>5.0000000000000711E-2</v>
      </c>
    </row>
    <row r="12" spans="1:8" x14ac:dyDescent="0.3">
      <c r="A12" s="20" t="s">
        <v>108</v>
      </c>
      <c r="B12" s="20" t="s">
        <v>57</v>
      </c>
      <c r="C12" s="21">
        <v>13.96</v>
      </c>
      <c r="D12" s="21">
        <v>0.13</v>
      </c>
      <c r="E12" s="21">
        <v>6.9999999999999285E-2</v>
      </c>
      <c r="F12" s="21">
        <v>11.41</v>
      </c>
      <c r="G12" s="21">
        <v>2.6799999999999997</v>
      </c>
      <c r="H12" s="21">
        <v>6.9999999999998508E-2</v>
      </c>
    </row>
    <row r="13" spans="1:8" x14ac:dyDescent="0.3">
      <c r="A13" s="20" t="s">
        <v>108</v>
      </c>
      <c r="B13" s="20" t="s">
        <v>58</v>
      </c>
      <c r="C13" s="21">
        <v>6.94</v>
      </c>
      <c r="D13" s="21">
        <v>0.27</v>
      </c>
      <c r="E13" s="21">
        <v>9.9999999999993427E-3</v>
      </c>
      <c r="F13" s="21">
        <v>6.19</v>
      </c>
      <c r="G13" s="21">
        <v>1.0199999999999996</v>
      </c>
      <c r="H13" s="21">
        <v>9.9999999999988987E-3</v>
      </c>
    </row>
    <row r="14" spans="1:8" x14ac:dyDescent="0.3">
      <c r="A14" s="20" t="s">
        <v>163</v>
      </c>
      <c r="C14" s="21">
        <v>22.509999999999998</v>
      </c>
      <c r="D14" s="21">
        <v>149.27000000000001</v>
      </c>
      <c r="E14" s="21">
        <v>0.45000000000000195</v>
      </c>
      <c r="F14" s="21">
        <v>166.67999999999998</v>
      </c>
      <c r="G14" s="21">
        <v>7.87</v>
      </c>
      <c r="H14" s="21">
        <v>0.45000000000000284</v>
      </c>
    </row>
    <row r="15" spans="1:8" x14ac:dyDescent="0.3">
      <c r="A15" s="20" t="s">
        <v>109</v>
      </c>
      <c r="C15" s="21">
        <v>72.77</v>
      </c>
      <c r="D15" s="21">
        <v>2.1800000000000002</v>
      </c>
      <c r="E15" s="21">
        <v>0.85000000000000153</v>
      </c>
      <c r="F15" s="21">
        <v>73.040000000000006</v>
      </c>
      <c r="G15" s="21">
        <v>21.91</v>
      </c>
      <c r="H15" s="21">
        <v>0.84000000000000152</v>
      </c>
    </row>
    <row r="16" spans="1:8" x14ac:dyDescent="0.3">
      <c r="A16" s="20" t="s">
        <v>167</v>
      </c>
      <c r="C16" s="21">
        <v>130.39999999999998</v>
      </c>
      <c r="D16" s="21">
        <v>2.9699999999999998</v>
      </c>
      <c r="E16" s="21">
        <v>2.7100000000000009</v>
      </c>
      <c r="F16" s="21">
        <v>130.41</v>
      </c>
      <c r="G16" s="21">
        <v>38.21</v>
      </c>
      <c r="H16" s="21">
        <v>4.63</v>
      </c>
    </row>
    <row r="17" spans="1:8" x14ac:dyDescent="0.3">
      <c r="A17" s="20" t="s">
        <v>155</v>
      </c>
      <c r="C17" s="21"/>
      <c r="D17" s="21"/>
      <c r="E17" s="21"/>
      <c r="F17" s="21">
        <v>0.82</v>
      </c>
      <c r="G17" s="21"/>
      <c r="H17" s="21">
        <v>7.0000000000000062E-2</v>
      </c>
    </row>
    <row r="18" spans="1:8" x14ac:dyDescent="0.3">
      <c r="A18" s="20" t="s">
        <v>107</v>
      </c>
      <c r="C18" s="21">
        <v>32.21</v>
      </c>
      <c r="D18" s="21">
        <v>0.39</v>
      </c>
      <c r="E18" s="21">
        <v>5.0899999999999963</v>
      </c>
      <c r="F18" s="21"/>
      <c r="G18" s="21"/>
      <c r="H18" s="21"/>
    </row>
    <row r="19" spans="1:8" x14ac:dyDescent="0.3">
      <c r="A19" s="20" t="s">
        <v>106</v>
      </c>
      <c r="C19" s="21">
        <v>16.61</v>
      </c>
      <c r="D19" s="21">
        <v>0</v>
      </c>
      <c r="E19" s="21">
        <v>0.24000000000000021</v>
      </c>
      <c r="F19" s="21"/>
      <c r="G19" s="21"/>
      <c r="H19" s="21"/>
    </row>
    <row r="20" spans="1:8" x14ac:dyDescent="0.3">
      <c r="A20" s="20" t="s">
        <v>112</v>
      </c>
      <c r="C20" s="21">
        <v>93.689999999999969</v>
      </c>
      <c r="D20" s="21">
        <v>2.5000000000000004</v>
      </c>
      <c r="E20" s="21">
        <v>2.7600000000000251</v>
      </c>
      <c r="F20" s="21">
        <v>94.27000000000001</v>
      </c>
      <c r="G20" s="21">
        <v>2.7800000000000011</v>
      </c>
      <c r="H20" s="21">
        <v>2.1899999999999959</v>
      </c>
    </row>
    <row r="21" spans="1:8" x14ac:dyDescent="0.3">
      <c r="A21" s="20" t="s">
        <v>111</v>
      </c>
      <c r="C21" s="21">
        <v>2.63</v>
      </c>
      <c r="D21" s="21">
        <v>0</v>
      </c>
      <c r="E21" s="21">
        <v>0.18000000000000016</v>
      </c>
      <c r="F21" s="21"/>
      <c r="G21" s="21"/>
      <c r="H21" s="21"/>
    </row>
    <row r="22" spans="1:8" x14ac:dyDescent="0.3">
      <c r="A22" s="20" t="s">
        <v>105</v>
      </c>
      <c r="C22" s="21">
        <v>406.65999999999997</v>
      </c>
      <c r="D22" s="21">
        <v>16.649999999999999</v>
      </c>
      <c r="E22" s="21">
        <v>2.4199999999999986</v>
      </c>
      <c r="F22" s="21">
        <v>420.6</v>
      </c>
      <c r="G22" s="21">
        <v>3.0600000000000014</v>
      </c>
      <c r="H22" s="21">
        <v>2.3899999999999975</v>
      </c>
    </row>
    <row r="23" spans="1:8" x14ac:dyDescent="0.3">
      <c r="A23" s="20" t="s">
        <v>116</v>
      </c>
      <c r="C23" s="21"/>
      <c r="D23" s="21">
        <v>1.58</v>
      </c>
      <c r="E23" s="21"/>
      <c r="F23" s="21">
        <v>1.45</v>
      </c>
      <c r="G23" s="21"/>
      <c r="H23" s="21">
        <v>0.13000000000000012</v>
      </c>
    </row>
    <row r="24" spans="1:8" x14ac:dyDescent="0.3">
      <c r="A24" s="20" t="s">
        <v>117</v>
      </c>
      <c r="C24" s="21"/>
      <c r="D24" s="21"/>
      <c r="E24" s="21"/>
      <c r="F24" s="21">
        <v>0.13</v>
      </c>
      <c r="G24" s="21">
        <v>37.22</v>
      </c>
      <c r="H24" s="21">
        <v>7.9999999999999988E-2</v>
      </c>
    </row>
    <row r="25" spans="1:8" x14ac:dyDescent="0.3">
      <c r="A25" s="20" t="s">
        <v>159</v>
      </c>
      <c r="C25" s="21"/>
      <c r="D25" s="21"/>
      <c r="E25" s="21"/>
      <c r="F25" s="21">
        <v>0.01</v>
      </c>
      <c r="G25" s="21"/>
      <c r="H25" s="21">
        <v>7.0000000000000007E-2</v>
      </c>
    </row>
    <row r="26" spans="1:8" x14ac:dyDescent="0.3">
      <c r="A26" s="20" t="s">
        <v>135</v>
      </c>
      <c r="C26" s="21">
        <v>0</v>
      </c>
      <c r="D26" s="21">
        <v>2.1800000000000002</v>
      </c>
      <c r="E26" s="21">
        <v>0.37999999999999989</v>
      </c>
      <c r="F26" s="21">
        <v>2</v>
      </c>
      <c r="G26" s="21">
        <v>0.56000000000000005</v>
      </c>
      <c r="H26" s="21">
        <v>0</v>
      </c>
    </row>
    <row r="27" spans="1:8" x14ac:dyDescent="0.3">
      <c r="A27" s="20" t="s">
        <v>156</v>
      </c>
      <c r="C27" s="21"/>
      <c r="D27" s="21"/>
      <c r="E27" s="21"/>
      <c r="F27" s="21">
        <v>0.5</v>
      </c>
      <c r="G27" s="21"/>
      <c r="H27" s="21">
        <v>1.0000000000000009E-2</v>
      </c>
    </row>
    <row r="28" spans="1:8" x14ac:dyDescent="0.3">
      <c r="A28" s="20" t="s">
        <v>160</v>
      </c>
      <c r="C28" s="21"/>
      <c r="D28" s="21"/>
      <c r="E28" s="21"/>
      <c r="F28" s="21">
        <v>0.33</v>
      </c>
      <c r="G28" s="21"/>
      <c r="H28" s="21">
        <v>7.0000000000000007E-2</v>
      </c>
    </row>
    <row r="29" spans="1:8" x14ac:dyDescent="0.3">
      <c r="A29" s="20" t="s">
        <v>161</v>
      </c>
      <c r="C29" s="21"/>
      <c r="D29" s="21"/>
      <c r="E29" s="21"/>
      <c r="F29" s="21">
        <v>0.01</v>
      </c>
      <c r="G29" s="21"/>
      <c r="H29" s="21">
        <v>7.0000000000000007E-2</v>
      </c>
    </row>
    <row r="30" spans="1:8" x14ac:dyDescent="0.3">
      <c r="A30" s="20" t="s">
        <v>157</v>
      </c>
      <c r="C30" s="21"/>
      <c r="D30" s="21"/>
      <c r="E30" s="21"/>
      <c r="F30" s="21">
        <v>0.01</v>
      </c>
      <c r="G30" s="21"/>
      <c r="H30" s="21">
        <v>0</v>
      </c>
    </row>
    <row r="31" spans="1:8" x14ac:dyDescent="0.3">
      <c r="A31" s="20" t="s">
        <v>158</v>
      </c>
      <c r="C31" s="21"/>
      <c r="D31" s="21"/>
      <c r="E31" s="21"/>
      <c r="F31" s="21">
        <v>0.3</v>
      </c>
      <c r="G31" s="21"/>
      <c r="H31" s="21">
        <v>3.0000000000000027E-2</v>
      </c>
    </row>
    <row r="32" spans="1:8" x14ac:dyDescent="0.3">
      <c r="A32" s="20" t="s">
        <v>126</v>
      </c>
      <c r="C32" s="21">
        <v>846.32999999999993</v>
      </c>
      <c r="D32" s="21">
        <v>179.18000000000004</v>
      </c>
      <c r="E32" s="21">
        <v>15.210000000000022</v>
      </c>
      <c r="F32" s="21">
        <v>950.07</v>
      </c>
      <c r="G32" s="21">
        <v>123.88</v>
      </c>
      <c r="H32" s="21">
        <v>11.159999999999997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_rels/item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.xml"/></Relationships>
</file>

<file path=customXml/_rels/item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.xml"/></Relationships>
</file>

<file path=customXml/_rels/item3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.xml"/></Relationships>
</file>

<file path=customXml/_rels/item3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�� 
</file>

<file path=customXml/item32.xml>�� 
</file>

<file path=customXml/item33.xml>�� 
</file>

<file path=customXml/item34.xml>�� 
</file>

<file path=customXml/item35.xml>�� 
</file>

<file path=customXml/item36.xml>�� 
</file>

<file path=customXml/itemProps1.xml><?xml version="1.0" encoding="utf-8"?>
<ds:datastoreItem xmlns:ds="http://schemas.openxmlformats.org/officeDocument/2006/customXml" ds:itemID="{BD37287A-6A71-4BE8-BB1B-C0749A3D89BA}">
  <ds:schemaRefs/>
</ds:datastoreItem>
</file>

<file path=customXml/itemProps2.xml><?xml version="1.0" encoding="utf-8"?>
<ds:datastoreItem xmlns:ds="http://schemas.openxmlformats.org/officeDocument/2006/customXml" ds:itemID="{D4B7446A-70BE-4FDF-A1C8-298CB5A356D3}">
  <ds:schemaRefs/>
</ds:datastoreItem>
</file>

<file path=customXml/itemProps3.xml><?xml version="1.0" encoding="utf-8"?>
<ds:datastoreItem xmlns:ds="http://schemas.openxmlformats.org/officeDocument/2006/customXml" ds:itemID="{960118C2-08CD-4819-89BF-51CA8ECAE367}">
  <ds:schemaRefs/>
</ds:datastoreItem>
</file>

<file path=customXml/itemProps4.xml><?xml version="1.0" encoding="utf-8"?>
<ds:datastoreItem xmlns:ds="http://schemas.openxmlformats.org/officeDocument/2006/customXml" ds:itemID="{EA6DDE23-6272-4F4F-8D64-2BA473D93F66}">
  <ds:schemaRefs/>
</ds:datastoreItem>
</file>

<file path=customXml/itemProps5.xml><?xml version="1.0" encoding="utf-8"?>
<ds:datastoreItem xmlns:ds="http://schemas.openxmlformats.org/officeDocument/2006/customXml" ds:itemID="{DA1C20B2-AFB7-4D91-9D09-7E96BEA1C929}">
  <ds:schemaRefs/>
</ds:datastoreItem>
</file>

<file path=customXml/itemProps6.xml><?xml version="1.0" encoding="utf-8"?>
<ds:datastoreItem xmlns:ds="http://schemas.openxmlformats.org/officeDocument/2006/customXml" ds:itemID="{80BC1E90-08FE-4568-8B95-6E81207D5042}">
  <ds:schemaRefs/>
</ds:datastoreItem>
</file>

<file path=customXml/itemProps7.xml><?xml version="1.0" encoding="utf-8"?>
<ds:datastoreItem xmlns:ds="http://schemas.openxmlformats.org/officeDocument/2006/customXml" ds:itemID="{62CBD146-4B8A-4E81-AC6C-18CBAE3B20CB}">
  <ds:schemaRefs/>
</ds:datastoreItem>
</file>

<file path=customXml/itemProps8.xml><?xml version="1.0" encoding="utf-8"?>
<ds:datastoreItem xmlns:ds="http://schemas.openxmlformats.org/officeDocument/2006/customXml" ds:itemID="{A6AF11DE-6BF8-4199-8452-15DB9FC05D3E}">
  <ds:schemaRefs/>
</ds:datastoreItem>
</file>

<file path=customXml/itemProps9.xml><?xml version="1.0" encoding="utf-8"?>
<ds:datastoreItem xmlns:ds="http://schemas.openxmlformats.org/officeDocument/2006/customXml" ds:itemID="{B663AF65-07DB-4550-81F9-2260A4CB877D}">
  <ds:schemaRefs/>
</ds:datastoreItem>
</file>

<file path=customXml/itemProps10.xml><?xml version="1.0" encoding="utf-8"?>
<ds:datastoreItem xmlns:ds="http://schemas.openxmlformats.org/officeDocument/2006/customXml" ds:itemID="{B73F12E0-8233-48C5-82D4-1CFCAD278CBE}">
  <ds:schemaRefs/>
</ds:datastoreItem>
</file>

<file path=customXml/itemProps11.xml><?xml version="1.0" encoding="utf-8"?>
<ds:datastoreItem xmlns:ds="http://schemas.openxmlformats.org/officeDocument/2006/customXml" ds:itemID="{96ED585C-0952-4B41-A191-199518F8DC28}">
  <ds:schemaRefs/>
</ds:datastoreItem>
</file>

<file path=customXml/itemProps12.xml><?xml version="1.0" encoding="utf-8"?>
<ds:datastoreItem xmlns:ds="http://schemas.openxmlformats.org/officeDocument/2006/customXml" ds:itemID="{F4F97E0F-505D-4F40-A939-C81DBBD10109}">
  <ds:schemaRefs/>
</ds:datastoreItem>
</file>

<file path=customXml/itemProps13.xml><?xml version="1.0" encoding="utf-8"?>
<ds:datastoreItem xmlns:ds="http://schemas.openxmlformats.org/officeDocument/2006/customXml" ds:itemID="{FAFC333F-A8E0-43CD-8710-C4CAF2102632}">
  <ds:schemaRefs/>
</ds:datastoreItem>
</file>

<file path=customXml/itemProps14.xml><?xml version="1.0" encoding="utf-8"?>
<ds:datastoreItem xmlns:ds="http://schemas.openxmlformats.org/officeDocument/2006/customXml" ds:itemID="{AEFCBE3F-C862-49B2-9312-BD2E6068F7C6}">
  <ds:schemaRefs/>
</ds:datastoreItem>
</file>

<file path=customXml/itemProps15.xml><?xml version="1.0" encoding="utf-8"?>
<ds:datastoreItem xmlns:ds="http://schemas.openxmlformats.org/officeDocument/2006/customXml" ds:itemID="{7F67B011-103B-4650-8AF7-42980EDDEFAD}">
  <ds:schemaRefs/>
</ds:datastoreItem>
</file>

<file path=customXml/itemProps16.xml><?xml version="1.0" encoding="utf-8"?>
<ds:datastoreItem xmlns:ds="http://schemas.openxmlformats.org/officeDocument/2006/customXml" ds:itemID="{BD23F1B3-6293-421B-8B8F-07D6AC3C41DB}">
  <ds:schemaRefs/>
</ds:datastoreItem>
</file>

<file path=customXml/itemProps17.xml><?xml version="1.0" encoding="utf-8"?>
<ds:datastoreItem xmlns:ds="http://schemas.openxmlformats.org/officeDocument/2006/customXml" ds:itemID="{3CAAA2B3-8D2A-4918-9B39-01B695D77833}">
  <ds:schemaRefs/>
</ds:datastoreItem>
</file>

<file path=customXml/itemProps18.xml><?xml version="1.0" encoding="utf-8"?>
<ds:datastoreItem xmlns:ds="http://schemas.openxmlformats.org/officeDocument/2006/customXml" ds:itemID="{DAE26E50-475C-41E9-9EEB-D1F2CCF561C2}">
  <ds:schemaRefs/>
</ds:datastoreItem>
</file>

<file path=customXml/itemProps19.xml><?xml version="1.0" encoding="utf-8"?>
<ds:datastoreItem xmlns:ds="http://schemas.openxmlformats.org/officeDocument/2006/customXml" ds:itemID="{46BD161B-BB53-49E7-BC4C-416513BDDF00}">
  <ds:schemaRefs/>
</ds:datastoreItem>
</file>

<file path=customXml/itemProps20.xml><?xml version="1.0" encoding="utf-8"?>
<ds:datastoreItem xmlns:ds="http://schemas.openxmlformats.org/officeDocument/2006/customXml" ds:itemID="{06364BC0-49E8-46F6-BF65-11204AD4055D}">
  <ds:schemaRefs/>
</ds:datastoreItem>
</file>

<file path=customXml/itemProps21.xml><?xml version="1.0" encoding="utf-8"?>
<ds:datastoreItem xmlns:ds="http://schemas.openxmlformats.org/officeDocument/2006/customXml" ds:itemID="{6E7D6B4F-15F8-446C-8DF6-0835A247688C}">
  <ds:schemaRefs/>
</ds:datastoreItem>
</file>

<file path=customXml/itemProps22.xml><?xml version="1.0" encoding="utf-8"?>
<ds:datastoreItem xmlns:ds="http://schemas.openxmlformats.org/officeDocument/2006/customXml" ds:itemID="{A9B7888A-F5BB-448D-BC2F-3AC077E5B441}">
  <ds:schemaRefs/>
</ds:datastoreItem>
</file>

<file path=customXml/itemProps23.xml><?xml version="1.0" encoding="utf-8"?>
<ds:datastoreItem xmlns:ds="http://schemas.openxmlformats.org/officeDocument/2006/customXml" ds:itemID="{AAC55AF2-41D6-4B3F-A04C-151BD5864B62}">
  <ds:schemaRefs/>
</ds:datastoreItem>
</file>

<file path=customXml/itemProps24.xml><?xml version="1.0" encoding="utf-8"?>
<ds:datastoreItem xmlns:ds="http://schemas.openxmlformats.org/officeDocument/2006/customXml" ds:itemID="{99F4EE9D-7BD6-458D-9B44-35C9263287AD}">
  <ds:schemaRefs>
    <ds:schemaRef ds:uri="http://schemas.microsoft.com/DataMashup"/>
  </ds:schemaRefs>
</ds:datastoreItem>
</file>

<file path=customXml/itemProps25.xml><?xml version="1.0" encoding="utf-8"?>
<ds:datastoreItem xmlns:ds="http://schemas.openxmlformats.org/officeDocument/2006/customXml" ds:itemID="{A1383588-CD13-4607-B300-A807641DC8B2}">
  <ds:schemaRefs/>
</ds:datastoreItem>
</file>

<file path=customXml/itemProps26.xml><?xml version="1.0" encoding="utf-8"?>
<ds:datastoreItem xmlns:ds="http://schemas.openxmlformats.org/officeDocument/2006/customXml" ds:itemID="{3644E754-06E0-4BAD-B901-0682423AFDB7}">
  <ds:schemaRefs/>
</ds:datastoreItem>
</file>

<file path=customXml/itemProps27.xml><?xml version="1.0" encoding="utf-8"?>
<ds:datastoreItem xmlns:ds="http://schemas.openxmlformats.org/officeDocument/2006/customXml" ds:itemID="{73594473-8735-42E1-9EB2-35F709D2F31D}">
  <ds:schemaRefs/>
</ds:datastoreItem>
</file>

<file path=customXml/itemProps28.xml><?xml version="1.0" encoding="utf-8"?>
<ds:datastoreItem xmlns:ds="http://schemas.openxmlformats.org/officeDocument/2006/customXml" ds:itemID="{66416A04-1489-46E9-B2F6-EF1C005AEF42}">
  <ds:schemaRefs/>
</ds:datastoreItem>
</file>

<file path=customXml/itemProps29.xml><?xml version="1.0" encoding="utf-8"?>
<ds:datastoreItem xmlns:ds="http://schemas.openxmlformats.org/officeDocument/2006/customXml" ds:itemID="{9827FA01-4C78-4693-884B-0CD1B2BD3A35}">
  <ds:schemaRefs/>
</ds:datastoreItem>
</file>

<file path=customXml/itemProps30.xml><?xml version="1.0" encoding="utf-8"?>
<ds:datastoreItem xmlns:ds="http://schemas.openxmlformats.org/officeDocument/2006/customXml" ds:itemID="{8B9CDEC1-E44D-4463-9AFA-B8EA358F0F4C}">
  <ds:schemaRefs/>
</ds:datastoreItem>
</file>

<file path=customXml/itemProps31.xml><?xml version="1.0" encoding="utf-8"?>
<ds:datastoreItem xmlns:ds="http://schemas.openxmlformats.org/officeDocument/2006/customXml" ds:itemID="{FB054783-AA23-4662-9A27-488E30D7ED74}">
  <ds:schemaRefs/>
</ds:datastoreItem>
</file>

<file path=customXml/itemProps32.xml><?xml version="1.0" encoding="utf-8"?>
<ds:datastoreItem xmlns:ds="http://schemas.openxmlformats.org/officeDocument/2006/customXml" ds:itemID="{6A7C70F8-CE51-4733-93FE-97B504A60BD0}">
  <ds:schemaRefs/>
</ds:datastoreItem>
</file>

<file path=customXml/itemProps33.xml><?xml version="1.0" encoding="utf-8"?>
<ds:datastoreItem xmlns:ds="http://schemas.openxmlformats.org/officeDocument/2006/customXml" ds:itemID="{18C0CA75-4D54-457D-B0A1-DCCB083CC9E2}">
  <ds:schemaRefs/>
</ds:datastoreItem>
</file>

<file path=customXml/itemProps34.xml><?xml version="1.0" encoding="utf-8"?>
<ds:datastoreItem xmlns:ds="http://schemas.openxmlformats.org/officeDocument/2006/customXml" ds:itemID="{F1F41232-C6FE-4BE7-B0CD-72E7E09D3AFF}">
  <ds:schemaRefs/>
</ds:datastoreItem>
</file>

<file path=customXml/itemProps35.xml><?xml version="1.0" encoding="utf-8"?>
<ds:datastoreItem xmlns:ds="http://schemas.openxmlformats.org/officeDocument/2006/customXml" ds:itemID="{E6E1841C-05B1-4BBA-B847-59D83EFDA0F9}">
  <ds:schemaRefs/>
</ds:datastoreItem>
</file>

<file path=customXml/itemProps36.xml><?xml version="1.0" encoding="utf-8"?>
<ds:datastoreItem xmlns:ds="http://schemas.openxmlformats.org/officeDocument/2006/customXml" ds:itemID="{659CA219-2113-4076-867C-C9E7D8471287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41</vt:i4>
      </vt:variant>
      <vt:variant>
        <vt:lpstr>Rangos con nombre</vt:lpstr>
      </vt:variant>
      <vt:variant>
        <vt:i4>5</vt:i4>
      </vt:variant>
    </vt:vector>
  </HeadingPairs>
  <TitlesOfParts>
    <vt:vector size="46" baseType="lpstr">
      <vt:lpstr>22-23</vt:lpstr>
      <vt:lpstr>23-24</vt:lpstr>
      <vt:lpstr>Hoja2</vt:lpstr>
      <vt:lpstr>Hoja6</vt:lpstr>
      <vt:lpstr>Base de datos</vt:lpstr>
      <vt:lpstr>Hoja3</vt:lpstr>
      <vt:lpstr>RESUMEN</vt:lpstr>
      <vt:lpstr>Documentos</vt:lpstr>
      <vt:lpstr>Hoja5</vt:lpstr>
      <vt:lpstr>Hoja8</vt:lpstr>
      <vt:lpstr>Hoja10</vt:lpstr>
      <vt:lpstr>Hoja11</vt:lpstr>
      <vt:lpstr>Graf. avance censo 2025</vt:lpstr>
      <vt:lpstr>Hoja12</vt:lpstr>
      <vt:lpstr>supervisores</vt:lpstr>
      <vt:lpstr>Asistentes de proceso agr. 2026</vt:lpstr>
      <vt:lpstr>MAESTRO DE LOTES 2026</vt:lpstr>
      <vt:lpstr>Hoja13</vt:lpstr>
      <vt:lpstr>Censo 2025 (avance)</vt:lpstr>
      <vt:lpstr>2024</vt:lpstr>
      <vt:lpstr>FUNDOS</vt:lpstr>
      <vt:lpstr>caso especial</vt:lpstr>
      <vt:lpstr>Hoja9</vt:lpstr>
      <vt:lpstr>Análisis Var Censo 2024</vt:lpstr>
      <vt:lpstr>Hoja7</vt:lpstr>
      <vt:lpstr>DATABASE DATOS SUP</vt:lpstr>
      <vt:lpstr>1ra_plant</vt:lpstr>
      <vt:lpstr>Datos Hispatec PoC</vt:lpstr>
      <vt:lpstr>Has por valvula</vt:lpstr>
      <vt:lpstr>Fechas_crop</vt:lpstr>
      <vt:lpstr>Programación supervisores TN</vt:lpstr>
      <vt:lpstr>2023</vt:lpstr>
      <vt:lpstr>Memoria de actualizaciones</vt:lpstr>
      <vt:lpstr>Análisis 2024</vt:lpstr>
      <vt:lpstr>Análisis 2025</vt:lpstr>
      <vt:lpstr>Hoja4</vt:lpstr>
      <vt:lpstr>Comparación</vt:lpstr>
      <vt:lpstr>Hoja1</vt:lpstr>
      <vt:lpstr>Base de datos_</vt:lpstr>
      <vt:lpstr>PACHECO</vt:lpstr>
      <vt:lpstr>Resumen por variedad y lote</vt:lpstr>
      <vt:lpstr>Documentos!Área_de_impresión</vt:lpstr>
      <vt:lpstr>RESUMEN!Área_de_impresión</vt:lpstr>
      <vt:lpstr>'2023'!Criterios</vt:lpstr>
      <vt:lpstr>'2024'!Criterios</vt:lpstr>
      <vt:lpstr>RESUMEN!Títulos_a_imprimir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Christian Pacheco Alaluna</dc:creator>
  <cp:lastModifiedBy>charly</cp:lastModifiedBy>
  <cp:lastPrinted>2026-04-13T16:43:04Z</cp:lastPrinted>
  <dcterms:created xsi:type="dcterms:W3CDTF">2022-09-30T17:02:03Z</dcterms:created>
  <dcterms:modified xsi:type="dcterms:W3CDTF">2026-08-06T00:58:42Z</dcterms:modified>
</cp:coreProperties>
</file>